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Z:\DA\"/>
    </mc:Choice>
  </mc:AlternateContent>
  <xr:revisionPtr revIDLastSave="0" documentId="8_{807D7FF2-76BE-4A48-B380-0F2A268F09A0}" xr6:coauthVersionLast="47" xr6:coauthVersionMax="47" xr10:uidLastSave="{00000000-0000-0000-0000-000000000000}"/>
  <bookViews>
    <workbookView xWindow="-120" yWindow="-120" windowWidth="29040" windowHeight="15720" activeTab="4" xr2:uid="{788101B2-CD41-4C7A-B0AE-4D06B57E7344}"/>
  </bookViews>
  <sheets>
    <sheet name="Chart1" sheetId="2" r:id="rId1"/>
    <sheet name="Sheet1" sheetId="3" r:id="rId2"/>
    <sheet name="Sheet2" sheetId="4" r:id="rId3"/>
    <sheet name="Sheet3" sheetId="5" r:id="rId4"/>
    <sheet name="telecom_churn" sheetId="1" r:id="rId5"/>
  </sheets>
  <calcPr calcId="191029"/>
  <pivotCaches>
    <pivotCache cacheId="0" r:id="rId6"/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U12" i="1" l="1"/>
  <c r="BT11" i="1"/>
  <c r="BS10" i="1"/>
  <c r="B70" i="1" l="1"/>
  <c r="AF15" i="1"/>
  <c r="AG15" i="1"/>
  <c r="AH15" i="1"/>
  <c r="AI15" i="1"/>
  <c r="AJ15" i="1"/>
  <c r="AK15" i="1"/>
  <c r="AF16" i="1"/>
  <c r="AG16" i="1"/>
  <c r="AH16" i="1"/>
  <c r="AI16" i="1"/>
  <c r="AJ16" i="1"/>
  <c r="AK16" i="1"/>
  <c r="K55" i="1"/>
  <c r="L55" i="1"/>
  <c r="M55" i="1"/>
  <c r="N55" i="1"/>
  <c r="O55" i="1"/>
  <c r="P55" i="1"/>
  <c r="Q55" i="1"/>
  <c r="R55" i="1"/>
  <c r="S55" i="1"/>
  <c r="K56" i="1"/>
  <c r="L56" i="1"/>
  <c r="M56" i="1"/>
  <c r="N56" i="1"/>
  <c r="O56" i="1"/>
  <c r="P56" i="1"/>
  <c r="Q56" i="1"/>
  <c r="R56" i="1"/>
  <c r="S56" i="1"/>
  <c r="K57" i="1"/>
  <c r="L57" i="1"/>
  <c r="M57" i="1"/>
  <c r="N57" i="1"/>
  <c r="O57" i="1"/>
  <c r="P57" i="1"/>
  <c r="Q57" i="1"/>
  <c r="R57" i="1"/>
  <c r="S57" i="1"/>
  <c r="K58" i="1"/>
  <c r="L58" i="1"/>
  <c r="M58" i="1"/>
  <c r="N58" i="1"/>
  <c r="O58" i="1"/>
  <c r="P58" i="1"/>
  <c r="Q58" i="1"/>
  <c r="R58" i="1"/>
  <c r="S58" i="1"/>
  <c r="K59" i="1"/>
  <c r="L59" i="1"/>
  <c r="M59" i="1"/>
  <c r="N59" i="1"/>
  <c r="O59" i="1"/>
  <c r="P59" i="1"/>
  <c r="Q59" i="1" a="1"/>
  <c r="Q59" i="1" s="1"/>
  <c r="R59" i="1"/>
  <c r="S59" i="1"/>
  <c r="K60" i="1"/>
  <c r="L60" i="1"/>
  <c r="M60" i="1"/>
  <c r="N60" i="1"/>
  <c r="O60" i="1"/>
  <c r="P60" i="1"/>
  <c r="Q60" i="1" a="1"/>
  <c r="Q60" i="1" s="1"/>
  <c r="R60" i="1"/>
  <c r="S60" i="1"/>
  <c r="K61" i="1"/>
  <c r="L61" i="1" a="1"/>
  <c r="L61" i="1" s="1"/>
  <c r="M61" i="1"/>
  <c r="N61" i="1"/>
  <c r="O61" i="1"/>
  <c r="P61" i="1"/>
  <c r="R61" i="1"/>
  <c r="S61" i="1"/>
  <c r="K62" i="1"/>
  <c r="L62" i="1" a="1"/>
  <c r="L62" i="1" s="1"/>
  <c r="M62" i="1"/>
  <c r="N62" i="1"/>
  <c r="O62" i="1"/>
  <c r="P62" i="1"/>
  <c r="R62" i="1"/>
  <c r="S62" i="1"/>
  <c r="K63" i="1"/>
  <c r="L63" i="1" a="1"/>
  <c r="L63" i="1"/>
  <c r="M63" i="1"/>
  <c r="N63" i="1"/>
  <c r="O63" i="1"/>
  <c r="P63" i="1"/>
  <c r="R63" i="1"/>
  <c r="S63" i="1"/>
  <c r="K64" i="1"/>
  <c r="L64" i="1" a="1"/>
  <c r="L64" i="1"/>
  <c r="M64" i="1"/>
  <c r="N64" i="1"/>
  <c r="O64" i="1"/>
  <c r="P64" i="1"/>
  <c r="R64" i="1"/>
  <c r="S64" i="1"/>
  <c r="B77" i="1"/>
  <c r="B76" i="1"/>
  <c r="B75" i="1"/>
  <c r="B74" i="1"/>
  <c r="G73" i="1"/>
  <c r="F73" i="1"/>
  <c r="E73" i="1"/>
  <c r="B73" i="1"/>
  <c r="G72" i="1"/>
  <c r="F72" i="1"/>
  <c r="E72" i="1"/>
  <c r="B72" i="1"/>
  <c r="F71" i="1"/>
  <c r="E71" i="1"/>
  <c r="F70" i="1"/>
  <c r="E70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M2" i="1"/>
  <c r="N2" i="1" s="1"/>
  <c r="O2" i="1"/>
  <c r="P2" i="1"/>
  <c r="Q2" i="1"/>
  <c r="R2" i="1"/>
  <c r="S2" i="1"/>
  <c r="U2" i="1"/>
  <c r="V2" i="1"/>
  <c r="W2" i="1"/>
  <c r="Y2" i="1"/>
  <c r="M3" i="1"/>
  <c r="N3" i="1"/>
  <c r="O3" i="1"/>
  <c r="P3" i="1"/>
  <c r="Q3" i="1"/>
  <c r="R3" i="1"/>
  <c r="S3" i="1"/>
  <c r="U3" i="1"/>
  <c r="V3" i="1"/>
  <c r="W3" i="1"/>
  <c r="Y3" i="1"/>
  <c r="M4" i="1"/>
  <c r="N4" i="1" s="1"/>
  <c r="O4" i="1"/>
  <c r="P4" i="1"/>
  <c r="Q4" i="1"/>
  <c r="R4" i="1"/>
  <c r="S4" i="1"/>
  <c r="U4" i="1"/>
  <c r="V4" i="1"/>
  <c r="W4" i="1"/>
  <c r="Y4" i="1"/>
  <c r="M5" i="1"/>
  <c r="N5" i="1"/>
  <c r="O5" i="1"/>
  <c r="P5" i="1"/>
  <c r="Q5" i="1"/>
  <c r="R5" i="1"/>
  <c r="S5" i="1"/>
  <c r="U5" i="1"/>
  <c r="V5" i="1"/>
  <c r="W5" i="1"/>
  <c r="Y5" i="1"/>
  <c r="M6" i="1"/>
  <c r="N6" i="1" s="1"/>
  <c r="O6" i="1"/>
  <c r="P6" i="1"/>
  <c r="Q6" i="1"/>
  <c r="R6" i="1"/>
  <c r="S6" i="1"/>
  <c r="U6" i="1"/>
  <c r="V6" i="1"/>
  <c r="W6" i="1"/>
  <c r="Y6" i="1"/>
  <c r="M7" i="1"/>
  <c r="N7" i="1"/>
  <c r="O7" i="1"/>
  <c r="P7" i="1"/>
  <c r="Q7" i="1"/>
  <c r="R7" i="1"/>
  <c r="S7" i="1"/>
  <c r="U7" i="1"/>
  <c r="V7" i="1"/>
  <c r="W7" i="1"/>
  <c r="Y7" i="1"/>
  <c r="M8" i="1"/>
  <c r="N8" i="1" s="1"/>
  <c r="O8" i="1"/>
  <c r="P8" i="1"/>
  <c r="Q8" i="1"/>
  <c r="R8" i="1"/>
  <c r="S8" i="1"/>
  <c r="U8" i="1"/>
  <c r="V8" i="1"/>
  <c r="W8" i="1"/>
  <c r="Y8" i="1"/>
  <c r="M9" i="1"/>
  <c r="N9" i="1" s="1"/>
  <c r="O9" i="1"/>
  <c r="P9" i="1"/>
  <c r="Q9" i="1"/>
  <c r="R9" i="1"/>
  <c r="S9" i="1"/>
  <c r="U9" i="1"/>
  <c r="V9" i="1"/>
  <c r="W9" i="1"/>
  <c r="Y9" i="1"/>
  <c r="M10" i="1"/>
  <c r="N10" i="1" s="1"/>
  <c r="O10" i="1"/>
  <c r="P10" i="1"/>
  <c r="Q10" i="1"/>
  <c r="R10" i="1"/>
  <c r="S10" i="1"/>
  <c r="U10" i="1"/>
  <c r="V10" i="1"/>
  <c r="W10" i="1"/>
  <c r="Y10" i="1"/>
  <c r="M11" i="1"/>
  <c r="N11" i="1" s="1"/>
  <c r="O11" i="1"/>
  <c r="P11" i="1"/>
  <c r="Q11" i="1"/>
  <c r="R11" i="1"/>
  <c r="S11" i="1"/>
  <c r="U11" i="1"/>
  <c r="V11" i="1"/>
  <c r="W11" i="1"/>
  <c r="Y11" i="1"/>
  <c r="M12" i="1"/>
  <c r="N12" i="1" s="1"/>
  <c r="O12" i="1"/>
  <c r="P12" i="1"/>
  <c r="Q12" i="1"/>
  <c r="R12" i="1"/>
  <c r="S12" i="1"/>
  <c r="U12" i="1"/>
  <c r="V12" i="1"/>
  <c r="W12" i="1"/>
  <c r="Y12" i="1"/>
  <c r="M13" i="1"/>
  <c r="N13" i="1" s="1"/>
  <c r="O13" i="1"/>
  <c r="P13" i="1"/>
  <c r="Q13" i="1"/>
  <c r="R13" i="1"/>
  <c r="S13" i="1"/>
  <c r="U13" i="1"/>
  <c r="V13" i="1"/>
  <c r="W13" i="1"/>
  <c r="Y13" i="1"/>
  <c r="M14" i="1"/>
  <c r="N14" i="1" s="1"/>
  <c r="O14" i="1"/>
  <c r="P14" i="1"/>
  <c r="Q14" i="1"/>
  <c r="R14" i="1"/>
  <c r="S14" i="1"/>
  <c r="U14" i="1"/>
  <c r="V14" i="1"/>
  <c r="W14" i="1"/>
  <c r="Y14" i="1"/>
  <c r="M15" i="1"/>
  <c r="N15" i="1"/>
  <c r="O15" i="1"/>
  <c r="P15" i="1"/>
  <c r="Q15" i="1"/>
  <c r="R15" i="1"/>
  <c r="S15" i="1"/>
  <c r="U15" i="1"/>
  <c r="V15" i="1"/>
  <c r="W15" i="1"/>
  <c r="Y15" i="1"/>
  <c r="M16" i="1"/>
  <c r="N16" i="1" s="1"/>
  <c r="O16" i="1"/>
  <c r="P16" i="1"/>
  <c r="Q16" i="1"/>
  <c r="R16" i="1"/>
  <c r="S16" i="1"/>
  <c r="U16" i="1"/>
  <c r="V16" i="1"/>
  <c r="W16" i="1"/>
  <c r="Y16" i="1"/>
  <c r="M17" i="1"/>
  <c r="N17" i="1" s="1"/>
  <c r="O17" i="1"/>
  <c r="P17" i="1"/>
  <c r="Q17" i="1"/>
  <c r="R17" i="1"/>
  <c r="S17" i="1"/>
  <c r="U17" i="1"/>
  <c r="V17" i="1"/>
  <c r="W17" i="1"/>
  <c r="Y17" i="1"/>
  <c r="M18" i="1"/>
  <c r="N18" i="1" s="1"/>
  <c r="O18" i="1"/>
  <c r="P18" i="1"/>
  <c r="Q18" i="1"/>
  <c r="R18" i="1"/>
  <c r="S18" i="1"/>
  <c r="U18" i="1"/>
  <c r="V18" i="1"/>
  <c r="W18" i="1"/>
  <c r="Y18" i="1"/>
  <c r="M19" i="1"/>
  <c r="N19" i="1" s="1"/>
  <c r="O19" i="1"/>
  <c r="P19" i="1"/>
  <c r="Q19" i="1"/>
  <c r="R19" i="1"/>
  <c r="S19" i="1"/>
  <c r="U19" i="1"/>
  <c r="V19" i="1"/>
  <c r="W19" i="1"/>
  <c r="Y19" i="1"/>
  <c r="M20" i="1"/>
  <c r="N20" i="1" s="1"/>
  <c r="O20" i="1"/>
  <c r="P20" i="1"/>
  <c r="Q20" i="1"/>
  <c r="R20" i="1"/>
  <c r="S20" i="1"/>
  <c r="U20" i="1"/>
  <c r="V20" i="1"/>
  <c r="W20" i="1"/>
  <c r="Y20" i="1"/>
  <c r="AL20" i="1"/>
  <c r="AL21" i="1"/>
  <c r="AL22" i="1"/>
  <c r="AJ25" i="1"/>
  <c r="AJ26" i="1"/>
  <c r="AJ27" i="1"/>
  <c r="AJ28" i="1"/>
  <c r="AH7" i="1"/>
  <c r="AH6" i="1"/>
  <c r="AL5" i="1"/>
  <c r="AH5" i="1"/>
  <c r="AM4" i="1"/>
  <c r="AL4" i="1"/>
  <c r="AK4" i="1"/>
  <c r="AJ4" i="1"/>
  <c r="AH4" i="1"/>
  <c r="AN3" i="1"/>
  <c r="AM3" i="1"/>
  <c r="AL3" i="1"/>
  <c r="AK3" i="1"/>
  <c r="AJ3" i="1"/>
  <c r="AH3" i="1"/>
  <c r="AG55" i="1"/>
  <c r="AG54" i="1"/>
  <c r="AG53" i="1"/>
  <c r="AG52" i="1"/>
  <c r="AO53" i="1"/>
  <c r="AO52" i="1"/>
  <c r="AI52" i="1"/>
  <c r="AL54" i="1"/>
  <c r="AL53" i="1"/>
  <c r="AL52" i="1"/>
  <c r="AI54" i="1"/>
  <c r="AI53" i="1"/>
  <c r="AF53" i="1"/>
  <c r="AF52" i="1"/>
  <c r="AC4" i="1"/>
  <c r="AD4" i="1" s="1"/>
  <c r="AC5" i="1"/>
  <c r="AD5" i="1" s="1"/>
  <c r="AC6" i="1"/>
  <c r="AD6" i="1" s="1"/>
  <c r="AC7" i="1"/>
  <c r="AD7" i="1" s="1"/>
  <c r="AC8" i="1"/>
  <c r="AD8" i="1" s="1"/>
  <c r="AC9" i="1"/>
  <c r="AD9" i="1" s="1"/>
  <c r="AC10" i="1"/>
  <c r="AD10" i="1" s="1"/>
  <c r="AC11" i="1"/>
  <c r="AD11" i="1" s="1"/>
  <c r="AC12" i="1"/>
  <c r="AD12" i="1" s="1"/>
  <c r="AC13" i="1"/>
  <c r="AD13" i="1" s="1"/>
  <c r="AC14" i="1"/>
  <c r="AD14" i="1" s="1"/>
  <c r="AC15" i="1"/>
  <c r="AD15" i="1" s="1"/>
  <c r="AC16" i="1"/>
  <c r="AD16" i="1" s="1"/>
  <c r="AC17" i="1"/>
  <c r="AD17" i="1" s="1"/>
  <c r="AC18" i="1"/>
  <c r="AD18" i="1" s="1"/>
  <c r="AC19" i="1"/>
  <c r="AD19" i="1" s="1"/>
  <c r="AC20" i="1"/>
  <c r="AD20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AA2" i="1"/>
  <c r="AC3" i="1"/>
  <c r="AD3" i="1" s="1"/>
  <c r="AC2" i="1"/>
  <c r="AD2" i="1" s="1"/>
  <c r="Z2" i="1"/>
  <c r="T3" i="1" l="1"/>
  <c r="T18" i="1"/>
  <c r="T5" i="1"/>
  <c r="T14" i="1"/>
  <c r="T7" i="1"/>
  <c r="T16" i="1"/>
  <c r="T20" i="1"/>
  <c r="T13" i="1"/>
  <c r="T6" i="1"/>
  <c r="T8" i="1"/>
  <c r="T11" i="1"/>
  <c r="T15" i="1"/>
  <c r="T17" i="1"/>
  <c r="T19" i="1"/>
  <c r="T4" i="1"/>
  <c r="T10" i="1"/>
  <c r="T12" i="1"/>
  <c r="T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<sst xmlns="http://schemas.openxmlformats.org/spreadsheetml/2006/main" count="890" uniqueCount="329">
  <si>
    <t>Churn</t>
  </si>
  <si>
    <t>AccountWeeks</t>
  </si>
  <si>
    <t>ContractRenewal</t>
  </si>
  <si>
    <t>DataPlan</t>
  </si>
  <si>
    <t>DataUsage</t>
  </si>
  <si>
    <t>CustServCalls</t>
  </si>
  <si>
    <t>DayMins</t>
  </si>
  <si>
    <t>DayCalls</t>
  </si>
  <si>
    <t>MonthlyCharge</t>
  </si>
  <si>
    <t>OverageFee</t>
  </si>
  <si>
    <t>RoamMins</t>
  </si>
  <si>
    <t>SQRT</t>
  </si>
  <si>
    <t>ROUND</t>
  </si>
  <si>
    <t>MIN</t>
  </si>
  <si>
    <t>MAX</t>
  </si>
  <si>
    <t>AVERAGE</t>
  </si>
  <si>
    <t>SUM</t>
  </si>
  <si>
    <t>MEDAIN</t>
  </si>
  <si>
    <t>RANK</t>
  </si>
  <si>
    <t>LEFT</t>
  </si>
  <si>
    <t>GENDER</t>
  </si>
  <si>
    <t>Female</t>
  </si>
  <si>
    <t>Male</t>
  </si>
  <si>
    <t>Right</t>
  </si>
  <si>
    <t>Length</t>
  </si>
  <si>
    <t>Date</t>
  </si>
  <si>
    <t>Year</t>
  </si>
  <si>
    <t>Month</t>
  </si>
  <si>
    <t>FIND</t>
  </si>
  <si>
    <t>A</t>
  </si>
  <si>
    <t>E</t>
  </si>
  <si>
    <t>P</t>
  </si>
  <si>
    <t>L</t>
  </si>
  <si>
    <t>APPLE</t>
  </si>
  <si>
    <t>REPLACE</t>
  </si>
  <si>
    <t>INPUT</t>
  </si>
  <si>
    <t>ABC-2026-011</t>
  </si>
  <si>
    <t>SUBSTITUTE</t>
  </si>
  <si>
    <t>MID</t>
  </si>
  <si>
    <t>SEARCH</t>
  </si>
  <si>
    <t>CONCAT</t>
  </si>
  <si>
    <t>MANGO</t>
  </si>
  <si>
    <t>EOMONTH</t>
  </si>
  <si>
    <t>NETWORK DAYS</t>
  </si>
  <si>
    <t>WEEKDAYS</t>
  </si>
  <si>
    <t>DAY</t>
  </si>
  <si>
    <t>INPUT2</t>
  </si>
  <si>
    <t>INPUT3</t>
  </si>
  <si>
    <t>PRODUCT</t>
  </si>
  <si>
    <t>MOD</t>
  </si>
  <si>
    <t>FACT</t>
  </si>
  <si>
    <t>ROUNDUP</t>
  </si>
  <si>
    <t>ROUNDDOWN</t>
  </si>
  <si>
    <t>DATE</t>
  </si>
  <si>
    <t>COLOR</t>
  </si>
  <si>
    <t>REGION</t>
  </si>
  <si>
    <t>VALUE</t>
  </si>
  <si>
    <t>MOUSE</t>
  </si>
  <si>
    <t>KEYBOARD</t>
  </si>
  <si>
    <t>RED</t>
  </si>
  <si>
    <t>BLUE</t>
  </si>
  <si>
    <t>YELLOW</t>
  </si>
  <si>
    <t>AP</t>
  </si>
  <si>
    <t>MH</t>
  </si>
  <si>
    <t>TOTAL</t>
  </si>
  <si>
    <t>RED+AP</t>
  </si>
  <si>
    <t>RED+AP+MOUSE</t>
  </si>
  <si>
    <t>AVG</t>
  </si>
  <si>
    <t>MATHEMATICAL FUNCTIONS</t>
  </si>
  <si>
    <t>VLOOKUP</t>
  </si>
  <si>
    <t>Employee_ID</t>
  </si>
  <si>
    <t>Name</t>
  </si>
  <si>
    <t>Age</t>
  </si>
  <si>
    <t>Gender</t>
  </si>
  <si>
    <t>Department</t>
  </si>
  <si>
    <t>Job_Role</t>
  </si>
  <si>
    <t>Salary</t>
  </si>
  <si>
    <t>Experience_Years</t>
  </si>
  <si>
    <t>Performance_Rating</t>
  </si>
  <si>
    <t>Location</t>
  </si>
  <si>
    <t>EMP001</t>
  </si>
  <si>
    <t>Rahul Sharma</t>
  </si>
  <si>
    <t>IT</t>
  </si>
  <si>
    <t>Data Analyst</t>
  </si>
  <si>
    <t>Hyderabad</t>
  </si>
  <si>
    <t>EMP002</t>
  </si>
  <si>
    <t>Priya Reddy</t>
  </si>
  <si>
    <t>HR</t>
  </si>
  <si>
    <t>HR Manager</t>
  </si>
  <si>
    <t>Bangalore</t>
  </si>
  <si>
    <t>EMP003</t>
  </si>
  <si>
    <t>Arjun Kumar</t>
  </si>
  <si>
    <t>Sales</t>
  </si>
  <si>
    <t>Sales Executive</t>
  </si>
  <si>
    <t>Chennai</t>
  </si>
  <si>
    <t>EMP004</t>
  </si>
  <si>
    <t>Sneha Patel</t>
  </si>
  <si>
    <t>Finance</t>
  </si>
  <si>
    <t>Financial Analyst</t>
  </si>
  <si>
    <t>Mumbai</t>
  </si>
  <si>
    <t>EMP005</t>
  </si>
  <si>
    <t>Vikram Singh</t>
  </si>
  <si>
    <t>Software Engineer</t>
  </si>
  <si>
    <t>Pune</t>
  </si>
  <si>
    <t>EMP006</t>
  </si>
  <si>
    <t>Ananya Rao</t>
  </si>
  <si>
    <t>Marketing</t>
  </si>
  <si>
    <t>Marketing Specialist</t>
  </si>
  <si>
    <t>EMP007</t>
  </si>
  <si>
    <t>Kiran Verma</t>
  </si>
  <si>
    <t>Operations</t>
  </si>
  <si>
    <t>Operations Manager</t>
  </si>
  <si>
    <t>Delhi</t>
  </si>
  <si>
    <t>EMP008</t>
  </si>
  <si>
    <t>Neha Gupta</t>
  </si>
  <si>
    <t>Data Engineer</t>
  </si>
  <si>
    <t>EMP009</t>
  </si>
  <si>
    <t>Rohit Mehta</t>
  </si>
  <si>
    <t>Sales Manager</t>
  </si>
  <si>
    <t>EMP010</t>
  </si>
  <si>
    <t>Pooja Nair</t>
  </si>
  <si>
    <t>Customer Support</t>
  </si>
  <si>
    <t>Support Executive</t>
  </si>
  <si>
    <t>Kochi</t>
  </si>
  <si>
    <t>HLOOKUP</t>
  </si>
  <si>
    <t>MATCH</t>
  </si>
  <si>
    <t>INDEX</t>
  </si>
  <si>
    <t>XLOOKUP</t>
  </si>
  <si>
    <t>Age status</t>
  </si>
  <si>
    <t>age_bins</t>
  </si>
  <si>
    <t>AND</t>
  </si>
  <si>
    <t>OR</t>
  </si>
  <si>
    <t>NOT</t>
  </si>
  <si>
    <t>ERROR</t>
  </si>
  <si>
    <t>XOR</t>
  </si>
  <si>
    <t>ISBLANK</t>
  </si>
  <si>
    <t>ISNUMBER</t>
  </si>
  <si>
    <t>STATISTICAL FUNCTIONS</t>
  </si>
  <si>
    <t>MEAN</t>
  </si>
  <si>
    <t>MODE</t>
  </si>
  <si>
    <t>MEDIAN</t>
  </si>
  <si>
    <t>STD DEVATION</t>
  </si>
  <si>
    <t>CORRELATION</t>
  </si>
  <si>
    <t>STD DEV.S</t>
  </si>
  <si>
    <t>VAR.S</t>
  </si>
  <si>
    <t>COUNT A</t>
  </si>
  <si>
    <t>COUNT BLANK</t>
  </si>
  <si>
    <t>COUNT IF</t>
  </si>
  <si>
    <t>COUNT IFS</t>
  </si>
  <si>
    <t>VARIANCE</t>
  </si>
  <si>
    <t>Column1</t>
  </si>
  <si>
    <t>Column2</t>
  </si>
  <si>
    <t>Column3</t>
  </si>
  <si>
    <t>Column4</t>
  </si>
  <si>
    <t>Column5</t>
  </si>
  <si>
    <t>Column6</t>
  </si>
  <si>
    <t>LOGICAL AND ERROR FUNCTIONS</t>
  </si>
  <si>
    <t>LOOKUP FUNCTIONS</t>
  </si>
  <si>
    <t>IMAGES IN EXCEL</t>
  </si>
  <si>
    <t>TEXT FUNCTIONS</t>
  </si>
  <si>
    <t>COMPANY</t>
  </si>
  <si>
    <t>LOGO</t>
  </si>
  <si>
    <t>SALES</t>
  </si>
  <si>
    <t>AMAZON</t>
  </si>
  <si>
    <t>NETFLIX</t>
  </si>
  <si>
    <t>GOOGLE</t>
  </si>
  <si>
    <t>Average</t>
  </si>
  <si>
    <t>0</t>
  </si>
  <si>
    <t>ID</t>
  </si>
  <si>
    <t>Employee Role</t>
  </si>
  <si>
    <t>Experience (Years)</t>
  </si>
  <si>
    <t>City</t>
  </si>
  <si>
    <t>Rahul Kumar</t>
  </si>
  <si>
    <t>Priya Singh</t>
  </si>
  <si>
    <t>HR Executive</t>
  </si>
  <si>
    <t>Arjun Reddy</t>
  </si>
  <si>
    <t>Bengaluru</t>
  </si>
  <si>
    <t>Accountant</t>
  </si>
  <si>
    <t>Kiran Rao</t>
  </si>
  <si>
    <t>Project Manager</t>
  </si>
  <si>
    <t>Anjali Devi</t>
  </si>
  <si>
    <t>Marketing Executive</t>
  </si>
  <si>
    <t>Vikas Sharma</t>
  </si>
  <si>
    <t>Team Lead</t>
  </si>
  <si>
    <t>Kolkata</t>
  </si>
  <si>
    <t>Meera Nair</t>
  </si>
  <si>
    <t>Business Analyst</t>
  </si>
  <si>
    <t>Business</t>
  </si>
  <si>
    <t>Ramesh Gupta</t>
  </si>
  <si>
    <t>General Manager</t>
  </si>
  <si>
    <t>Management</t>
  </si>
  <si>
    <t>Jaipur</t>
  </si>
  <si>
    <t>Pooja Verma</t>
  </si>
  <si>
    <t>UI/UX Designer</t>
  </si>
  <si>
    <t>Design</t>
  </si>
  <si>
    <t>Noida</t>
  </si>
  <si>
    <t>Sunil Kumar</t>
  </si>
  <si>
    <t>Network Engineer</t>
  </si>
  <si>
    <t>Vijayawada</t>
  </si>
  <si>
    <t>Kavya Reddy</t>
  </si>
  <si>
    <t>Content Writer</t>
  </si>
  <si>
    <t>Guntur</t>
  </si>
  <si>
    <t>Manoj Sharma</t>
  </si>
  <si>
    <t>Senior Developer</t>
  </si>
  <si>
    <t>Deepika Das</t>
  </si>
  <si>
    <t>Recruiter</t>
  </si>
  <si>
    <t>Bhubaneswar</t>
  </si>
  <si>
    <t>Akash Jain</t>
  </si>
  <si>
    <t>Indore</t>
  </si>
  <si>
    <t>Neha Kapoor</t>
  </si>
  <si>
    <t>Chandigarh</t>
  </si>
  <si>
    <t>Ravi Teja</t>
  </si>
  <si>
    <t>Junior Developer</t>
  </si>
  <si>
    <t>Visakhapatnam</t>
  </si>
  <si>
    <t>Shreya Gupta</t>
  </si>
  <si>
    <t>Lucknow</t>
  </si>
  <si>
    <t>Suresh Babu</t>
  </si>
  <si>
    <t>Branch Manager</t>
  </si>
  <si>
    <t>Tirupati</t>
  </si>
  <si>
    <t>Divya Sharma</t>
  </si>
  <si>
    <t>Graphic Designer</t>
  </si>
  <si>
    <t>Nagpur</t>
  </si>
  <si>
    <t>Subject1 Marks</t>
  </si>
  <si>
    <t>Subject2 Marks</t>
  </si>
  <si>
    <t>Fee</t>
  </si>
  <si>
    <t>Attendance (%)</t>
  </si>
  <si>
    <t>Time</t>
  </si>
  <si>
    <t>Profit</t>
  </si>
  <si>
    <t>Rahul</t>
  </si>
  <si>
    <t>Priya</t>
  </si>
  <si>
    <t>Arjun</t>
  </si>
  <si>
    <t>Sneha</t>
  </si>
  <si>
    <t>Kiran</t>
  </si>
  <si>
    <t>Divya</t>
  </si>
  <si>
    <t>Vikram</t>
  </si>
  <si>
    <t>Anjali</t>
  </si>
  <si>
    <t>Rohan</t>
  </si>
  <si>
    <t>Meena</t>
  </si>
  <si>
    <t>CHARTS IN EXCEL</t>
  </si>
  <si>
    <t>Maths</t>
  </si>
  <si>
    <t>Science</t>
  </si>
  <si>
    <t>English</t>
  </si>
  <si>
    <t>Performance</t>
  </si>
  <si>
    <t>Excellent</t>
  </si>
  <si>
    <t>Good</t>
  </si>
  <si>
    <t>Nellore</t>
  </si>
  <si>
    <t>Kakinada</t>
  </si>
  <si>
    <t>Ongole</t>
  </si>
  <si>
    <t>Rajahmundry</t>
  </si>
  <si>
    <t>Sum of Attendance (%)</t>
  </si>
  <si>
    <t>Count of Performance</t>
  </si>
  <si>
    <t>0-10</t>
  </si>
  <si>
    <t>20-30</t>
  </si>
  <si>
    <t>CONDITIONAL FORMATTING</t>
  </si>
  <si>
    <t>CUSTOM FORMATTING</t>
  </si>
  <si>
    <t>STATISTICAL ANALYSIS</t>
  </si>
  <si>
    <t>Student ID</t>
  </si>
  <si>
    <t>Math Marks</t>
  </si>
  <si>
    <t>Science Marks</t>
  </si>
  <si>
    <t>English Marks</t>
  </si>
  <si>
    <t>Tenali</t>
  </si>
  <si>
    <t>Ramesh</t>
  </si>
  <si>
    <t>Anitha</t>
  </si>
  <si>
    <t>Suresh</t>
  </si>
  <si>
    <t>Kavya</t>
  </si>
  <si>
    <t>Anova: Two-Factor Without Replication</t>
  </si>
  <si>
    <t>SUMMARY</t>
  </si>
  <si>
    <t>Count</t>
  </si>
  <si>
    <t>Sum</t>
  </si>
  <si>
    <t>Variance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</si>
  <si>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</si>
  <si>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</si>
  <si>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</si>
  <si>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</si>
  <si>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</si>
  <si>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</si>
  <si>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</si>
  <si>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</si>
  <si>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</si>
  <si>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</si>
  <si>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Column 1</t>
  </si>
  <si>
    <t>Column 2</t>
  </si>
  <si>
    <t>Column 3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</si>
  <si>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</si>
  <si>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</si>
  <si>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</si>
  <si>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</si>
  <si>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</si>
  <si>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</si>
  <si>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</si>
  <si>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</si>
  <si>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</si>
  <si>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</si>
  <si>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</si>
  <si>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Total</t>
  </si>
  <si>
    <t>Anova: Single Factor</t>
  </si>
  <si>
    <t>Groups</t>
  </si>
  <si>
    <t>Between Groups</t>
  </si>
  <si>
    <t>Within Groups</t>
  </si>
  <si>
    <t>Anova: Two-Factor With Replication</t>
  </si>
  <si>
    <t>Sample</t>
  </si>
  <si>
    <t>Interaction</t>
  </si>
  <si>
    <t>Within</t>
  </si>
  <si>
    <t>correlation</t>
  </si>
  <si>
    <t>CO-VARIANCE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</si>
  <si>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</si>
  <si>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</si>
  <si>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</si>
  <si>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</si>
  <si>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</si>
  <si>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</si>
  <si>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</si>
  <si>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</si>
  <si>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</si>
  <si>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</si>
  <si>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</si>
  <si>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Descriptive statistics</t>
  </si>
  <si>
    <t>Employee ID</t>
  </si>
  <si>
    <t>Experience</t>
  </si>
  <si>
    <t>Performance Score</t>
  </si>
  <si>
    <t>Q1 Sales</t>
  </si>
  <si>
    <t>Q2 Sales</t>
  </si>
  <si>
    <t>Q3 Sales</t>
  </si>
  <si>
    <t>HR Q1</t>
  </si>
  <si>
    <t>HR Q2</t>
  </si>
  <si>
    <t>HR Q3</t>
  </si>
  <si>
    <t>Sales Q1</t>
  </si>
  <si>
    <t>Sales Q2</t>
  </si>
  <si>
    <t>Sales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</si>
</sst>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[$-F800]dddd\,\ mmmm\ dd\,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24"/>
      <color rgb="FFFF0000"/>
      <name val="Algerian"/>
      <family val="5"/>
    </font>
    <font>
      <sz val="8"/>
      <name val="Calibri"/>
      <family val="2"/>
      <scheme val="minor"/>
    </font>
    <font>
      <sz val="28"/>
      <color rgb="FFFF0000"/>
      <name val="Algerian"/>
      <family val="5"/>
    </font>
    <font>
      <sz val="18"/>
      <color rgb="FFFF0000"/>
      <name val="Arial Black"/>
      <family val="2"/>
    </font>
    <font>
      <sz val="18"/>
      <color theme="1"/>
      <name val="Arial Black"/>
      <family val="2"/>
    </font>
    <font>
      <sz val="11"/>
      <color rgb="FFFF0000"/>
      <name val="Arial Black"/>
      <family val="2"/>
    </font>
    <font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rgb="FFFF0000"/>
      <name val="Algerian"/>
      <family val="5"/>
    </font>
    <font>
      <sz val="14"/>
      <color rgb="FFFF0000"/>
      <name val="Algerian"/>
      <family val="5"/>
    </font>
  </fonts>
  <fills count="5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A9CDC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7B7B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CD5D6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1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" fillId="0" borderId="0"/>
  </cellStyleXfs>
  <cellXfs count="153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6" fillId="2" borderId="0" xfId="6"/>
    <xf numFmtId="0" fontId="20" fillId="0" borderId="0" xfId="0" applyFont="1"/>
    <xf numFmtId="0" fontId="22" fillId="0" borderId="0" xfId="0" applyFont="1"/>
    <xf numFmtId="3" fontId="0" fillId="0" borderId="0" xfId="0" applyNumberFormat="1"/>
    <xf numFmtId="0" fontId="0" fillId="34" borderId="10" xfId="0" applyFill="1" applyBorder="1"/>
    <xf numFmtId="0" fontId="0" fillId="0" borderId="0" xfId="0" applyAlignment="1">
      <alignment vertical="center" wrapText="1"/>
    </xf>
    <xf numFmtId="0" fontId="0" fillId="37" borderId="10" xfId="0" applyFill="1" applyBorder="1"/>
    <xf numFmtId="0" fontId="0" fillId="33" borderId="11" xfId="0" applyFill="1" applyBorder="1"/>
    <xf numFmtId="0" fontId="0" fillId="33" borderId="12" xfId="0" applyFill="1" applyBorder="1"/>
    <xf numFmtId="0" fontId="0" fillId="33" borderId="13" xfId="0" applyFill="1" applyBorder="1"/>
    <xf numFmtId="0" fontId="0" fillId="34" borderId="14" xfId="0" applyFill="1" applyBorder="1"/>
    <xf numFmtId="0" fontId="0" fillId="34" borderId="15" xfId="0" applyFill="1" applyBorder="1"/>
    <xf numFmtId="0" fontId="0" fillId="34" borderId="16" xfId="0" applyFill="1" applyBorder="1"/>
    <xf numFmtId="0" fontId="0" fillId="34" borderId="17" xfId="0" applyFill="1" applyBorder="1"/>
    <xf numFmtId="0" fontId="0" fillId="34" borderId="18" xfId="0" applyFill="1" applyBorder="1"/>
    <xf numFmtId="0" fontId="0" fillId="39" borderId="10" xfId="0" applyFill="1" applyBorder="1"/>
    <xf numFmtId="0" fontId="0" fillId="0" borderId="20" xfId="0" applyBorder="1"/>
    <xf numFmtId="0" fontId="0" fillId="0" borderId="21" xfId="0" applyBorder="1"/>
    <xf numFmtId="0" fontId="23" fillId="0" borderId="19" xfId="0" applyFont="1" applyBorder="1"/>
    <xf numFmtId="0" fontId="23" fillId="0" borderId="0" xfId="0" applyFont="1"/>
    <xf numFmtId="0" fontId="0" fillId="37" borderId="12" xfId="0" applyFill="1" applyBorder="1"/>
    <xf numFmtId="0" fontId="0" fillId="0" borderId="22" xfId="0" applyBorder="1"/>
    <xf numFmtId="0" fontId="0" fillId="37" borderId="23" xfId="0" applyFill="1" applyBorder="1"/>
    <xf numFmtId="0" fontId="0" fillId="37" borderId="24" xfId="0" applyFill="1" applyBorder="1"/>
    <xf numFmtId="0" fontId="0" fillId="37" borderId="25" xfId="0" applyFill="1" applyBorder="1"/>
    <xf numFmtId="0" fontId="0" fillId="34" borderId="26" xfId="0" applyFill="1" applyBorder="1"/>
    <xf numFmtId="0" fontId="0" fillId="34" borderId="27" xfId="0" applyFill="1" applyBorder="1"/>
    <xf numFmtId="0" fontId="0" fillId="34" borderId="28" xfId="0" applyFill="1" applyBorder="1"/>
    <xf numFmtId="0" fontId="0" fillId="34" borderId="29" xfId="0" applyFill="1" applyBorder="1"/>
    <xf numFmtId="0" fontId="0" fillId="34" borderId="30" xfId="0" applyFill="1" applyBorder="1"/>
    <xf numFmtId="0" fontId="0" fillId="33" borderId="23" xfId="0" applyFont="1" applyFill="1" applyBorder="1"/>
    <xf numFmtId="0" fontId="0" fillId="33" borderId="24" xfId="0" applyFont="1" applyFill="1" applyBorder="1"/>
    <xf numFmtId="0" fontId="0" fillId="33" borderId="25" xfId="0" applyFont="1" applyFill="1" applyBorder="1"/>
    <xf numFmtId="0" fontId="0" fillId="37" borderId="11" xfId="0" applyFill="1" applyBorder="1"/>
    <xf numFmtId="0" fontId="0" fillId="37" borderId="13" xfId="0" applyFill="1" applyBorder="1"/>
    <xf numFmtId="0" fontId="0" fillId="41" borderId="14" xfId="0" applyFont="1" applyFill="1" applyBorder="1"/>
    <xf numFmtId="0" fontId="0" fillId="41" borderId="10" xfId="0" applyFont="1" applyFill="1" applyBorder="1"/>
    <xf numFmtId="0" fontId="0" fillId="41" borderId="15" xfId="0" applyFont="1" applyFill="1" applyBorder="1"/>
    <xf numFmtId="0" fontId="0" fillId="41" borderId="16" xfId="0" applyFont="1" applyFill="1" applyBorder="1"/>
    <xf numFmtId="0" fontId="0" fillId="41" borderId="17" xfId="0" applyFont="1" applyFill="1" applyBorder="1"/>
    <xf numFmtId="0" fontId="0" fillId="41" borderId="18" xfId="0" applyFont="1" applyFill="1" applyBorder="1"/>
    <xf numFmtId="0" fontId="24" fillId="0" borderId="20" xfId="0" applyFont="1" applyBorder="1"/>
    <xf numFmtId="0" fontId="24" fillId="0" borderId="21" xfId="0" applyFont="1" applyBorder="1"/>
    <xf numFmtId="3" fontId="0" fillId="39" borderId="10" xfId="0" applyNumberFormat="1" applyFill="1" applyBorder="1"/>
    <xf numFmtId="0" fontId="1" fillId="38" borderId="0" xfId="6" applyFont="1" applyFill="1"/>
    <xf numFmtId="0" fontId="0" fillId="42" borderId="10" xfId="0" applyFill="1" applyBorder="1"/>
    <xf numFmtId="0" fontId="16" fillId="43" borderId="10" xfId="0" applyFont="1" applyFill="1" applyBorder="1" applyAlignment="1">
      <alignment horizontal="center"/>
    </xf>
    <xf numFmtId="0" fontId="0" fillId="44" borderId="10" xfId="0" applyFill="1" applyBorder="1"/>
    <xf numFmtId="0" fontId="0" fillId="45" borderId="14" xfId="0" applyFill="1" applyBorder="1"/>
    <xf numFmtId="0" fontId="0" fillId="45" borderId="10" xfId="0" applyFill="1" applyBorder="1"/>
    <xf numFmtId="0" fontId="0" fillId="45" borderId="15" xfId="0" applyFill="1" applyBorder="1"/>
    <xf numFmtId="0" fontId="0" fillId="45" borderId="16" xfId="0" applyFill="1" applyBorder="1"/>
    <xf numFmtId="0" fontId="0" fillId="45" borderId="17" xfId="0" applyFill="1" applyBorder="1"/>
    <xf numFmtId="0" fontId="0" fillId="45" borderId="18" xfId="0" applyFill="1" applyBorder="1"/>
    <xf numFmtId="0" fontId="0" fillId="46" borderId="26" xfId="0" applyFill="1" applyBorder="1"/>
    <xf numFmtId="0" fontId="0" fillId="46" borderId="10" xfId="0" applyFill="1" applyBorder="1"/>
    <xf numFmtId="0" fontId="0" fillId="46" borderId="27" xfId="0" applyFill="1" applyBorder="1"/>
    <xf numFmtId="0" fontId="0" fillId="46" borderId="28" xfId="0" applyFill="1" applyBorder="1"/>
    <xf numFmtId="0" fontId="0" fillId="46" borderId="29" xfId="0" applyFill="1" applyBorder="1"/>
    <xf numFmtId="0" fontId="0" fillId="46" borderId="30" xfId="0" applyFill="1" applyBorder="1"/>
    <xf numFmtId="0" fontId="0" fillId="35" borderId="10" xfId="0" applyFill="1" applyBorder="1" applyAlignment="1">
      <alignment vertical="center" wrapText="1"/>
    </xf>
    <xf numFmtId="0" fontId="16" fillId="36" borderId="10" xfId="0" applyFont="1" applyFill="1" applyBorder="1" applyAlignment="1">
      <alignment horizontal="center" vertical="center" wrapText="1"/>
    </xf>
    <xf numFmtId="0" fontId="16" fillId="47" borderId="10" xfId="0" applyFont="1" applyFill="1" applyBorder="1" applyAlignment="1">
      <alignment horizontal="center" vertical="center" wrapText="1"/>
    </xf>
    <xf numFmtId="0" fontId="0" fillId="48" borderId="10" xfId="0" applyFill="1" applyBorder="1" applyAlignment="1">
      <alignment vertical="center" wrapText="1"/>
    </xf>
    <xf numFmtId="18" fontId="0" fillId="48" borderId="10" xfId="0" applyNumberFormat="1" applyFill="1" applyBorder="1" applyAlignment="1">
      <alignment vertical="center" wrapText="1"/>
    </xf>
    <xf numFmtId="0" fontId="0" fillId="35" borderId="10" xfId="0" applyFill="1" applyBorder="1" applyAlignment="1">
      <alignment vertical="center"/>
    </xf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0" xfId="0" pivotButton="1"/>
    <xf numFmtId="0" fontId="0" fillId="0" borderId="0" xfId="0" applyNumberFormat="1"/>
    <xf numFmtId="0" fontId="16" fillId="40" borderId="0" xfId="0" applyFont="1" applyFill="1" applyAlignment="1">
      <alignment horizontal="center" vertical="center" wrapText="1"/>
    </xf>
    <xf numFmtId="14" fontId="19" fillId="0" borderId="0" xfId="0" applyNumberFormat="1" applyFont="1" applyAlignment="1">
      <alignment vertical="center" wrapText="1"/>
    </xf>
    <xf numFmtId="164" fontId="19" fillId="0" borderId="0" xfId="0" applyNumberFormat="1" applyFont="1" applyAlignment="1">
      <alignment vertical="center" wrapText="1"/>
    </xf>
    <xf numFmtId="44" fontId="19" fillId="0" borderId="0" xfId="42" applyFont="1" applyAlignment="1">
      <alignment vertical="center" wrapText="1"/>
    </xf>
    <xf numFmtId="9" fontId="18" fillId="0" borderId="0" xfId="43" applyFont="1" applyAlignment="1">
      <alignment horizontal="center" vertical="center"/>
    </xf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46" xfId="0" applyBorder="1"/>
    <xf numFmtId="0" fontId="16" fillId="36" borderId="12" xfId="0" applyFont="1" applyFill="1" applyBorder="1" applyAlignment="1">
      <alignment horizontal="center" vertical="center" wrapText="1"/>
    </xf>
    <xf numFmtId="0" fontId="16" fillId="47" borderId="12" xfId="0" applyFont="1" applyFill="1" applyBorder="1" applyAlignment="1">
      <alignment horizontal="center" vertical="center" wrapText="1"/>
    </xf>
    <xf numFmtId="0" fontId="23" fillId="0" borderId="20" xfId="0" applyFont="1" applyBorder="1"/>
    <xf numFmtId="0" fontId="25" fillId="0" borderId="21" xfId="0" applyFont="1" applyBorder="1"/>
    <xf numFmtId="0" fontId="16" fillId="0" borderId="0" xfId="0" applyFont="1" applyAlignment="1">
      <alignment horizontal="center" vertical="center" wrapText="1"/>
    </xf>
    <xf numFmtId="0" fontId="23" fillId="0" borderId="46" xfId="0" applyFont="1" applyBorder="1"/>
    <xf numFmtId="0" fontId="0" fillId="50" borderId="10" xfId="0" applyFill="1" applyBorder="1" applyAlignment="1">
      <alignment vertical="center" wrapText="1"/>
    </xf>
    <xf numFmtId="0" fontId="16" fillId="49" borderId="10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42" xfId="0" applyFill="1" applyBorder="1" applyAlignment="1"/>
    <xf numFmtId="0" fontId="26" fillId="0" borderId="48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right"/>
    </xf>
    <xf numFmtId="0" fontId="0" fillId="0" borderId="0" xfId="0" applyBorder="1"/>
    <xf numFmtId="0" fontId="26" fillId="0" borderId="0" xfId="0" applyFont="1" applyFill="1" applyBorder="1" applyAlignment="1">
      <alignment horizontal="center"/>
    </xf>
    <xf numFmtId="0" fontId="0" fillId="0" borderId="41" xfId="0" applyFill="1" applyBorder="1" applyAlignment="1"/>
    <xf numFmtId="0" fontId="26" fillId="0" borderId="10" xfId="0" applyFont="1" applyFill="1" applyBorder="1" applyAlignment="1">
      <alignment horizontal="center"/>
    </xf>
    <xf numFmtId="0" fontId="0" fillId="0" borderId="10" xfId="0" applyFill="1" applyBorder="1" applyAlignment="1"/>
    <xf numFmtId="0" fontId="26" fillId="0" borderId="23" xfId="0" applyFont="1" applyFill="1" applyBorder="1" applyAlignment="1">
      <alignment horizontal="center"/>
    </xf>
    <xf numFmtId="0" fontId="26" fillId="0" borderId="24" xfId="0" applyFont="1" applyFill="1" applyBorder="1" applyAlignment="1">
      <alignment horizontal="center"/>
    </xf>
    <xf numFmtId="0" fontId="26" fillId="0" borderId="25" xfId="0" applyFont="1" applyFill="1" applyBorder="1" applyAlignment="1">
      <alignment horizontal="center"/>
    </xf>
    <xf numFmtId="0" fontId="0" fillId="0" borderId="26" xfId="0" applyFill="1" applyBorder="1" applyAlignment="1"/>
    <xf numFmtId="0" fontId="0" fillId="0" borderId="27" xfId="0" applyFill="1" applyBorder="1" applyAlignment="1"/>
    <xf numFmtId="0" fontId="0" fillId="0" borderId="28" xfId="0" applyFill="1" applyBorder="1" applyAlignment="1"/>
    <xf numFmtId="0" fontId="0" fillId="0" borderId="29" xfId="0" applyFill="1" applyBorder="1" applyAlignment="1"/>
    <xf numFmtId="0" fontId="0" fillId="0" borderId="30" xfId="0" applyFill="1" applyBorder="1" applyAlignment="1"/>
    <xf numFmtId="0" fontId="0" fillId="0" borderId="10" xfId="0" applyBorder="1"/>
    <xf numFmtId="0" fontId="27" fillId="0" borderId="10" xfId="0" applyFont="1" applyFill="1" applyBorder="1" applyAlignment="1">
      <alignment horizontal="right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27" fillId="0" borderId="26" xfId="0" applyFont="1" applyFill="1" applyBorder="1" applyAlignment="1">
      <alignment horizontal="right"/>
    </xf>
    <xf numFmtId="0" fontId="27" fillId="0" borderId="27" xfId="0" applyFont="1" applyFill="1" applyBorder="1" applyAlignment="1">
      <alignment horizontal="right"/>
    </xf>
    <xf numFmtId="0" fontId="0" fillId="0" borderId="27" xfId="0" applyBorder="1"/>
    <xf numFmtId="0" fontId="0" fillId="0" borderId="30" xfId="0" applyBorder="1"/>
    <xf numFmtId="0" fontId="26" fillId="0" borderId="27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0" fillId="0" borderId="26" xfId="0" applyBorder="1"/>
    <xf numFmtId="0" fontId="26" fillId="0" borderId="26" xfId="0" applyFont="1" applyFill="1" applyBorder="1" applyAlignment="1">
      <alignment horizontal="center"/>
    </xf>
    <xf numFmtId="0" fontId="0" fillId="0" borderId="23" xfId="0" applyFill="1" applyBorder="1" applyAlignment="1"/>
    <xf numFmtId="0" fontId="0" fillId="0" borderId="24" xfId="0" applyFill="1" applyBorder="1" applyAlignment="1"/>
    <xf numFmtId="0" fontId="0" fillId="0" borderId="25" xfId="0" applyFill="1" applyBorder="1" applyAlignment="1"/>
    <xf numFmtId="0" fontId="0" fillId="43" borderId="20" xfId="0" applyFill="1" applyBorder="1"/>
    <xf numFmtId="0" fontId="0" fillId="43" borderId="21" xfId="0" applyFill="1" applyBorder="1"/>
    <xf numFmtId="0" fontId="29" fillId="43" borderId="19" xfId="0" applyFont="1" applyFill="1" applyBorder="1"/>
    <xf numFmtId="0" fontId="28" fillId="43" borderId="19" xfId="0" applyFont="1" applyFill="1" applyBorder="1"/>
    <xf numFmtId="0" fontId="28" fillId="43" borderId="46" xfId="0" applyFont="1" applyFill="1" applyBorder="1"/>
    <xf numFmtId="0" fontId="0" fillId="43" borderId="40" xfId="0" applyFill="1" applyBorder="1"/>
    <xf numFmtId="0" fontId="0" fillId="43" borderId="22" xfId="0" applyFill="1" applyBorder="1"/>
    <xf numFmtId="0" fontId="0" fillId="43" borderId="45" xfId="0" applyFill="1" applyBorder="1"/>
    <xf numFmtId="0" fontId="0" fillId="43" borderId="42" xfId="0" applyFill="1" applyBorder="1"/>
    <xf numFmtId="0" fontId="28" fillId="43" borderId="47" xfId="0" applyFont="1" applyFill="1" applyBorder="1"/>
    <xf numFmtId="0" fontId="28" fillId="43" borderId="50" xfId="0" applyFont="1" applyFill="1" applyBorder="1"/>
    <xf numFmtId="0" fontId="26" fillId="0" borderId="52" xfId="0" applyFont="1" applyFill="1" applyBorder="1" applyAlignment="1">
      <alignment horizontal="center"/>
    </xf>
    <xf numFmtId="0" fontId="0" fillId="0" borderId="51" xfId="0" applyFill="1" applyBorder="1" applyAlignment="1"/>
    <xf numFmtId="0" fontId="0" fillId="43" borderId="41" xfId="0" applyFill="1" applyBorder="1"/>
    <xf numFmtId="0" fontId="26" fillId="0" borderId="53" xfId="0" applyFont="1" applyFill="1" applyBorder="1" applyAlignment="1">
      <alignment horizontal="center"/>
    </xf>
    <xf numFmtId="0" fontId="26" fillId="0" borderId="54" xfId="0" applyFont="1" applyFill="1" applyBorder="1" applyAlignment="1">
      <alignment horizontal="center"/>
    </xf>
    <xf numFmtId="0" fontId="26" fillId="0" borderId="55" xfId="0" applyFont="1" applyFill="1" applyBorder="1" applyAlignment="1">
      <alignment horizontal="center"/>
    </xf>
    <xf numFmtId="0" fontId="0" fillId="0" borderId="56" xfId="0" applyFill="1" applyBorder="1" applyAlignment="1"/>
    <xf numFmtId="0" fontId="0" fillId="0" borderId="57" xfId="0" applyFill="1" applyBorder="1" applyAlignment="1"/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Style 1" xfId="44" xr:uid="{A1ACFB5F-A295-4858-9579-E9706B262514}"/>
    <cellStyle name="Style 2" xfId="45" xr:uid="{1D78A586-3633-41CE-ABF1-33470A73C158}"/>
    <cellStyle name="Title" xfId="1" builtinId="15" customBuiltin="1"/>
    <cellStyle name="Total" xfId="17" builtinId="25" customBuiltin="1"/>
    <cellStyle name="Warning Text" xfId="14" builtinId="11" customBuiltin="1"/>
  </cellStyles>
  <dxfs count="98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FF0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33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33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rgb="FFAA9CDC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AA9CD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AA9CD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AA9CD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AA9CDC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AA9CDC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rgb="FFAA9CDC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rgb="FFF57B7B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solid">
          <fgColor indexed="64"/>
          <bgColor rgb="FFF57B7B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59999389629810485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59999389629810485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4" tint="0.5999938962981048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4" tint="0.59999389629810485"/>
        </patternFill>
      </fill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</border>
    </dxf>
    <dxf>
      <font>
        <b/>
      </font>
      <fill>
        <patternFill patternType="solid">
          <fgColor indexed="64"/>
          <bgColor rgb="FF99FF9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99FF99"/>
      <color rgb="FFACD5D6"/>
      <color rgb="FF66FF99"/>
      <color rgb="FFCCFF99"/>
      <color rgb="FFF57B7B"/>
      <color rgb="FF66FF66"/>
      <color rgb="FF99CCFF"/>
      <color rgb="FF0066FF"/>
      <color rgb="FF00FF00"/>
      <color rgb="FFAA9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pivotCacheDefinition" Target="pivotCache/pivotCacheDefinition2.xml"/><Relationship Id="rId12" Type="http://schemas.openxmlformats.org/officeDocument/2006/relationships/sheetMetadata" Target="metadata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telecom_churn!$B$69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telecom_churn!$B$70:$B$77</c:f>
              <c:numCache>
                <c:formatCode>General</c:formatCode>
                <c:ptCount val="8"/>
                <c:pt idx="0">
                  <c:v>#N/A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D4-42A0-8CCE-69141E054C14}"/>
            </c:ext>
          </c:extLst>
        </c:ser>
        <c:ser>
          <c:idx val="1"/>
          <c:order val="1"/>
          <c:tx>
            <c:strRef>
              <c:f>telecom_churn!$C$69</c:f>
              <c:strCache>
                <c:ptCount val="1"/>
                <c:pt idx="0">
                  <c:v>Column1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telecom_churn!$C$70:$C$77</c:f>
              <c:numCache>
                <c:formatCode>General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0ED4-42A0-8CCE-69141E054C14}"/>
            </c:ext>
          </c:extLst>
        </c:ser>
        <c:ser>
          <c:idx val="2"/>
          <c:order val="2"/>
          <c:tx>
            <c:strRef>
              <c:f>telecom_churn!$D$69</c:f>
              <c:strCache>
                <c:ptCount val="1"/>
                <c:pt idx="0">
                  <c:v>Column2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telecom_churn!$D$70:$D$77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D4-42A0-8CCE-69141E054C14}"/>
            </c:ext>
          </c:extLst>
        </c:ser>
        <c:ser>
          <c:idx val="3"/>
          <c:order val="3"/>
          <c:tx>
            <c:strRef>
              <c:f>telecom_churn!$E$69</c:f>
              <c:strCache>
                <c:ptCount val="1"/>
                <c:pt idx="0">
                  <c:v>Column3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telecom_churn!$E$70:$E$77</c:f>
              <c:numCache>
                <c:formatCode>General</c:formatCode>
                <c:ptCount val="8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D4-42A0-8CCE-69141E054C14}"/>
            </c:ext>
          </c:extLst>
        </c:ser>
        <c:ser>
          <c:idx val="4"/>
          <c:order val="4"/>
          <c:tx>
            <c:strRef>
              <c:f>telecom_churn!$F$69</c:f>
              <c:strCache>
                <c:ptCount val="1"/>
                <c:pt idx="0">
                  <c:v>Column5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telecom_churn!$F$70:$F$77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D4-42A0-8CCE-69141E054C14}"/>
            </c:ext>
          </c:extLst>
        </c:ser>
        <c:ser>
          <c:idx val="5"/>
          <c:order val="5"/>
          <c:tx>
            <c:strRef>
              <c:f>telecom_churn!$G$69</c:f>
              <c:strCache>
                <c:ptCount val="1"/>
                <c:pt idx="0">
                  <c:v>Column6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telecom_churn!$G$70:$G$77</c:f>
              <c:numCache>
                <c:formatCode>General</c:formatCode>
                <c:ptCount val="8"/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D4-42A0-8CCE-69141E054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961136"/>
        <c:axId val="247985136"/>
      </c:barChart>
      <c:catAx>
        <c:axId val="2479611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85136"/>
        <c:crosses val="autoZero"/>
        <c:auto val="1"/>
        <c:lblAlgn val="ctr"/>
        <c:lblOffset val="100"/>
        <c:noMultiLvlLbl val="0"/>
      </c:catAx>
      <c:valAx>
        <c:axId val="2479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96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Excel21.xlsx]Sheet1!PivotTable5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0025371828521436E-2"/>
          <c:y val="0.26791447944006996"/>
          <c:w val="0.9155301837270341"/>
          <c:h val="0.53774387576552929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415824"/>
        <c:axId val="327416784"/>
      </c:barChart>
      <c:catAx>
        <c:axId val="32741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16784"/>
        <c:crosses val="autoZero"/>
        <c:auto val="1"/>
        <c:lblAlgn val="ctr"/>
        <c:lblOffset val="100"/>
        <c:noMultiLvlLbl val="0"/>
      </c:catAx>
      <c:valAx>
        <c:axId val="32741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415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Excel21.xlsx]Sheet2!PivotTable12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Attendance (%)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467</c:v>
                </c:pt>
                <c:pt idx="1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F0-4D4B-BAAE-B92EB645A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479840"/>
        <c:axId val="403504400"/>
      </c:barChart>
      <c:catAx>
        <c:axId val="5054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04400"/>
        <c:crosses val="autoZero"/>
        <c:auto val="1"/>
        <c:lblAlgn val="ctr"/>
        <c:lblOffset val="100"/>
        <c:noMultiLvlLbl val="0"/>
      </c:catAx>
      <c:valAx>
        <c:axId val="4035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Excel21.xlsx]Sheet3!PivotTable22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Count of Performance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Sheet3!$A$4:$A$6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4-412F-A9B0-62432BC3E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981296"/>
        <c:axId val="247981776"/>
      </c:barChart>
      <c:catAx>
        <c:axId val="2479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7981776"/>
        <c:crosses val="autoZero"/>
        <c:auto val="1"/>
        <c:lblAlgn val="ctr"/>
        <c:lblOffset val="100"/>
        <c:noMultiLvlLbl val="0"/>
      </c:catAx>
      <c:valAx>
        <c:axId val="247981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4798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Excel21.xlsx]Sheet2!PivotTable12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Sum of Attendance (%)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Sheet2!$B$4:$B$5</c:f>
              <c:numCache>
                <c:formatCode>General</c:formatCode>
                <c:ptCount val="2"/>
                <c:pt idx="0">
                  <c:v>467</c:v>
                </c:pt>
                <c:pt idx="1">
                  <c:v>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B-49BD-8DEF-41E37E786B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5479840"/>
        <c:axId val="403504400"/>
      </c:barChart>
      <c:catAx>
        <c:axId val="505479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3504400"/>
        <c:crosses val="autoZero"/>
        <c:auto val="1"/>
        <c:lblAlgn val="ctr"/>
        <c:lblOffset val="100"/>
        <c:noMultiLvlLbl val="0"/>
      </c:catAx>
      <c:valAx>
        <c:axId val="4035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79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782633420822402"/>
          <c:y val="4.09982187475564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914260717410313E-2"/>
          <c:y val="0.16440285717770128"/>
          <c:w val="0.89019685039370078"/>
          <c:h val="0.7253653791384706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telecom_churn!$AY$42:$AY$51</c:f>
              <c:numCache>
                <c:formatCode>General</c:formatCode>
                <c:ptCount val="10"/>
                <c:pt idx="0">
                  <c:v>92</c:v>
                </c:pt>
                <c:pt idx="1">
                  <c:v>89</c:v>
                </c:pt>
                <c:pt idx="2">
                  <c:v>96</c:v>
                </c:pt>
                <c:pt idx="3">
                  <c:v>91</c:v>
                </c:pt>
                <c:pt idx="4">
                  <c:v>86</c:v>
                </c:pt>
                <c:pt idx="5">
                  <c:v>94</c:v>
                </c:pt>
                <c:pt idx="6">
                  <c:v>82</c:v>
                </c:pt>
                <c:pt idx="7">
                  <c:v>98</c:v>
                </c:pt>
                <c:pt idx="8">
                  <c:v>87</c:v>
                </c:pt>
                <c:pt idx="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1-4920-97BC-F411D419B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0908640"/>
        <c:axId val="430907680"/>
      </c:lineChart>
      <c:catAx>
        <c:axId val="430908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07680"/>
        <c:crosses val="autoZero"/>
        <c:auto val="1"/>
        <c:lblAlgn val="ctr"/>
        <c:lblOffset val="100"/>
        <c:noMultiLvlLbl val="0"/>
      </c:catAx>
      <c:valAx>
        <c:axId val="43090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908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telecom_churn!$AV$42:$AV$51</c:f>
              <c:numCache>
                <c:formatCode>General</c:formatCode>
                <c:ptCount val="10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81</c:v>
                </c:pt>
                <c:pt idx="4">
                  <c:v>75</c:v>
                </c:pt>
                <c:pt idx="5">
                  <c:v>88</c:v>
                </c:pt>
                <c:pt idx="6">
                  <c:v>67</c:v>
                </c:pt>
                <c:pt idx="7">
                  <c:v>95</c:v>
                </c:pt>
                <c:pt idx="8">
                  <c:v>73</c:v>
                </c:pt>
                <c:pt idx="9">
                  <c:v>89</c:v>
                </c:pt>
              </c:numCache>
            </c:numRef>
          </c:xVal>
          <c:yVal>
            <c:numRef>
              <c:f>telecom_churn!$AW$42:$AW$51</c:f>
              <c:numCache>
                <c:formatCode>General</c:formatCode>
                <c:ptCount val="10"/>
                <c:pt idx="0">
                  <c:v>90</c:v>
                </c:pt>
                <c:pt idx="1">
                  <c:v>88</c:v>
                </c:pt>
                <c:pt idx="2">
                  <c:v>95</c:v>
                </c:pt>
                <c:pt idx="3">
                  <c:v>84</c:v>
                </c:pt>
                <c:pt idx="4">
                  <c:v>80</c:v>
                </c:pt>
                <c:pt idx="5">
                  <c:v>91</c:v>
                </c:pt>
                <c:pt idx="6">
                  <c:v>72</c:v>
                </c:pt>
                <c:pt idx="7">
                  <c:v>98</c:v>
                </c:pt>
                <c:pt idx="8">
                  <c:v>77</c:v>
                </c:pt>
                <c:pt idx="9">
                  <c:v>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A1-4D10-B3C7-9B61CA365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4992176"/>
        <c:axId val="514992656"/>
      </c:scatterChart>
      <c:valAx>
        <c:axId val="514992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92656"/>
        <c:crosses val="autoZero"/>
        <c:crossBetween val="midCat"/>
      </c:valAx>
      <c:valAx>
        <c:axId val="5149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499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28263342082240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telecom_churn!$AV$42:$AV$51</c:f>
              <c:numCache>
                <c:formatCode>General</c:formatCode>
                <c:ptCount val="10"/>
                <c:pt idx="0">
                  <c:v>85</c:v>
                </c:pt>
                <c:pt idx="1">
                  <c:v>78</c:v>
                </c:pt>
                <c:pt idx="2">
                  <c:v>92</c:v>
                </c:pt>
                <c:pt idx="3">
                  <c:v>81</c:v>
                </c:pt>
                <c:pt idx="4">
                  <c:v>75</c:v>
                </c:pt>
                <c:pt idx="5">
                  <c:v>88</c:v>
                </c:pt>
                <c:pt idx="6">
                  <c:v>67</c:v>
                </c:pt>
                <c:pt idx="7">
                  <c:v>95</c:v>
                </c:pt>
                <c:pt idx="8">
                  <c:v>73</c:v>
                </c:pt>
                <c:pt idx="9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A-46D3-AA31-121BB363E32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telecom_churn!$AW$42:$AW$51</c:f>
              <c:numCache>
                <c:formatCode>General</c:formatCode>
                <c:ptCount val="10"/>
                <c:pt idx="0">
                  <c:v>90</c:v>
                </c:pt>
                <c:pt idx="1">
                  <c:v>88</c:v>
                </c:pt>
                <c:pt idx="2">
                  <c:v>95</c:v>
                </c:pt>
                <c:pt idx="3">
                  <c:v>84</c:v>
                </c:pt>
                <c:pt idx="4">
                  <c:v>80</c:v>
                </c:pt>
                <c:pt idx="5">
                  <c:v>91</c:v>
                </c:pt>
                <c:pt idx="6">
                  <c:v>72</c:v>
                </c:pt>
                <c:pt idx="7">
                  <c:v>98</c:v>
                </c:pt>
                <c:pt idx="8">
                  <c:v>77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A-46D3-AA31-121BB363E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051072"/>
        <c:axId val="481047232"/>
      </c:barChart>
      <c:catAx>
        <c:axId val="48105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47232"/>
        <c:crosses val="autoZero"/>
        <c:auto val="1"/>
        <c:lblAlgn val="ctr"/>
        <c:lblOffset val="100"/>
        <c:noMultiLvlLbl val="0"/>
      </c:catAx>
      <c:valAx>
        <c:axId val="4810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05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telecom_churn!$AW$42:$AW$51</c:f>
              <c:numCache>
                <c:formatCode>General</c:formatCode>
                <c:ptCount val="10"/>
                <c:pt idx="0">
                  <c:v>90</c:v>
                </c:pt>
                <c:pt idx="1">
                  <c:v>88</c:v>
                </c:pt>
                <c:pt idx="2">
                  <c:v>95</c:v>
                </c:pt>
                <c:pt idx="3">
                  <c:v>84</c:v>
                </c:pt>
                <c:pt idx="4">
                  <c:v>80</c:v>
                </c:pt>
                <c:pt idx="5">
                  <c:v>91</c:v>
                </c:pt>
                <c:pt idx="6">
                  <c:v>72</c:v>
                </c:pt>
                <c:pt idx="7">
                  <c:v>98</c:v>
                </c:pt>
                <c:pt idx="8">
                  <c:v>77</c:v>
                </c:pt>
                <c:pt idx="9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E-42BE-BAC3-B46BF3B5894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telecom_churn!$AX$42:$AX$51</c:f>
              <c:numCache>
                <c:formatCode>General</c:formatCode>
                <c:ptCount val="10"/>
                <c:pt idx="0">
                  <c:v>88</c:v>
                </c:pt>
                <c:pt idx="1">
                  <c:v>84</c:v>
                </c:pt>
                <c:pt idx="2">
                  <c:v>91</c:v>
                </c:pt>
                <c:pt idx="3">
                  <c:v>79</c:v>
                </c:pt>
                <c:pt idx="4">
                  <c:v>77</c:v>
                </c:pt>
                <c:pt idx="5">
                  <c:v>89</c:v>
                </c:pt>
                <c:pt idx="6">
                  <c:v>70</c:v>
                </c:pt>
                <c:pt idx="7">
                  <c:v>96</c:v>
                </c:pt>
                <c:pt idx="8">
                  <c:v>75</c:v>
                </c:pt>
                <c:pt idx="9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8E-42BE-BAC3-B46BF3B589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2292896"/>
        <c:axId val="362293376"/>
      </c:barChart>
      <c:catAx>
        <c:axId val="36229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93376"/>
        <c:crosses val="autoZero"/>
        <c:auto val="1"/>
        <c:lblAlgn val="ctr"/>
        <c:lblOffset val="100"/>
        <c:noMultiLvlLbl val="0"/>
      </c:catAx>
      <c:valAx>
        <c:axId val="36229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29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[Advance Excel21.xlsx]Sheet3!PivotTable22</c:name>
    <c:fmtId val="4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Count of Performance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11019460547589E-2"/>
          <c:y val="0.24272574848740477"/>
          <c:w val="0.91135043715214581"/>
          <c:h val="0.510075350437932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Sheet3!$A$4:$A$6</c:f>
              <c:strCache>
                <c:ptCount val="3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</c:strCache>
            </c:strRef>
          </c:cat>
          <c:val>
            <c:numRef>
              <c:f>Sheet3!$B$4:$B$6</c:f>
              <c:numCache>
                <c:formatCode>General</c:formatCode>
                <c:ptCount val="3"/>
                <c:pt idx="0">
                  <c:v>3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D-49A4-8002-1D53CC03B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7981296"/>
        <c:axId val="247981776"/>
      </c:barChart>
      <c:catAx>
        <c:axId val="247981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47981776"/>
        <c:crosses val="autoZero"/>
        <c:auto val="1"/>
        <c:lblAlgn val="ctr"/>
        <c:lblOffset val="100"/>
        <c:noMultiLvlLbl val="0"/>
      </c:catAx>
      <c:valAx>
        <c:axId val="2479817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2479812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69E3896-1AC8-4F35-86E4-13159C3A5971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image" Target="../media/image3.png"/><Relationship Id="rId7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ACF6B-1ECF-C900-79A3-A18DA5F9CE9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11</xdr:row>
      <xdr:rowOff>52387</xdr:rowOff>
    </xdr:from>
    <xdr:to>
      <xdr:col>17</xdr:col>
      <xdr:colOff>333375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71DA9-5EEA-CD2E-EED9-90BEAB0D4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247650</xdr:colOff>
      <xdr:row>11</xdr:row>
      <xdr:rowOff>52387</xdr:rowOff>
    </xdr:from>
    <xdr:to>
      <xdr:col>16</xdr:col>
      <xdr:colOff>552450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94E7C-D4BC-BC49-DCDE-140A5CF6D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52387</xdr:rowOff>
    </xdr:from>
    <xdr:to>
      <xdr:col>16</xdr:col>
      <xdr:colOff>304800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9AEFB-B7CF-DA85-38A9-81E9DDD27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46307</xdr:colOff>
      <xdr:row>70</xdr:row>
      <xdr:rowOff>47628</xdr:rowOff>
    </xdr:from>
    <xdr:ext cx="585575" cy="308846"/>
    <xdr:pic>
      <xdr:nvPicPr>
        <xdr:cNvPr id="12" name="Picture 11" descr="Amazon Logo and symbol, meaning, history, PNG, brand">
          <a:extLst>
            <a:ext uri="{FF2B5EF4-FFF2-40B4-BE49-F238E27FC236}">
              <a16:creationId xmlns:a16="http://schemas.microsoft.com/office/drawing/2014/main" id="{55363D9B-BCCA-4647-AB2B-C31D02FEC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628" y="20063735"/>
          <a:ext cx="585575" cy="3088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23813</xdr:colOff>
      <xdr:row>71</xdr:row>
      <xdr:rowOff>53580</xdr:rowOff>
    </xdr:from>
    <xdr:ext cx="589359" cy="323356"/>
    <xdr:pic>
      <xdr:nvPicPr>
        <xdr:cNvPr id="13" name="Picture 12" descr="Netflix | Brand Assets | Logos">
          <a:extLst>
            <a:ext uri="{FF2B5EF4-FFF2-40B4-BE49-F238E27FC236}">
              <a16:creationId xmlns:a16="http://schemas.microsoft.com/office/drawing/2014/main" id="{291B68B7-08B7-407B-BFF7-156D6A064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6134" y="20260187"/>
          <a:ext cx="589359" cy="3233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10</xdr:col>
      <xdr:colOff>41672</xdr:colOff>
      <xdr:row>72</xdr:row>
      <xdr:rowOff>59533</xdr:rowOff>
    </xdr:from>
    <xdr:ext cx="529828" cy="304145"/>
    <xdr:pic>
      <xdr:nvPicPr>
        <xdr:cNvPr id="14" name="Picture 13" descr="Google Logo and symbol, meaning, history, PNG, brand">
          <a:extLst>
            <a:ext uri="{FF2B5EF4-FFF2-40B4-BE49-F238E27FC236}">
              <a16:creationId xmlns:a16="http://schemas.microsoft.com/office/drawing/2014/main" id="{97187D5F-16B2-46EA-B9B2-3D601A237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3993" y="20456640"/>
          <a:ext cx="529828" cy="304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43</xdr:col>
      <xdr:colOff>16564</xdr:colOff>
      <xdr:row>51</xdr:row>
      <xdr:rowOff>190500</xdr:rowOff>
    </xdr:from>
    <xdr:to>
      <xdr:col>49</xdr:col>
      <xdr:colOff>8281</xdr:colOff>
      <xdr:row>65</xdr:row>
      <xdr:rowOff>101048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0A981D-47FE-48DC-BEC3-66138722FF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803413</xdr:colOff>
      <xdr:row>67</xdr:row>
      <xdr:rowOff>165652</xdr:rowOff>
    </xdr:from>
    <xdr:to>
      <xdr:col>48</xdr:col>
      <xdr:colOff>1068457</xdr:colOff>
      <xdr:row>80</xdr:row>
      <xdr:rowOff>4969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5812975-6C99-4117-B034-A156CCF7C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49</xdr:col>
      <xdr:colOff>969064</xdr:colOff>
      <xdr:row>67</xdr:row>
      <xdr:rowOff>240195</xdr:rowOff>
    </xdr:from>
    <xdr:to>
      <xdr:col>56</xdr:col>
      <xdr:colOff>107673</xdr:colOff>
      <xdr:row>80</xdr:row>
      <xdr:rowOff>34786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5A86E7-20E4-44AB-8038-D56A7365B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42</xdr:col>
      <xdr:colOff>770282</xdr:colOff>
      <xdr:row>81</xdr:row>
      <xdr:rowOff>140804</xdr:rowOff>
    </xdr:from>
    <xdr:to>
      <xdr:col>48</xdr:col>
      <xdr:colOff>1035326</xdr:colOff>
      <xdr:row>95</xdr:row>
      <xdr:rowOff>217004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16CF4E6-BF16-4E70-AECD-B09BBC1B9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50</xdr:col>
      <xdr:colOff>24848</xdr:colOff>
      <xdr:row>82</xdr:row>
      <xdr:rowOff>99391</xdr:rowOff>
    </xdr:from>
    <xdr:to>
      <xdr:col>56</xdr:col>
      <xdr:colOff>140804</xdr:colOff>
      <xdr:row>95</xdr:row>
      <xdr:rowOff>366091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5207F51-0300-407D-8459-F2CC44853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39</xdr:col>
      <xdr:colOff>0</xdr:colOff>
      <xdr:row>75</xdr:row>
      <xdr:rowOff>0</xdr:rowOff>
    </xdr:from>
    <xdr:to>
      <xdr:col>42</xdr:col>
      <xdr:colOff>561756</xdr:colOff>
      <xdr:row>89</xdr:row>
      <xdr:rowOff>98611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2F05A-4E79-4641-BFC8-6FA8BFF575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3691A32E1" refreshedDate="46177.672355902774" createdVersion="8" refreshedVersion="8" minRefreshableVersion="3" recordCount="10" xr:uid="{3679363F-D4A5-4B01-B277-838B1EBDEECD}">
  <cacheSource type="worksheet">
    <worksheetSource ref="AQ41:AZ51" sheet="telecom_churn"/>
  </cacheSource>
  <cacheFields count="10">
    <cacheField name="ID" numFmtId="0">
      <sharedItems containsSemiMixedTypes="0" containsString="0" containsNumber="1" containsInteger="1" minValue="1" maxValue="10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22"/>
    </cacheField>
    <cacheField name="City" numFmtId="0">
      <sharedItems/>
    </cacheField>
    <cacheField name="Maths" numFmtId="0">
      <sharedItems containsSemiMixedTypes="0" containsString="0" containsNumber="1" containsInteger="1" minValue="67" maxValue="95"/>
    </cacheField>
    <cacheField name="Science" numFmtId="0">
      <sharedItems containsSemiMixedTypes="0" containsString="0" containsNumber="1" containsInteger="1" minValue="72" maxValue="98"/>
    </cacheField>
    <cacheField name="English" numFmtId="0">
      <sharedItems containsSemiMixedTypes="0" containsString="0" containsNumber="1" containsInteger="1" minValue="70" maxValue="96"/>
    </cacheField>
    <cacheField name="Attendance (%)" numFmtId="0">
      <sharedItems containsSemiMixedTypes="0" containsString="0" containsNumber="1" containsInteger="1" minValue="82" maxValue="98"/>
    </cacheField>
    <cacheField name="Performance" numFmtId="0">
      <sharedItems count="3">
        <s v="Excellent"/>
        <s v="Good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3691A32E1" refreshedDate="46177.675897106485" createdVersion="8" refreshedVersion="8" minRefreshableVersion="3" recordCount="10" xr:uid="{5D49D8DC-EA6E-41E0-9C63-F4B22B41ECBD}">
  <cacheSource type="worksheet">
    <worksheetSource ref="AQ41:AZ51" sheet="telecom_churn"/>
  </cacheSource>
  <cacheFields count="10">
    <cacheField name="ID" numFmtId="0">
      <sharedItems containsSemiMixedTypes="0" containsString="0" containsNumber="1" containsInteger="1" minValue="1" maxValue="10"/>
    </cacheField>
    <cacheField name="Name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22"/>
    </cacheField>
    <cacheField name="City" numFmtId="0">
      <sharedItems/>
    </cacheField>
    <cacheField name="Maths" numFmtId="0">
      <sharedItems containsSemiMixedTypes="0" containsString="0" containsNumber="1" containsInteger="1" minValue="67" maxValue="95"/>
    </cacheField>
    <cacheField name="Science" numFmtId="0">
      <sharedItems containsSemiMixedTypes="0" containsString="0" containsNumber="1" containsInteger="1" minValue="72" maxValue="98"/>
    </cacheField>
    <cacheField name="English" numFmtId="0">
      <sharedItems containsSemiMixedTypes="0" containsString="0" containsNumber="1" containsInteger="1" minValue="70" maxValue="96"/>
    </cacheField>
    <cacheField name="Attendance (%)" numFmtId="0">
      <sharedItems containsSemiMixedTypes="0" containsString="0" containsNumber="1" containsInteger="1" minValue="82" maxValue="98"/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23691A32E1" refreshedDate="46177.683452199075" createdVersion="8" refreshedVersion="8" minRefreshableVersion="3" recordCount="10" xr:uid="{CB60B746-CE9F-41A5-80A0-C7E848190A20}">
  <cacheSource type="worksheet">
    <worksheetSource ref="AQ41:AZ51" sheet="telecom_churn"/>
  </cacheSource>
  <cacheFields count="10">
    <cacheField name="ID" numFmtId="0">
      <sharedItems containsSemiMixedTypes="0" containsString="0" containsNumber="1" containsInteger="1" minValue="1" maxValue="10"/>
    </cacheField>
    <cacheField name="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22"/>
    </cacheField>
    <cacheField name="City" numFmtId="0">
      <sharedItems/>
    </cacheField>
    <cacheField name="Maths" numFmtId="0">
      <sharedItems containsSemiMixedTypes="0" containsString="0" containsNumber="1" containsInteger="1" minValue="67" maxValue="95"/>
    </cacheField>
    <cacheField name="Science" numFmtId="0">
      <sharedItems containsSemiMixedTypes="0" containsString="0" containsNumber="1" containsInteger="1" minValue="72" maxValue="98"/>
    </cacheField>
    <cacheField name="English" numFmtId="0">
      <sharedItems containsSemiMixedTypes="0" containsString="0" containsNumber="1" containsInteger="1" minValue="70" maxValue="96"/>
    </cacheField>
    <cacheField name="Attendance (%)" numFmtId="0">
      <sharedItems containsSemiMixedTypes="0" containsString="0" containsNumber="1" containsInteger="1" minValue="82" maxValue="98"/>
    </cacheField>
    <cacheField name="Performance" numFmtId="0">
      <sharedItems count="3">
        <s v="Excellent"/>
        <s v="Good"/>
        <s v="Averag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Rahul"/>
    <x v="0"/>
    <n v="18"/>
    <s v="Guntur"/>
    <n v="85"/>
    <n v="90"/>
    <n v="88"/>
    <n v="92"/>
    <x v="0"/>
  </r>
  <r>
    <n v="2"/>
    <s v="Priya"/>
    <x v="1"/>
    <n v="19"/>
    <s v="Vijayawada"/>
    <n v="78"/>
    <n v="88"/>
    <n v="84"/>
    <n v="89"/>
    <x v="1"/>
  </r>
  <r>
    <n v="3"/>
    <s v="Arjun"/>
    <x v="0"/>
    <n v="20"/>
    <s v="Hyderabad"/>
    <n v="92"/>
    <n v="95"/>
    <n v="91"/>
    <n v="96"/>
    <x v="0"/>
  </r>
  <r>
    <n v="4"/>
    <s v="Sneha"/>
    <x v="1"/>
    <n v="18"/>
    <s v="Guntur"/>
    <n v="81"/>
    <n v="84"/>
    <n v="79"/>
    <n v="91"/>
    <x v="1"/>
  </r>
  <r>
    <n v="5"/>
    <s v="Kiran"/>
    <x v="0"/>
    <n v="21"/>
    <s v="Visakhapatnam"/>
    <n v="75"/>
    <n v="80"/>
    <n v="77"/>
    <n v="86"/>
    <x v="2"/>
  </r>
  <r>
    <n v="6"/>
    <s v="Divya"/>
    <x v="1"/>
    <n v="19"/>
    <s v="Tirupati"/>
    <n v="88"/>
    <n v="91"/>
    <n v="89"/>
    <n v="94"/>
    <x v="0"/>
  </r>
  <r>
    <n v="7"/>
    <s v="Vikram"/>
    <x v="0"/>
    <n v="20"/>
    <s v="Nellore"/>
    <n v="67"/>
    <n v="72"/>
    <n v="70"/>
    <n v="82"/>
    <x v="2"/>
  </r>
  <r>
    <n v="8"/>
    <s v="Anjali"/>
    <x v="1"/>
    <n v="18"/>
    <s v="Kakinada"/>
    <n v="95"/>
    <n v="98"/>
    <n v="96"/>
    <n v="98"/>
    <x v="0"/>
  </r>
  <r>
    <n v="9"/>
    <s v="Rohan"/>
    <x v="0"/>
    <n v="22"/>
    <s v="Ongole"/>
    <n v="73"/>
    <n v="77"/>
    <n v="75"/>
    <n v="87"/>
    <x v="2"/>
  </r>
  <r>
    <n v="10"/>
    <s v="Meena"/>
    <x v="1"/>
    <n v="19"/>
    <s v="Rajahmundry"/>
    <n v="89"/>
    <n v="93"/>
    <n v="90"/>
    <n v="9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Rahul"/>
    <x v="0"/>
    <n v="18"/>
    <s v="Guntur"/>
    <n v="85"/>
    <n v="90"/>
    <n v="88"/>
    <n v="92"/>
    <s v="Excellent"/>
  </r>
  <r>
    <n v="2"/>
    <s v="Priya"/>
    <x v="1"/>
    <n v="19"/>
    <s v="Vijayawada"/>
    <n v="78"/>
    <n v="88"/>
    <n v="84"/>
    <n v="89"/>
    <s v="Good"/>
  </r>
  <r>
    <n v="3"/>
    <s v="Arjun"/>
    <x v="0"/>
    <n v="20"/>
    <s v="Hyderabad"/>
    <n v="92"/>
    <n v="95"/>
    <n v="91"/>
    <n v="96"/>
    <s v="Excellent"/>
  </r>
  <r>
    <n v="4"/>
    <s v="Sneha"/>
    <x v="1"/>
    <n v="18"/>
    <s v="Guntur"/>
    <n v="81"/>
    <n v="84"/>
    <n v="79"/>
    <n v="91"/>
    <s v="Good"/>
  </r>
  <r>
    <n v="5"/>
    <s v="Kiran"/>
    <x v="0"/>
    <n v="21"/>
    <s v="Visakhapatnam"/>
    <n v="75"/>
    <n v="80"/>
    <n v="77"/>
    <n v="86"/>
    <s v="Average"/>
  </r>
  <r>
    <n v="6"/>
    <s v="Divya"/>
    <x v="1"/>
    <n v="19"/>
    <s v="Tirupati"/>
    <n v="88"/>
    <n v="91"/>
    <n v="89"/>
    <n v="94"/>
    <s v="Excellent"/>
  </r>
  <r>
    <n v="7"/>
    <s v="Vikram"/>
    <x v="0"/>
    <n v="20"/>
    <s v="Nellore"/>
    <n v="67"/>
    <n v="72"/>
    <n v="70"/>
    <n v="82"/>
    <s v="Average"/>
  </r>
  <r>
    <n v="8"/>
    <s v="Anjali"/>
    <x v="1"/>
    <n v="18"/>
    <s v="Kakinada"/>
    <n v="95"/>
    <n v="98"/>
    <n v="96"/>
    <n v="98"/>
    <s v="Excellent"/>
  </r>
  <r>
    <n v="9"/>
    <s v="Rohan"/>
    <x v="0"/>
    <n v="22"/>
    <s v="Ongole"/>
    <n v="73"/>
    <n v="77"/>
    <n v="75"/>
    <n v="87"/>
    <s v="Average"/>
  </r>
  <r>
    <n v="10"/>
    <s v="Meena"/>
    <x v="1"/>
    <n v="19"/>
    <s v="Rajahmundry"/>
    <n v="89"/>
    <n v="93"/>
    <n v="90"/>
    <n v="95"/>
    <s v="Excellen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Rahul"/>
    <s v="Male"/>
    <n v="18"/>
    <s v="Guntur"/>
    <n v="85"/>
    <n v="90"/>
    <n v="88"/>
    <n v="92"/>
    <x v="0"/>
  </r>
  <r>
    <n v="2"/>
    <s v="Priya"/>
    <s v="Female"/>
    <n v="19"/>
    <s v="Vijayawada"/>
    <n v="78"/>
    <n v="88"/>
    <n v="84"/>
    <n v="89"/>
    <x v="1"/>
  </r>
  <r>
    <n v="3"/>
    <s v="Arjun"/>
    <s v="Male"/>
    <n v="20"/>
    <s v="Hyderabad"/>
    <n v="92"/>
    <n v="95"/>
    <n v="91"/>
    <n v="96"/>
    <x v="0"/>
  </r>
  <r>
    <n v="4"/>
    <s v="Sneha"/>
    <s v="Female"/>
    <n v="18"/>
    <s v="Guntur"/>
    <n v="81"/>
    <n v="84"/>
    <n v="79"/>
    <n v="91"/>
    <x v="1"/>
  </r>
  <r>
    <n v="5"/>
    <s v="Kiran"/>
    <s v="Male"/>
    <n v="21"/>
    <s v="Visakhapatnam"/>
    <n v="75"/>
    <n v="80"/>
    <n v="77"/>
    <n v="86"/>
    <x v="2"/>
  </r>
  <r>
    <n v="6"/>
    <s v="Divya"/>
    <s v="Female"/>
    <n v="19"/>
    <s v="Tirupati"/>
    <n v="88"/>
    <n v="91"/>
    <n v="89"/>
    <n v="94"/>
    <x v="0"/>
  </r>
  <r>
    <n v="7"/>
    <s v="Vikram"/>
    <s v="Male"/>
    <n v="20"/>
    <s v="Nellore"/>
    <n v="67"/>
    <n v="72"/>
    <n v="70"/>
    <n v="82"/>
    <x v="2"/>
  </r>
  <r>
    <n v="8"/>
    <s v="Anjali"/>
    <s v="Female"/>
    <n v="18"/>
    <s v="Kakinada"/>
    <n v="95"/>
    <n v="98"/>
    <n v="96"/>
    <n v="98"/>
    <x v="0"/>
  </r>
  <r>
    <n v="9"/>
    <s v="Rohan"/>
    <s v="Male"/>
    <n v="22"/>
    <s v="Ongole"/>
    <n v="73"/>
    <n v="77"/>
    <n v="75"/>
    <n v="87"/>
    <x v="2"/>
  </r>
  <r>
    <n v="10"/>
    <s v="Meena"/>
    <s v="Female"/>
    <n v="19"/>
    <s v="Rajahmundry"/>
    <n v="89"/>
    <n v="93"/>
    <n v="90"/>
    <n v="9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F25706-A214-4EE9-BA0D-5CF1C4CD38F7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C20" firstHeaderRow="1" firstDataRow="1" firstDataCol="0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7F5B9-6BFA-4B4C-8C2A-0213A44F69F2}" name="PivotTable12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5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2">
    <i>
      <x/>
    </i>
    <i>
      <x v="1"/>
    </i>
  </rowItems>
  <colItems count="1">
    <i/>
  </colItems>
  <dataFields count="1">
    <dataField name="Sum of Attendance (%)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995A7-3400-4DD4-B38E-EDD310AAF00F}" name="PivotTable2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5">
  <location ref="A3:B6" firstHeaderRow="1" firstDataRow="1" firstDataCol="1"/>
  <pivotFields count="10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9"/>
  </rowFields>
  <rowItems count="3">
    <i>
      <x/>
    </i>
    <i>
      <x v="1"/>
    </i>
    <i>
      <x v="2"/>
    </i>
  </rowItems>
  <colItems count="1">
    <i/>
  </colItems>
  <dataFields count="1">
    <dataField name="Count of Performance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B6018-6DCD-48ED-966B-7C2018214CE3}" name="Table1" displayName="Table1" ref="M1:AD49" totalsRowShown="0" headerRowDxfId="97" headerRowBorderDxfId="96">
  <autoFilter ref="M1:AD49" xr:uid="{670B6018-6DCD-48ED-966B-7C2018214CE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8D8F8B7C-2628-4BD7-8A45-6FA8F55872E0}" name="SQRT">
      <calculatedColumnFormula>SQRT(B2)</calculatedColumnFormula>
    </tableColumn>
    <tableColumn id="2" xr3:uid="{5391718E-A3BE-4DF6-BA33-9EFA5DDA6CF0}" name="ROUND">
      <calculatedColumnFormula>ROUND(Table1[[#This Row],[SQRT]],2)</calculatedColumnFormula>
    </tableColumn>
    <tableColumn id="3" xr3:uid="{C2C92D76-0C33-48C4-A9B1-B2D7716E1DB7}" name="MIN">
      <calculatedColumnFormula>MIN(H2,I2)</calculatedColumnFormula>
    </tableColumn>
    <tableColumn id="4" xr3:uid="{8D5352A2-6DA3-4E02-8D80-4889DF47339F}" name="MAX">
      <calculatedColumnFormula>MAX(H2,I2)</calculatedColumnFormula>
    </tableColumn>
    <tableColumn id="5" xr3:uid="{812BDAE0-8F42-4C7B-AE6F-4D63E1F3DC05}" name="AVERAGE">
      <calculatedColumnFormula>AVERAGE(H2,I2)</calculatedColumnFormula>
    </tableColumn>
    <tableColumn id="6" xr3:uid="{748C8A15-B838-49DE-89D4-FD223B38275D}" name="SUM">
      <calculatedColumnFormula>SUM(H2,I2)</calculatedColumnFormula>
    </tableColumn>
    <tableColumn id="7" xr3:uid="{9D6C922D-4B83-4608-8622-45BCE2EFDA88}" name="MEDAIN">
      <calculatedColumnFormula>MEDIAN(D2,G2)</calculatedColumnFormula>
    </tableColumn>
    <tableColumn id="8" xr3:uid="{283625A0-5037-4DAB-BD33-9EA5EE95868C}" name="RANK">
      <calculatedColumnFormula>RANK(B2,B:B)</calculatedColumnFormula>
    </tableColumn>
    <tableColumn id="9" xr3:uid="{04DA1A55-44CE-4533-8C35-3E4B0C3765AB}" name="LEFT">
      <calculatedColumnFormula>LEFT(C2,1)</calculatedColumnFormula>
    </tableColumn>
    <tableColumn id="10" xr3:uid="{E6936125-73F4-4635-A992-7EBC0D5A8B41}" name="Right">
      <calculatedColumnFormula>RIGHT(C2,2)</calculatedColumnFormula>
    </tableColumn>
    <tableColumn id="11" xr3:uid="{F057A775-426A-4E5E-BBC6-C30141B93D27}" name="Length">
      <calculatedColumnFormula>LEN(C2)</calculatedColumnFormula>
    </tableColumn>
    <tableColumn id="12" xr3:uid="{097A98F5-D5C3-4337-B02A-65005EA454AD}" name="Date"/>
    <tableColumn id="13" xr3:uid="{57C3675E-344E-49F8-B57D-3E6B0DF05BC6}" name="Year">
      <calculatedColumnFormula>YEAR(X2)</calculatedColumnFormula>
    </tableColumn>
    <tableColumn id="14" xr3:uid="{9F71330E-7924-472D-B476-6BBEE1B9AD9F}" name="Month">
      <calculatedColumnFormula>MONTH(X2)</calculatedColumnFormula>
    </tableColumn>
    <tableColumn id="15" xr3:uid="{C2CDCCC6-9370-40C9-BE7B-8FD678BEAFDD}" name="DAY">
      <calculatedColumnFormula>DAY(X2)</calculatedColumnFormula>
    </tableColumn>
    <tableColumn id="16" xr3:uid="{448FA3BF-A112-48EC-B090-5528D9E73F38}" name="WEEKDAYS">
      <calculatedColumnFormula>WEEKDAY(X2)</calculatedColumnFormula>
    </tableColumn>
    <tableColumn id="17" xr3:uid="{338FD27A-AB98-4603-A5B2-B466367DCA97}" name="EOMONTH">
      <calculatedColumnFormula>EOMONTH(X2,4)</calculatedColumnFormula>
    </tableColumn>
    <tableColumn id="18" xr3:uid="{4BC2FFB8-2583-41C9-B9E3-F952E4BC6126}" name="NETWORK DAYS">
      <calculatedColumnFormula>NETWORKDAYS(X2,AC2)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EF5ED0-8D37-47BF-82E0-FDC18D6DE740}" name="Table3" displayName="Table3" ref="AF37:AO47" totalsRowShown="0" headerRowDxfId="95" dataDxfId="93" headerRowBorderDxfId="94" tableBorderDxfId="92" totalsRowBorderDxfId="91">
  <autoFilter ref="AF37:AO47" xr:uid="{30EF5ED0-8D37-47BF-82E0-FDC18D6DE74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15CB019F-D95B-4211-9F64-81153EC311DC}" name="Employee_ID" dataDxfId="90"/>
    <tableColumn id="2" xr3:uid="{AE9B01AB-5013-4D70-9F0D-4A1B31D94F9D}" name="Name" dataDxfId="89"/>
    <tableColumn id="3" xr3:uid="{DDAD7903-D81E-4CEB-9CEE-A3F13D88D971}" name="Age" dataDxfId="88"/>
    <tableColumn id="4" xr3:uid="{514183FC-3ADB-47F7-B36D-8526F55211D8}" name="Gender" dataDxfId="87"/>
    <tableColumn id="5" xr3:uid="{2ED04623-0D48-4E1C-8D05-7E66BF31B0D3}" name="Department" dataDxfId="86"/>
    <tableColumn id="6" xr3:uid="{21C13B09-C99E-40F7-ADA0-BD02A5020478}" name="Job_Role" dataDxfId="85"/>
    <tableColumn id="7" xr3:uid="{25AF5C36-A9B7-481B-BD91-272DE5DF5E3B}" name="Salary" dataDxfId="84"/>
    <tableColumn id="8" xr3:uid="{08E6F58A-B896-4BC6-92CD-FDFF0DC352F8}" name="Experience_Years" dataDxfId="83"/>
    <tableColumn id="9" xr3:uid="{E968437C-0E1D-430B-B631-90BE09BCEF01}" name="Performance_Rating" dataDxfId="82"/>
    <tableColumn id="10" xr3:uid="{A8A35C7D-DA1E-4B1E-97F0-8B5B316528FC}" name="Location" dataDxfId="8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4FF464-2BBC-4E72-82C2-8B87DDB0BEF7}" name="Table7" displayName="Table7" ref="AF57:AP66" totalsRowShown="0" headerRowDxfId="80" dataDxfId="78" headerRowBorderDxfId="79" tableBorderDxfId="77" totalsRowBorderDxfId="76">
  <autoFilter ref="AF57:AP66" xr:uid="{384FF464-2BBC-4E72-82C2-8B87DDB0BE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D265E801-4D30-4B73-BD53-68A3AA730A8E}" name="Employee_ID" dataDxfId="75"/>
    <tableColumn id="2" xr3:uid="{8B0E6018-EB0A-40D1-A5F2-96B8C42B04FC}" name="EMP001" dataDxfId="74"/>
    <tableColumn id="3" xr3:uid="{7AD5C290-C582-47C5-9FD6-0745ACA8501C}" name="EMP002" dataDxfId="73"/>
    <tableColumn id="4" xr3:uid="{2AD8EED1-692E-4ACF-8F16-F5B1E1A239F8}" name="EMP003" dataDxfId="72"/>
    <tableColumn id="5" xr3:uid="{46B916F2-1325-4E82-9071-913DFB34C8EC}" name="EMP004" dataDxfId="71"/>
    <tableColumn id="6" xr3:uid="{49E72441-5E2F-4292-B251-446B2D381AD1}" name="EMP005" dataDxfId="70"/>
    <tableColumn id="7" xr3:uid="{DFD02BA4-4F9A-451F-A238-6CF5A4ECA1D9}" name="EMP006" dataDxfId="69"/>
    <tableColumn id="8" xr3:uid="{B71141D0-4AC4-4BD2-96B5-2187CFBD3339}" name="EMP007" dataDxfId="68"/>
    <tableColumn id="9" xr3:uid="{3CEDCF8B-5F2D-4016-A654-486F1DE62CFD}" name="EMP008" dataDxfId="67"/>
    <tableColumn id="10" xr3:uid="{E58BD38C-8E08-4865-B7C5-A98AC5F0976D}" name="EMP009" dataDxfId="66"/>
    <tableColumn id="11" xr3:uid="{D38BBF14-917E-4B05-B93B-0952014A0E80}" name="EMP010" dataDxfId="6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8456E-2534-4A18-A9C6-C1D69B5F06EE}" name="Table9" displayName="Table9" ref="AF51:AO55" totalsRowShown="0" headerRowDxfId="64" dataDxfId="62" headerRowBorderDxfId="63" tableBorderDxfId="61" totalsRowBorderDxfId="60">
  <autoFilter ref="AF51:AO55" xr:uid="{9918456E-2534-4A18-A9C6-C1D69B5F06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5449DB61-E1B0-460A-A312-05ED4E162A5C}" name="VLOOKUP" dataDxfId="59"/>
    <tableColumn id="2" xr3:uid="{635A292C-8CED-49B2-8FE5-E72197B32DF5}" name="HLOOKUP" dataDxfId="58"/>
    <tableColumn id="3" xr3:uid="{A7AE5EEB-2F94-4772-9893-14193696E49D}" name="Column1" dataDxfId="57"/>
    <tableColumn id="4" xr3:uid="{0481CD77-AAD2-40E4-818F-A30AD830FEE3}" name="MATCH" dataDxfId="56"/>
    <tableColumn id="5" xr3:uid="{705079EC-EDA7-4A6C-905A-8CE71E4CC04A}" name="Column2" dataDxfId="55"/>
    <tableColumn id="6" xr3:uid="{37337138-D067-4BA2-81BB-BEECE00F6D83}" name="Column3" dataDxfId="54"/>
    <tableColumn id="7" xr3:uid="{F44C6938-E265-42D7-A63F-456FBCFBD295}" name="INDEX" dataDxfId="53"/>
    <tableColumn id="8" xr3:uid="{80A448C8-5964-4391-A4E9-0E1ECD0C547F}" name="Column4" dataDxfId="52"/>
    <tableColumn id="9" xr3:uid="{91FAC03D-F6FA-40F4-AF8E-F6FBBFFFA8E4}" name="Column5" dataDxfId="51"/>
    <tableColumn id="10" xr3:uid="{3BD89289-261B-470E-9504-B5F202057080}" name="XLOOKUP" dataDxfId="5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BCECC95-5FC5-478D-96E6-3FCED96D9835}" name="Table22" displayName="Table22" ref="A1:L49" totalsRowShown="0" headerRowDxfId="49" headerRowBorderDxfId="48">
  <autoFilter ref="A1:L49" xr:uid="{8BCECC95-5FC5-478D-96E6-3FCED96D983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9D6533EE-978A-4571-B1D2-92933057A55A}" name="Churn"/>
    <tableColumn id="2" xr3:uid="{5796BE1A-E044-4F62-B9C3-986F946C43AA}" name="AccountWeeks"/>
    <tableColumn id="3" xr3:uid="{4A6AE5D0-C754-49ED-96FF-397DD5933128}" name="GENDER"/>
    <tableColumn id="4" xr3:uid="{B2FEBD4C-64E7-4664-B438-A4CAF3594CF6}" name="ContractRenewal"/>
    <tableColumn id="5" xr3:uid="{E6A9B70E-D226-4A4F-B7C9-73F0ADFF27D4}" name="DataPlan"/>
    <tableColumn id="6" xr3:uid="{BF3407A2-BB75-4687-8B7D-D6307F570B83}" name="DataUsage"/>
    <tableColumn id="7" xr3:uid="{14A7C599-212B-4678-86D9-F74717E2B236}" name="CustServCalls"/>
    <tableColumn id="8" xr3:uid="{29BF34D8-65E0-451C-858E-8A9BEFA4453F}" name="DayMins"/>
    <tableColumn id="9" xr3:uid="{96CB0A94-6820-4A8D-A7B1-CD945D472FB6}" name="DayCalls"/>
    <tableColumn id="10" xr3:uid="{957F5951-BE1B-4D80-9B26-6AE8DE8B1CD7}" name="MonthlyCharge"/>
    <tableColumn id="11" xr3:uid="{CB355857-EAA1-41D2-B043-C578CE112B8D}" name="OverageFee"/>
    <tableColumn id="12" xr3:uid="{E90017EC-7646-4E0F-AAAE-79FB47AD6488}" name="RoamMins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F095A568-4950-468C-88F3-03890ADB02EF}" name="Table6192026" displayName="Table6192026" ref="B69:G77" totalsRowShown="0">
  <autoFilter ref="B69:G77" xr:uid="{F095A568-4950-468C-88F3-03890ADB02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710A532F-F5F2-4234-B6CC-83E6B415B1F0}" name="0"/>
    <tableColumn id="2" xr3:uid="{A1719AD3-F00C-4D99-A8B9-518C9C7C1B9B}" name="Column1"/>
    <tableColumn id="3" xr3:uid="{0B131C8D-0E72-4366-AA7A-8DE12A5534B4}" name="Column2"/>
    <tableColumn id="4" xr3:uid="{DED4170B-AD09-4B7F-B90C-CC5036844329}" name="Column3"/>
    <tableColumn id="5" xr3:uid="{CD6A5A86-A2DA-493A-BA5E-70F704F47383}" name="Column5"/>
    <tableColumn id="6" xr3:uid="{2A4A64FC-10D1-4D02-9A83-6B95BD8764DC}" name="Column6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814FCB9-7401-470C-8EFF-A4A377DFA646}" name="Table824" displayName="Table824" ref="A54:S64" totalsRowShown="0" headerRowDxfId="47" dataDxfId="45" headerRowBorderDxfId="46" tableBorderDxfId="44" totalsRowBorderDxfId="43">
  <autoFilter ref="A54:S64" xr:uid="{E814FCB9-7401-470C-8EFF-A4A377DFA64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</autoFilter>
  <tableColumns count="19">
    <tableColumn id="1" xr3:uid="{DC768F44-58D2-4691-95D4-FF02C1322054}" name="Employee_ID" dataDxfId="42"/>
    <tableColumn id="2" xr3:uid="{FA4CF11A-9B39-451D-AEA7-49E9DCA92D97}" name="Name" dataDxfId="41"/>
    <tableColumn id="3" xr3:uid="{4623D732-AD9E-4241-BECD-AB3F0955C131}" name="Age" dataDxfId="40"/>
    <tableColumn id="4" xr3:uid="{8BD08CEC-27E0-4C61-9B30-D1EE8620A41D}" name="Gender" dataDxfId="39"/>
    <tableColumn id="5" xr3:uid="{E82478F9-FBAC-4D8B-B6D7-B0EAA58C77D7}" name="Department" dataDxfId="38"/>
    <tableColumn id="6" xr3:uid="{3EDC41A5-C902-455D-A64A-144D980F7EDE}" name="Job_Role" dataDxfId="37"/>
    <tableColumn id="7" xr3:uid="{560B5C66-8356-47F4-B80D-3F0DDB21758B}" name="Salary" dataDxfId="36"/>
    <tableColumn id="8" xr3:uid="{3A9D3797-2239-4718-83E6-6B112BE88CD6}" name="Experience_Years" dataDxfId="35"/>
    <tableColumn id="9" xr3:uid="{C8741490-7CA4-4098-B3E3-4CC55B5CEA72}" name="Performance_Rating" dataDxfId="34"/>
    <tableColumn id="10" xr3:uid="{5426CD62-9C37-4BE6-8E40-C1F4C9F38AEB}" name="Location" dataDxfId="33"/>
    <tableColumn id="11" xr3:uid="{FD197567-4F4B-403E-93C8-DC16890AE88E}" name="Age status" dataDxfId="32">
      <calculatedColumnFormula>IF(C55&gt;25,"ABOVE 25","BELOW 25")</calculatedColumnFormula>
    </tableColumn>
    <tableColumn id="12" xr3:uid="{30F6689A-7AB7-47F9-8E84-2B6345F194E8}" name="age_bins" dataDxfId="31">
      <calculatedColumnFormula array="1">_xlfn.IFS(G54&lt;50000,"40000-50000",G54&lt;60000,"50000-60000",G54&lt;70000,"60000-70000",G54&lt;80000,"70000-80000",G54&lt;90000,"80000-90000")</calculatedColumnFormula>
    </tableColumn>
    <tableColumn id="13" xr3:uid="{8F3090E8-CAA3-4078-8567-36041DD9CDF7}" name="AND" dataDxfId="30">
      <calculatedColumnFormula>AND(C55&lt;30,H55&lt;6)</calculatedColumnFormula>
    </tableColumn>
    <tableColumn id="14" xr3:uid="{B771FE2A-C3A4-4E86-A326-416A54B9E392}" name="OR" dataDxfId="29">
      <calculatedColumnFormula>OR(C55&gt;35,H55&gt;3)</calculatedColumnFormula>
    </tableColumn>
    <tableColumn id="15" xr3:uid="{FA444B40-BED1-4CA9-8F13-FD1E0E8FEFFA}" name="NOT" dataDxfId="28">
      <calculatedColumnFormula>NOT(G55&gt;60000)</calculatedColumnFormula>
    </tableColumn>
    <tableColumn id="16" xr3:uid="{13B5A8F9-0A49-4ABF-AB85-71058AA7580C}" name="XOR" dataDxfId="27">
      <calculatedColumnFormula>_xlfn.XOR(C55&lt;25,G55&lt;10000)</calculatedColumnFormula>
    </tableColumn>
    <tableColumn id="17" xr3:uid="{1EF96D1F-B185-4844-8AA4-90C7294477F7}" name="ERROR" dataDxfId="26"/>
    <tableColumn id="18" xr3:uid="{1D0F59EC-4EC4-4CE1-8240-4DE16AAE94EC}" name="ISBLANK" dataDxfId="25">
      <calculatedColumnFormula>ISBLANK(I55)</calculatedColumnFormula>
    </tableColumn>
    <tableColumn id="19" xr3:uid="{3D3C072E-F7EE-44AB-BABD-548CCD307F52}" name="ISNUMBER" dataDxfId="24">
      <calculatedColumnFormula>ISNUMBER(I55)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E1771F-A4DB-4118-9504-DF5B4DEEF4D2}" name="Table4131415" displayName="Table4131415" ref="AF14:AK16" totalsRowShown="0" headerRowDxfId="23" dataDxfId="21" headerRowBorderDxfId="22" tableBorderDxfId="20" totalsRowBorderDxfId="19">
  <autoFilter ref="AF14:AK16" xr:uid="{6FE1771F-A4DB-4118-9504-DF5B4DEEF4D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09EE404-9709-45B9-B1E4-B88899F9B6AE}" name="PRODUCT" dataDxfId="18">
      <calculatedColumnFormula>PRODUCT(10,5)</calculatedColumnFormula>
    </tableColumn>
    <tableColumn id="2" xr3:uid="{BBBD4DB9-3C92-4909-B942-3A80EE4C30E0}" name="MOD" dataDxfId="17">
      <calculatedColumnFormula>MOD(100,5)</calculatedColumnFormula>
    </tableColumn>
    <tableColumn id="3" xr3:uid="{054C240B-94BF-495E-9979-664C377B61B3}" name="FACT" dataDxfId="16">
      <calculatedColumnFormula>FACT(10)</calculatedColumnFormula>
    </tableColumn>
    <tableColumn id="4" xr3:uid="{8BFD7A6C-7CE2-4057-87C0-5E329C85C636}" name="ROUND" dataDxfId="15">
      <calculatedColumnFormula>ROUND(SQRT(26),2)</calculatedColumnFormula>
    </tableColumn>
    <tableColumn id="5" xr3:uid="{6816E502-42E3-4C85-8F00-DDDD397D190A}" name="ROUNDDOWN" dataDxfId="14">
      <calculatedColumnFormula>ROUNDDOWN(SQRT(42),2)</calculatedColumnFormula>
    </tableColumn>
    <tableColumn id="6" xr3:uid="{9C8A07B2-64D3-43CD-BD7E-9FAD202BD463}" name="ROUNDUP" dataDxfId="13">
      <calculatedColumnFormula>ROUNDUP(SQRT(28),2)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9ADF-CACF-43C2-BFAA-526314775DFE}">
  <dimension ref="A3:C20"/>
  <sheetViews>
    <sheetView workbookViewId="0">
      <selection activeCell="A3" sqref="A3"/>
    </sheetView>
  </sheetViews>
  <sheetFormatPr defaultRowHeight="15" x14ac:dyDescent="0.25"/>
  <cols>
    <col min="1" max="1" width="10" bestFit="1" customWidth="1"/>
    <col min="2" max="2" width="15.85546875" bestFit="1" customWidth="1"/>
    <col min="3" max="3" width="9.140625" bestFit="1" customWidth="1"/>
    <col min="4" max="4" width="5.85546875" bestFit="1" customWidth="1"/>
  </cols>
  <sheetData>
    <row r="3" spans="1:3" x14ac:dyDescent="0.25">
      <c r="A3" s="70"/>
      <c r="B3" s="71"/>
      <c r="C3" s="72"/>
    </row>
    <row r="4" spans="1:3" x14ac:dyDescent="0.25">
      <c r="A4" s="73"/>
      <c r="B4" s="74"/>
      <c r="C4" s="75"/>
    </row>
    <row r="5" spans="1:3" x14ac:dyDescent="0.25">
      <c r="A5" s="73"/>
      <c r="B5" s="74"/>
      <c r="C5" s="75"/>
    </row>
    <row r="6" spans="1:3" x14ac:dyDescent="0.25">
      <c r="A6" s="73"/>
      <c r="B6" s="74"/>
      <c r="C6" s="75"/>
    </row>
    <row r="7" spans="1:3" x14ac:dyDescent="0.25">
      <c r="A7" s="73"/>
      <c r="B7" s="74"/>
      <c r="C7" s="75"/>
    </row>
    <row r="8" spans="1:3" x14ac:dyDescent="0.25">
      <c r="A8" s="73"/>
      <c r="B8" s="74"/>
      <c r="C8" s="75"/>
    </row>
    <row r="9" spans="1:3" x14ac:dyDescent="0.25">
      <c r="A9" s="73"/>
      <c r="B9" s="74"/>
      <c r="C9" s="75"/>
    </row>
    <row r="10" spans="1:3" x14ac:dyDescent="0.25">
      <c r="A10" s="73"/>
      <c r="B10" s="74"/>
      <c r="C10" s="75"/>
    </row>
    <row r="11" spans="1:3" x14ac:dyDescent="0.25">
      <c r="A11" s="73"/>
      <c r="B11" s="74"/>
      <c r="C11" s="75"/>
    </row>
    <row r="12" spans="1:3" x14ac:dyDescent="0.25">
      <c r="A12" s="73"/>
      <c r="B12" s="74"/>
      <c r="C12" s="75"/>
    </row>
    <row r="13" spans="1:3" x14ac:dyDescent="0.25">
      <c r="A13" s="73"/>
      <c r="B13" s="74"/>
      <c r="C13" s="75"/>
    </row>
    <row r="14" spans="1:3" x14ac:dyDescent="0.25">
      <c r="A14" s="73"/>
      <c r="B14" s="74"/>
      <c r="C14" s="75"/>
    </row>
    <row r="15" spans="1:3" x14ac:dyDescent="0.25">
      <c r="A15" s="73"/>
      <c r="B15" s="74"/>
      <c r="C15" s="75"/>
    </row>
    <row r="16" spans="1:3" x14ac:dyDescent="0.25">
      <c r="A16" s="73"/>
      <c r="B16" s="74"/>
      <c r="C16" s="75"/>
    </row>
    <row r="17" spans="1:3" x14ac:dyDescent="0.25">
      <c r="A17" s="73"/>
      <c r="B17" s="74"/>
      <c r="C17" s="75"/>
    </row>
    <row r="18" spans="1:3" x14ac:dyDescent="0.25">
      <c r="A18" s="73"/>
      <c r="B18" s="74"/>
      <c r="C18" s="75"/>
    </row>
    <row r="19" spans="1:3" x14ac:dyDescent="0.25">
      <c r="A19" s="73"/>
      <c r="B19" s="74"/>
      <c r="C19" s="75"/>
    </row>
    <row r="20" spans="1:3" x14ac:dyDescent="0.25">
      <c r="A20" s="76"/>
      <c r="B20" s="77"/>
      <c r="C20" s="78"/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49FC5-243B-4724-92B5-FA7F413C5A2D}">
  <dimension ref="A3:B5"/>
  <sheetViews>
    <sheetView workbookViewId="0">
      <selection activeCell="R25" sqref="R25"/>
    </sheetView>
  </sheetViews>
  <sheetFormatPr defaultRowHeight="15" x14ac:dyDescent="0.25"/>
  <cols>
    <col min="1" max="1" width="10" bestFit="1" customWidth="1"/>
    <col min="2" max="2" width="21.7109375" bestFit="1" customWidth="1"/>
  </cols>
  <sheetData>
    <row r="3" spans="1:2" x14ac:dyDescent="0.25">
      <c r="A3" s="79" t="s">
        <v>73</v>
      </c>
      <c r="B3" t="s">
        <v>249</v>
      </c>
    </row>
    <row r="4" spans="1:2" x14ac:dyDescent="0.25">
      <c r="A4" t="s">
        <v>21</v>
      </c>
      <c r="B4" s="80">
        <v>467</v>
      </c>
    </row>
    <row r="5" spans="1:2" x14ac:dyDescent="0.25">
      <c r="A5" t="s">
        <v>22</v>
      </c>
      <c r="B5" s="80">
        <v>443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804CB-CF29-404A-A184-729421E1B9E0}">
  <dimension ref="A3:B6"/>
  <sheetViews>
    <sheetView workbookViewId="0">
      <selection activeCell="A3" sqref="A3"/>
    </sheetView>
  </sheetViews>
  <sheetFormatPr defaultRowHeight="15" x14ac:dyDescent="0.25"/>
  <cols>
    <col min="1" max="1" width="14.7109375" bestFit="1" customWidth="1"/>
    <col min="2" max="2" width="20.7109375" bestFit="1" customWidth="1"/>
  </cols>
  <sheetData>
    <row r="3" spans="1:2" x14ac:dyDescent="0.25">
      <c r="A3" s="79" t="s">
        <v>242</v>
      </c>
      <c r="B3" t="s">
        <v>250</v>
      </c>
    </row>
    <row r="4" spans="1:2" x14ac:dyDescent="0.25">
      <c r="A4" t="s">
        <v>166</v>
      </c>
      <c r="B4" s="80">
        <v>3</v>
      </c>
    </row>
    <row r="5" spans="1:2" x14ac:dyDescent="0.25">
      <c r="A5" t="s">
        <v>243</v>
      </c>
      <c r="B5" s="80">
        <v>5</v>
      </c>
    </row>
    <row r="6" spans="1:2" x14ac:dyDescent="0.25">
      <c r="A6" t="s">
        <v>244</v>
      </c>
      <c r="B6" s="80">
        <v>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1321-4A1E-4089-BD50-19DD412397C8}">
  <dimension ref="A1:CD154"/>
  <sheetViews>
    <sheetView tabSelected="1" topLeftCell="AX52" zoomScale="70" zoomScaleNormal="70" workbookViewId="0">
      <selection activeCell="BU95" sqref="BU95"/>
    </sheetView>
  </sheetViews>
  <sheetFormatPr defaultRowHeight="15" x14ac:dyDescent="0.25"/>
  <cols>
    <col min="2" max="2" width="17.7109375" customWidth="1"/>
    <col min="3" max="3" width="14.42578125" customWidth="1"/>
    <col min="4" max="4" width="19.5703125" customWidth="1"/>
    <col min="5" max="5" width="12.28515625" customWidth="1"/>
    <col min="6" max="6" width="13.85546875" customWidth="1"/>
    <col min="7" max="7" width="16.28515625" customWidth="1"/>
    <col min="8" max="8" width="12.140625" customWidth="1"/>
    <col min="9" max="9" width="11.42578125" customWidth="1"/>
    <col min="10" max="10" width="17.5703125" customWidth="1"/>
    <col min="11" max="11" width="15.140625" customWidth="1"/>
    <col min="12" max="12" width="13" customWidth="1"/>
    <col min="14" max="14" width="9.7109375" customWidth="1"/>
    <col min="17" max="17" width="11.42578125" customWidth="1"/>
    <col min="19" max="19" width="10.42578125" customWidth="1"/>
    <col min="24" max="24" width="10.42578125" bestFit="1" customWidth="1"/>
    <col min="28" max="28" width="12.7109375" customWidth="1"/>
    <col min="29" max="29" width="12.42578125" customWidth="1"/>
    <col min="30" max="30" width="17.140625" customWidth="1"/>
    <col min="31" max="31" width="12.85546875" customWidth="1"/>
    <col min="32" max="32" width="17.140625" customWidth="1"/>
    <col min="33" max="33" width="14.42578125" customWidth="1"/>
    <col min="34" max="34" width="10.42578125" customWidth="1"/>
    <col min="35" max="35" width="17.7109375" customWidth="1"/>
    <col min="36" max="36" width="16.28515625" customWidth="1"/>
    <col min="37" max="37" width="16.7109375" customWidth="1"/>
    <col min="38" max="38" width="11" customWidth="1"/>
    <col min="39" max="39" width="22" customWidth="1"/>
    <col min="40" max="40" width="26" customWidth="1"/>
    <col min="41" max="41" width="14.85546875" customWidth="1"/>
    <col min="42" max="42" width="19.140625" customWidth="1"/>
    <col min="43" max="43" width="12.28515625" customWidth="1"/>
    <col min="45" max="45" width="16.42578125" customWidth="1"/>
    <col min="47" max="47" width="13.7109375" customWidth="1"/>
    <col min="48" max="48" width="11" customWidth="1"/>
    <col min="49" max="49" width="16.42578125" customWidth="1"/>
    <col min="50" max="50" width="14.7109375" customWidth="1"/>
    <col min="51" max="51" width="15.42578125" customWidth="1"/>
    <col min="52" max="52" width="14.7109375" customWidth="1"/>
    <col min="56" max="56" width="18.85546875" customWidth="1"/>
    <col min="58" max="58" width="11" customWidth="1"/>
    <col min="59" max="59" width="16.5703125" customWidth="1"/>
    <col min="60" max="60" width="13.28515625" customWidth="1"/>
    <col min="61" max="61" width="15" customWidth="1"/>
    <col min="62" max="62" width="13.5703125" customWidth="1"/>
    <col min="63" max="63" width="11.42578125" customWidth="1"/>
    <col min="64" max="64" width="13.140625" customWidth="1"/>
    <col min="65" max="65" width="19.42578125" customWidth="1"/>
    <col min="67" max="67" width="13.28515625" customWidth="1"/>
    <col min="68" max="68" width="15.140625" customWidth="1"/>
    <col min="70" max="70" width="17.7109375" customWidth="1"/>
    <col min="71" max="71" width="13.140625" customWidth="1"/>
    <col min="72" max="72" width="13.85546875" customWidth="1"/>
    <col min="73" max="73" width="16.28515625" customWidth="1"/>
  </cols>
  <sheetData>
    <row r="1" spans="1:81" ht="27.75" thickBot="1" x14ac:dyDescent="0.55000000000000004">
      <c r="A1" s="10" t="s">
        <v>0</v>
      </c>
      <c r="B1" s="10" t="s">
        <v>1</v>
      </c>
      <c r="C1" s="10" t="s">
        <v>20</v>
      </c>
      <c r="D1" s="10" t="s">
        <v>2</v>
      </c>
      <c r="E1" s="10" t="s">
        <v>3</v>
      </c>
      <c r="F1" s="10" t="s">
        <v>4</v>
      </c>
      <c r="G1" s="10" t="s">
        <v>5</v>
      </c>
      <c r="H1" s="10" t="s">
        <v>6</v>
      </c>
      <c r="I1" s="10" t="s">
        <v>7</v>
      </c>
      <c r="J1" s="10" t="s">
        <v>8</v>
      </c>
      <c r="K1" s="10" t="s">
        <v>9</v>
      </c>
      <c r="L1" s="10" t="s">
        <v>10</v>
      </c>
      <c r="M1" s="50" t="s">
        <v>11</v>
      </c>
      <c r="N1" s="50" t="s">
        <v>12</v>
      </c>
      <c r="O1" s="50" t="s">
        <v>13</v>
      </c>
      <c r="P1" s="50" t="s">
        <v>14</v>
      </c>
      <c r="Q1" s="50" t="s">
        <v>15</v>
      </c>
      <c r="R1" s="50" t="s">
        <v>16</v>
      </c>
      <c r="S1" s="50" t="s">
        <v>17</v>
      </c>
      <c r="T1" s="50" t="s">
        <v>18</v>
      </c>
      <c r="U1" s="50" t="s">
        <v>19</v>
      </c>
      <c r="V1" s="50" t="s">
        <v>23</v>
      </c>
      <c r="W1" s="50" t="s">
        <v>24</v>
      </c>
      <c r="X1" s="50" t="s">
        <v>25</v>
      </c>
      <c r="Y1" s="50" t="s">
        <v>26</v>
      </c>
      <c r="Z1" s="50" t="s">
        <v>27</v>
      </c>
      <c r="AA1" s="50" t="s">
        <v>45</v>
      </c>
      <c r="AB1" s="50" t="s">
        <v>44</v>
      </c>
      <c r="AC1" s="50" t="s">
        <v>42</v>
      </c>
      <c r="AD1" s="50" t="s">
        <v>43</v>
      </c>
      <c r="AF1" s="22" t="s">
        <v>159</v>
      </c>
      <c r="AG1" s="21"/>
      <c r="AH1" s="25"/>
      <c r="AP1" s="22" t="s">
        <v>253</v>
      </c>
      <c r="AQ1" s="21"/>
      <c r="AR1" s="20"/>
      <c r="AS1" s="21"/>
      <c r="BB1" s="92"/>
      <c r="BC1" s="98" t="s">
        <v>255</v>
      </c>
      <c r="BD1" s="25"/>
      <c r="BE1" s="86"/>
      <c r="BF1" s="86"/>
      <c r="BG1" s="25"/>
      <c r="BH1" s="86"/>
      <c r="BI1" s="86"/>
      <c r="BJ1" s="86"/>
      <c r="BK1" s="86"/>
      <c r="BL1" s="86"/>
      <c r="BM1" s="86"/>
      <c r="BN1" s="86"/>
      <c r="BO1" s="86"/>
      <c r="BP1" s="86"/>
      <c r="BQ1" s="86"/>
      <c r="BR1" s="143" t="s">
        <v>303</v>
      </c>
      <c r="BS1" s="86"/>
      <c r="BT1" s="86"/>
      <c r="BU1" s="25"/>
      <c r="BV1" s="86"/>
      <c r="BW1" s="86"/>
      <c r="BX1" s="86"/>
      <c r="BY1" s="25"/>
    </row>
    <row r="2" spans="1:81" ht="30.75" thickBot="1" x14ac:dyDescent="0.35">
      <c r="A2" s="49">
        <v>0</v>
      </c>
      <c r="B2" s="49">
        <v>128</v>
      </c>
      <c r="C2" s="49" t="s">
        <v>22</v>
      </c>
      <c r="D2" s="49">
        <v>1</v>
      </c>
      <c r="E2" s="49">
        <v>1</v>
      </c>
      <c r="F2" s="49">
        <v>2.7</v>
      </c>
      <c r="G2" s="49">
        <v>1</v>
      </c>
      <c r="H2" s="49">
        <v>265.10000000000002</v>
      </c>
      <c r="I2" s="49">
        <v>110</v>
      </c>
      <c r="J2" s="49">
        <v>89</v>
      </c>
      <c r="K2" s="49">
        <v>9.8699999999999992</v>
      </c>
      <c r="L2" s="49">
        <v>10</v>
      </c>
      <c r="M2" s="51">
        <f t="shared" ref="M2:M20" si="0">SQRT(B2)</f>
        <v>11.313708498984761</v>
      </c>
      <c r="N2" s="51">
        <f>ROUND(Table1[[#This Row],[SQRT]],2)</f>
        <v>11.31</v>
      </c>
      <c r="O2" s="51">
        <f t="shared" ref="O2:O20" si="1">MIN(H2,I2)</f>
        <v>110</v>
      </c>
      <c r="P2" s="51">
        <f t="shared" ref="P2:P20" si="2">MAX(H2,I2)</f>
        <v>265.10000000000002</v>
      </c>
      <c r="Q2" s="51">
        <f t="shared" ref="Q2:Q20" si="3">AVERAGE(H2,I2)</f>
        <v>187.55</v>
      </c>
      <c r="R2" s="51">
        <f t="shared" ref="R2:R20" si="4">SUM(H2,I2)</f>
        <v>375.1</v>
      </c>
      <c r="S2" s="51">
        <f t="shared" ref="S2:S20" si="5">MEDIAN(D2,G2)</f>
        <v>1</v>
      </c>
      <c r="T2" s="51"/>
      <c r="U2" s="51" t="str">
        <f t="shared" ref="U2:U20" si="6">LEFT(C2,1)</f>
        <v>M</v>
      </c>
      <c r="V2" s="51" t="str">
        <f t="shared" ref="V2:V20" si="7">RIGHT(C2,2)</f>
        <v>le</v>
      </c>
      <c r="W2" s="51">
        <f t="shared" ref="W2:W20" si="8">LEN(C2)</f>
        <v>4</v>
      </c>
      <c r="X2" s="51">
        <v>46113</v>
      </c>
      <c r="Y2" s="51">
        <f>YEAR(X2)</f>
        <v>2026</v>
      </c>
      <c r="Z2" s="51">
        <f t="shared" ref="Z2:Z20" si="9">MONTH(X2)</f>
        <v>4</v>
      </c>
      <c r="AA2" s="51">
        <f t="shared" ref="AA2:AA20" si="10">DAY(X2)</f>
        <v>1</v>
      </c>
      <c r="AB2" s="51">
        <f>WEEKDAY(X2)</f>
        <v>4</v>
      </c>
      <c r="AC2" s="51">
        <f>EOMONTH(X2,2)</f>
        <v>46203</v>
      </c>
      <c r="AD2" s="51">
        <f t="shared" ref="AD2:AD20" si="11">NETWORKDAYS(X2,AC2)</f>
        <v>65</v>
      </c>
      <c r="AF2" s="26" t="s">
        <v>35</v>
      </c>
      <c r="AG2" s="27" t="s">
        <v>46</v>
      </c>
      <c r="AH2" s="27" t="s">
        <v>28</v>
      </c>
      <c r="AI2" s="27" t="s">
        <v>47</v>
      </c>
      <c r="AJ2" s="27" t="s">
        <v>34</v>
      </c>
      <c r="AK2" s="27" t="s">
        <v>37</v>
      </c>
      <c r="AL2" s="27" t="s">
        <v>38</v>
      </c>
      <c r="AM2" s="27" t="s">
        <v>39</v>
      </c>
      <c r="AN2" s="28" t="s">
        <v>40</v>
      </c>
      <c r="AP2" s="93" t="s">
        <v>168</v>
      </c>
      <c r="AQ2" s="93" t="s">
        <v>71</v>
      </c>
      <c r="AR2" s="93" t="s">
        <v>72</v>
      </c>
      <c r="AS2" s="93" t="s">
        <v>73</v>
      </c>
      <c r="AT2" s="65" t="s">
        <v>169</v>
      </c>
      <c r="AU2" s="65" t="s">
        <v>76</v>
      </c>
      <c r="AV2" s="65" t="s">
        <v>74</v>
      </c>
      <c r="AW2" s="65" t="s">
        <v>170</v>
      </c>
      <c r="AX2" s="65" t="s">
        <v>171</v>
      </c>
      <c r="BB2" s="90"/>
      <c r="BC2" s="100" t="s">
        <v>256</v>
      </c>
      <c r="BD2" s="100" t="s">
        <v>71</v>
      </c>
      <c r="BE2" s="100" t="s">
        <v>72</v>
      </c>
      <c r="BF2" s="100" t="s">
        <v>73</v>
      </c>
      <c r="BG2" s="100" t="s">
        <v>171</v>
      </c>
      <c r="BH2" s="100" t="s">
        <v>257</v>
      </c>
      <c r="BI2" s="100" t="s">
        <v>258</v>
      </c>
      <c r="BJ2" s="100" t="s">
        <v>259</v>
      </c>
      <c r="BK2" s="100" t="s">
        <v>225</v>
      </c>
      <c r="BL2" s="105"/>
      <c r="BM2" s="137" t="s">
        <v>299</v>
      </c>
      <c r="BN2" s="134"/>
      <c r="BO2" s="134"/>
      <c r="BP2" s="135"/>
      <c r="BQ2" s="105"/>
      <c r="BR2" s="110"/>
      <c r="BS2" s="111" t="s">
        <v>257</v>
      </c>
      <c r="BT2" s="111" t="s">
        <v>258</v>
      </c>
      <c r="BU2" s="112" t="s">
        <v>259</v>
      </c>
      <c r="BV2" s="105"/>
      <c r="BW2" s="105"/>
      <c r="BX2" s="105"/>
      <c r="BY2" s="87"/>
      <c r="BZ2" s="105"/>
      <c r="CA2" s="105"/>
      <c r="CB2" s="105"/>
      <c r="CC2" s="105"/>
    </row>
    <row r="3" spans="1:81" ht="30.75" thickBot="1" x14ac:dyDescent="0.3">
      <c r="A3" s="49">
        <v>0</v>
      </c>
      <c r="B3" s="49">
        <v>107</v>
      </c>
      <c r="C3" s="49" t="s">
        <v>22</v>
      </c>
      <c r="D3" s="49">
        <v>1</v>
      </c>
      <c r="E3" s="49">
        <v>1</v>
      </c>
      <c r="F3" s="49">
        <v>3.7</v>
      </c>
      <c r="G3" s="49">
        <v>1</v>
      </c>
      <c r="H3" s="49">
        <v>161.6</v>
      </c>
      <c r="I3" s="49">
        <v>123</v>
      </c>
      <c r="J3" s="49">
        <v>82</v>
      </c>
      <c r="K3" s="49">
        <v>9.7799999999999994</v>
      </c>
      <c r="L3" s="49">
        <v>13.7</v>
      </c>
      <c r="M3" s="51">
        <f t="shared" si="0"/>
        <v>10.344080432788601</v>
      </c>
      <c r="N3" s="51">
        <f>ROUND(Table1[[#This Row],[SQRT]],2)</f>
        <v>10.34</v>
      </c>
      <c r="O3" s="51">
        <f t="shared" si="1"/>
        <v>123</v>
      </c>
      <c r="P3" s="51">
        <f t="shared" si="2"/>
        <v>161.6</v>
      </c>
      <c r="Q3" s="51">
        <f t="shared" si="3"/>
        <v>142.30000000000001</v>
      </c>
      <c r="R3" s="51">
        <f t="shared" si="4"/>
        <v>284.60000000000002</v>
      </c>
      <c r="S3" s="51">
        <f t="shared" si="5"/>
        <v>1</v>
      </c>
      <c r="T3" s="51" t="e">
        <f t="shared" ref="T3:T20" si="12">RANK(B3,B:B)</f>
        <v>#N/A</v>
      </c>
      <c r="U3" s="51" t="str">
        <f t="shared" si="6"/>
        <v>M</v>
      </c>
      <c r="V3" s="51" t="str">
        <f t="shared" si="7"/>
        <v>le</v>
      </c>
      <c r="W3" s="51">
        <f t="shared" si="8"/>
        <v>4</v>
      </c>
      <c r="X3" s="51">
        <v>46114</v>
      </c>
      <c r="Y3" s="51">
        <f t="shared" ref="Y3:Y20" si="13">YEAR(X3)</f>
        <v>2026</v>
      </c>
      <c r="Z3" s="51">
        <f t="shared" si="9"/>
        <v>4</v>
      </c>
      <c r="AA3" s="51">
        <f t="shared" si="10"/>
        <v>2</v>
      </c>
      <c r="AB3" s="51">
        <f t="shared" ref="AB3:AB20" si="14">WEEKDAY(X3)</f>
        <v>5</v>
      </c>
      <c r="AC3" s="51">
        <f t="shared" ref="AC3:AC20" si="15">EOMONTH(X3,4)</f>
        <v>46265</v>
      </c>
      <c r="AD3" s="51">
        <f t="shared" si="11"/>
        <v>108</v>
      </c>
      <c r="AF3" s="58" t="s">
        <v>29</v>
      </c>
      <c r="AG3" s="59" t="s">
        <v>33</v>
      </c>
      <c r="AH3" s="59">
        <f>FIND(AF3,AG3)</f>
        <v>1</v>
      </c>
      <c r="AI3" s="59" t="s">
        <v>36</v>
      </c>
      <c r="AJ3" s="59" t="str">
        <f>REPLACE(AI3,1,3,"EFG")</f>
        <v>EFG-2026-011</v>
      </c>
      <c r="AK3" s="59" t="str">
        <f>SUBSTITUTE(AI3,"ABC","ZZZ")</f>
        <v>ZZZ-2026-011</v>
      </c>
      <c r="AL3" s="59" t="str">
        <f>MID(AG3,2,3)</f>
        <v>PPL</v>
      </c>
      <c r="AM3" s="59">
        <f>SEARCH("L",AG3,1)</f>
        <v>4</v>
      </c>
      <c r="AN3" s="60" t="str">
        <f>_xlfn.CONCAT(AG3,AG9)</f>
        <v>APPLE</v>
      </c>
      <c r="AP3" s="64">
        <v>1</v>
      </c>
      <c r="AQ3" s="64" t="s">
        <v>172</v>
      </c>
      <c r="AR3" s="64">
        <v>25</v>
      </c>
      <c r="AS3" s="64" t="s">
        <v>22</v>
      </c>
      <c r="AT3" s="64" t="s">
        <v>83</v>
      </c>
      <c r="AU3" s="64">
        <v>35000</v>
      </c>
      <c r="AV3" s="64" t="s">
        <v>82</v>
      </c>
      <c r="AW3" s="64">
        <v>2</v>
      </c>
      <c r="AX3" s="64" t="s">
        <v>84</v>
      </c>
      <c r="BB3" s="90"/>
      <c r="BC3" s="99">
        <v>101</v>
      </c>
      <c r="BD3" s="99" t="s">
        <v>228</v>
      </c>
      <c r="BE3" s="99">
        <v>18</v>
      </c>
      <c r="BF3" s="99" t="s">
        <v>22</v>
      </c>
      <c r="BG3" s="99" t="s">
        <v>201</v>
      </c>
      <c r="BH3" s="99">
        <v>78</v>
      </c>
      <c r="BI3" s="99">
        <v>82</v>
      </c>
      <c r="BJ3" s="99">
        <v>75</v>
      </c>
      <c r="BK3" s="99">
        <v>92</v>
      </c>
      <c r="BL3" s="105"/>
      <c r="BM3" s="90"/>
      <c r="BN3" s="105"/>
      <c r="BO3" s="105"/>
      <c r="BP3" s="87"/>
      <c r="BQ3" s="105"/>
      <c r="BR3" s="113" t="s">
        <v>257</v>
      </c>
      <c r="BS3" s="109">
        <v>1</v>
      </c>
      <c r="BT3" s="109"/>
      <c r="BU3" s="114"/>
      <c r="BV3" s="105"/>
      <c r="BW3" s="105"/>
      <c r="BX3" s="106"/>
      <c r="BY3" s="128"/>
      <c r="BZ3" s="106"/>
      <c r="CA3" s="106"/>
      <c r="CB3" s="106"/>
      <c r="CC3" s="105"/>
    </row>
    <row r="4" spans="1:81" ht="45" x14ac:dyDescent="0.25">
      <c r="A4" s="49">
        <v>0</v>
      </c>
      <c r="B4" s="49">
        <v>137</v>
      </c>
      <c r="C4" s="49" t="s">
        <v>22</v>
      </c>
      <c r="D4" s="49">
        <v>1</v>
      </c>
      <c r="E4" s="49">
        <v>0</v>
      </c>
      <c r="F4" s="49">
        <v>0</v>
      </c>
      <c r="G4" s="49">
        <v>0</v>
      </c>
      <c r="H4" s="49">
        <v>243.4</v>
      </c>
      <c r="I4" s="49">
        <v>114</v>
      </c>
      <c r="J4" s="49">
        <v>52</v>
      </c>
      <c r="K4" s="49">
        <v>6.06</v>
      </c>
      <c r="L4" s="49">
        <v>12.2</v>
      </c>
      <c r="M4" s="51">
        <f t="shared" si="0"/>
        <v>11.704699910719626</v>
      </c>
      <c r="N4" s="51">
        <f>ROUND(Table1[[#This Row],[SQRT]],2)</f>
        <v>11.7</v>
      </c>
      <c r="O4" s="51">
        <f t="shared" si="1"/>
        <v>114</v>
      </c>
      <c r="P4" s="51">
        <f t="shared" si="2"/>
        <v>243.4</v>
      </c>
      <c r="Q4" s="51">
        <f t="shared" si="3"/>
        <v>178.7</v>
      </c>
      <c r="R4" s="51">
        <f t="shared" si="4"/>
        <v>357.4</v>
      </c>
      <c r="S4" s="51">
        <f t="shared" si="5"/>
        <v>0.5</v>
      </c>
      <c r="T4" s="51" t="e">
        <f t="shared" si="12"/>
        <v>#N/A</v>
      </c>
      <c r="U4" s="51" t="str">
        <f t="shared" si="6"/>
        <v>M</v>
      </c>
      <c r="V4" s="51" t="str">
        <f t="shared" si="7"/>
        <v>le</v>
      </c>
      <c r="W4" s="51">
        <f t="shared" si="8"/>
        <v>4</v>
      </c>
      <c r="X4" s="51">
        <v>46115</v>
      </c>
      <c r="Y4" s="51">
        <f t="shared" si="13"/>
        <v>2026</v>
      </c>
      <c r="Z4" s="51">
        <f t="shared" si="9"/>
        <v>4</v>
      </c>
      <c r="AA4" s="51">
        <f t="shared" si="10"/>
        <v>3</v>
      </c>
      <c r="AB4" s="51">
        <f t="shared" si="14"/>
        <v>6</v>
      </c>
      <c r="AC4" s="51">
        <f t="shared" si="15"/>
        <v>46265</v>
      </c>
      <c r="AD4" s="51">
        <f t="shared" si="11"/>
        <v>107</v>
      </c>
      <c r="AF4" s="58" t="s">
        <v>31</v>
      </c>
      <c r="AG4" s="59" t="s">
        <v>33</v>
      </c>
      <c r="AH4" s="59">
        <f t="shared" ref="AH4:AH7" si="16">FIND(AF4,AG4)</f>
        <v>2</v>
      </c>
      <c r="AI4" s="59"/>
      <c r="AJ4" s="59" t="str">
        <f>REPLACE(AI3,5,4,"2027")</f>
        <v>ABC-2027-011</v>
      </c>
      <c r="AK4" s="59" t="str">
        <f>SUBSTITUTE(AI3,"011","022")</f>
        <v>ABC-2026-022</v>
      </c>
      <c r="AL4" s="59" t="str">
        <f>MID(AG4,1,5)</f>
        <v>APPLE</v>
      </c>
      <c r="AM4" s="59">
        <f>SEARCH("E",AG4,1)</f>
        <v>5</v>
      </c>
      <c r="AN4" s="60"/>
      <c r="AP4" s="64">
        <v>2</v>
      </c>
      <c r="AQ4" s="64" t="s">
        <v>173</v>
      </c>
      <c r="AR4" s="64">
        <v>28</v>
      </c>
      <c r="AS4" s="64" t="s">
        <v>21</v>
      </c>
      <c r="AT4" s="64" t="s">
        <v>174</v>
      </c>
      <c r="AU4" s="64">
        <v>40000</v>
      </c>
      <c r="AV4" s="64" t="s">
        <v>87</v>
      </c>
      <c r="AW4" s="64">
        <v>4</v>
      </c>
      <c r="AX4" s="64" t="s">
        <v>94</v>
      </c>
      <c r="BB4" s="90"/>
      <c r="BC4" s="99">
        <v>102</v>
      </c>
      <c r="BD4" s="99" t="s">
        <v>229</v>
      </c>
      <c r="BE4" s="99">
        <v>19</v>
      </c>
      <c r="BF4" s="99" t="s">
        <v>21</v>
      </c>
      <c r="BG4" s="99" t="s">
        <v>198</v>
      </c>
      <c r="BH4" s="99">
        <v>85</v>
      </c>
      <c r="BI4" s="99">
        <v>88</v>
      </c>
      <c r="BJ4" s="99">
        <v>90</v>
      </c>
      <c r="BK4" s="99">
        <v>95</v>
      </c>
      <c r="BL4" s="105"/>
      <c r="BM4" s="120" t="s">
        <v>266</v>
      </c>
      <c r="BN4" s="121" t="s">
        <v>258</v>
      </c>
      <c r="BO4" s="121" t="s">
        <v>259</v>
      </c>
      <c r="BP4" s="122" t="s">
        <v>294</v>
      </c>
      <c r="BQ4" s="105"/>
      <c r="BR4" s="113" t="s">
        <v>258</v>
      </c>
      <c r="BS4" s="109">
        <v>0.98312431204843498</v>
      </c>
      <c r="BT4" s="109">
        <v>1</v>
      </c>
      <c r="BU4" s="114"/>
      <c r="BV4" s="105"/>
      <c r="BW4" s="105"/>
      <c r="BX4" s="101"/>
      <c r="BY4" s="107"/>
      <c r="BZ4" s="101"/>
      <c r="CA4" s="101"/>
      <c r="CB4" s="101"/>
      <c r="CC4" s="105"/>
    </row>
    <row r="5" spans="1:81" ht="30.75" thickBot="1" x14ac:dyDescent="0.3">
      <c r="A5" s="49">
        <v>0</v>
      </c>
      <c r="B5" s="49">
        <v>84</v>
      </c>
      <c r="C5" s="49" t="s">
        <v>22</v>
      </c>
      <c r="D5" s="49">
        <v>0</v>
      </c>
      <c r="E5" s="49">
        <v>0</v>
      </c>
      <c r="F5" s="49">
        <v>0</v>
      </c>
      <c r="G5" s="49">
        <v>2</v>
      </c>
      <c r="H5" s="49">
        <v>299.39999999999998</v>
      </c>
      <c r="I5" s="49">
        <v>71</v>
      </c>
      <c r="J5" s="49">
        <v>57</v>
      </c>
      <c r="K5" s="49">
        <v>3.1</v>
      </c>
      <c r="L5" s="49">
        <v>6.6</v>
      </c>
      <c r="M5" s="51">
        <f t="shared" si="0"/>
        <v>9.1651513899116797</v>
      </c>
      <c r="N5" s="51">
        <f>ROUND(Table1[[#This Row],[SQRT]],2)</f>
        <v>9.17</v>
      </c>
      <c r="O5" s="51">
        <f t="shared" si="1"/>
        <v>71</v>
      </c>
      <c r="P5" s="51">
        <f t="shared" si="2"/>
        <v>299.39999999999998</v>
      </c>
      <c r="Q5" s="51">
        <f t="shared" si="3"/>
        <v>185.2</v>
      </c>
      <c r="R5" s="51">
        <f t="shared" si="4"/>
        <v>370.4</v>
      </c>
      <c r="S5" s="51">
        <f t="shared" si="5"/>
        <v>1</v>
      </c>
      <c r="T5" s="51" t="e">
        <f t="shared" si="12"/>
        <v>#N/A</v>
      </c>
      <c r="U5" s="51" t="str">
        <f t="shared" si="6"/>
        <v>M</v>
      </c>
      <c r="V5" s="51" t="str">
        <f t="shared" si="7"/>
        <v>le</v>
      </c>
      <c r="W5" s="51">
        <f t="shared" si="8"/>
        <v>4</v>
      </c>
      <c r="X5" s="51">
        <v>46116</v>
      </c>
      <c r="Y5" s="51">
        <f t="shared" si="13"/>
        <v>2026</v>
      </c>
      <c r="Z5" s="51">
        <f t="shared" si="9"/>
        <v>4</v>
      </c>
      <c r="AA5" s="51">
        <f t="shared" si="10"/>
        <v>4</v>
      </c>
      <c r="AB5" s="51">
        <f t="shared" si="14"/>
        <v>7</v>
      </c>
      <c r="AC5" s="51">
        <f t="shared" si="15"/>
        <v>46265</v>
      </c>
      <c r="AD5" s="51">
        <f t="shared" si="11"/>
        <v>106</v>
      </c>
      <c r="AF5" s="58" t="s">
        <v>31</v>
      </c>
      <c r="AG5" s="59" t="s">
        <v>33</v>
      </c>
      <c r="AH5" s="59">
        <f t="shared" si="16"/>
        <v>2</v>
      </c>
      <c r="AI5" s="59"/>
      <c r="AJ5" s="59"/>
      <c r="AK5" s="59"/>
      <c r="AL5" s="59" t="str">
        <f>MID(AG5,3,5)</f>
        <v>PLE</v>
      </c>
      <c r="AM5" s="59"/>
      <c r="AN5" s="60"/>
      <c r="AP5" s="64">
        <v>3</v>
      </c>
      <c r="AQ5" s="64" t="s">
        <v>175</v>
      </c>
      <c r="AR5" s="64">
        <v>30</v>
      </c>
      <c r="AS5" s="64" t="s">
        <v>22</v>
      </c>
      <c r="AT5" s="64" t="s">
        <v>102</v>
      </c>
      <c r="AU5" s="64">
        <v>55000</v>
      </c>
      <c r="AV5" s="64" t="s">
        <v>82</v>
      </c>
      <c r="AW5" s="64">
        <v>6</v>
      </c>
      <c r="AX5" s="64" t="s">
        <v>176</v>
      </c>
      <c r="BB5" s="90"/>
      <c r="BC5" s="99">
        <v>103</v>
      </c>
      <c r="BD5" s="99" t="s">
        <v>232</v>
      </c>
      <c r="BE5" s="99">
        <v>18</v>
      </c>
      <c r="BF5" s="99" t="s">
        <v>22</v>
      </c>
      <c r="BG5" s="99" t="s">
        <v>260</v>
      </c>
      <c r="BH5" s="99">
        <v>65</v>
      </c>
      <c r="BI5" s="99">
        <v>70</v>
      </c>
      <c r="BJ5" s="99">
        <v>68</v>
      </c>
      <c r="BK5" s="99">
        <v>85</v>
      </c>
      <c r="BL5" s="105"/>
      <c r="BM5" s="123">
        <v>78</v>
      </c>
      <c r="BN5" s="119"/>
      <c r="BO5" s="119"/>
      <c r="BP5" s="124"/>
      <c r="BQ5" s="105"/>
      <c r="BR5" s="115" t="s">
        <v>259</v>
      </c>
      <c r="BS5" s="116">
        <v>0.97810918651359613</v>
      </c>
      <c r="BT5" s="116">
        <v>0.96831539462159277</v>
      </c>
      <c r="BU5" s="117">
        <v>1</v>
      </c>
      <c r="BV5" s="105"/>
      <c r="BW5" s="105"/>
      <c r="BX5" s="101"/>
      <c r="BY5" s="107"/>
      <c r="BZ5" s="101"/>
      <c r="CA5" s="101"/>
      <c r="CB5" s="101"/>
    </row>
    <row r="6" spans="1:81" ht="58.5" customHeight="1" x14ac:dyDescent="0.25">
      <c r="A6" s="49">
        <v>0</v>
      </c>
      <c r="B6" s="49">
        <v>75</v>
      </c>
      <c r="C6" s="49" t="s">
        <v>22</v>
      </c>
      <c r="D6" s="49">
        <v>0</v>
      </c>
      <c r="E6" s="49">
        <v>0</v>
      </c>
      <c r="F6" s="49">
        <v>0</v>
      </c>
      <c r="G6" s="49">
        <v>3</v>
      </c>
      <c r="H6" s="49">
        <v>166.7</v>
      </c>
      <c r="I6" s="49">
        <v>113</v>
      </c>
      <c r="J6" s="49">
        <v>41</v>
      </c>
      <c r="K6" s="49">
        <v>7.42</v>
      </c>
      <c r="L6" s="49">
        <v>10.1</v>
      </c>
      <c r="M6" s="51">
        <f t="shared" si="0"/>
        <v>8.6602540378443873</v>
      </c>
      <c r="N6" s="51">
        <f>ROUND(Table1[[#This Row],[SQRT]],2)</f>
        <v>8.66</v>
      </c>
      <c r="O6" s="51">
        <f t="shared" si="1"/>
        <v>113</v>
      </c>
      <c r="P6" s="51">
        <f t="shared" si="2"/>
        <v>166.7</v>
      </c>
      <c r="Q6" s="51">
        <f t="shared" si="3"/>
        <v>139.85</v>
      </c>
      <c r="R6" s="51">
        <f t="shared" si="4"/>
        <v>279.7</v>
      </c>
      <c r="S6" s="51">
        <f t="shared" si="5"/>
        <v>1.5</v>
      </c>
      <c r="T6" s="51" t="e">
        <f t="shared" si="12"/>
        <v>#N/A</v>
      </c>
      <c r="U6" s="51" t="str">
        <f t="shared" si="6"/>
        <v>M</v>
      </c>
      <c r="V6" s="51" t="str">
        <f t="shared" si="7"/>
        <v>le</v>
      </c>
      <c r="W6" s="51">
        <f t="shared" si="8"/>
        <v>4</v>
      </c>
      <c r="X6" s="51">
        <v>46117</v>
      </c>
      <c r="Y6" s="51">
        <f t="shared" si="13"/>
        <v>2026</v>
      </c>
      <c r="Z6" s="51">
        <f t="shared" si="9"/>
        <v>4</v>
      </c>
      <c r="AA6" s="51">
        <f t="shared" si="10"/>
        <v>5</v>
      </c>
      <c r="AB6" s="51">
        <f t="shared" si="14"/>
        <v>1</v>
      </c>
      <c r="AC6" s="51">
        <f t="shared" si="15"/>
        <v>46265</v>
      </c>
      <c r="AD6" s="51">
        <f t="shared" si="11"/>
        <v>106</v>
      </c>
      <c r="AF6" s="58" t="s">
        <v>32</v>
      </c>
      <c r="AG6" s="59" t="s">
        <v>33</v>
      </c>
      <c r="AH6" s="59">
        <f t="shared" si="16"/>
        <v>4</v>
      </c>
      <c r="AI6" s="59"/>
      <c r="AJ6" s="59"/>
      <c r="AK6" s="59"/>
      <c r="AL6" s="59"/>
      <c r="AM6" s="59"/>
      <c r="AN6" s="60"/>
      <c r="AP6" s="64">
        <v>4</v>
      </c>
      <c r="AQ6" s="64" t="s">
        <v>96</v>
      </c>
      <c r="AR6" s="64">
        <v>27</v>
      </c>
      <c r="AS6" s="64" t="s">
        <v>21</v>
      </c>
      <c r="AT6" s="64" t="s">
        <v>177</v>
      </c>
      <c r="AU6" s="64">
        <v>42000</v>
      </c>
      <c r="AV6" s="64" t="s">
        <v>97</v>
      </c>
      <c r="AW6" s="64">
        <v>3</v>
      </c>
      <c r="AX6" s="64" t="s">
        <v>99</v>
      </c>
      <c r="BB6" s="90"/>
      <c r="BC6" s="99">
        <v>104</v>
      </c>
      <c r="BD6" s="99" t="s">
        <v>231</v>
      </c>
      <c r="BE6" s="99">
        <v>20</v>
      </c>
      <c r="BF6" s="99" t="s">
        <v>21</v>
      </c>
      <c r="BG6" s="99" t="s">
        <v>201</v>
      </c>
      <c r="BH6" s="99">
        <v>92</v>
      </c>
      <c r="BI6" s="99">
        <v>95</v>
      </c>
      <c r="BJ6" s="99">
        <v>91</v>
      </c>
      <c r="BK6" s="99">
        <v>98</v>
      </c>
      <c r="BL6" s="105"/>
      <c r="BM6" s="113" t="s">
        <v>267</v>
      </c>
      <c r="BN6" s="109">
        <v>10</v>
      </c>
      <c r="BO6" s="109">
        <v>10</v>
      </c>
      <c r="BP6" s="114">
        <v>20</v>
      </c>
      <c r="BQ6" s="105"/>
      <c r="BR6" s="105"/>
      <c r="BS6" s="105"/>
      <c r="BT6" s="101"/>
      <c r="BU6" s="105"/>
      <c r="BV6" s="105"/>
      <c r="BW6" s="105"/>
      <c r="BX6" s="101"/>
      <c r="BY6" s="107"/>
      <c r="BZ6" s="101"/>
      <c r="CA6" s="101"/>
      <c r="CB6" s="101"/>
    </row>
    <row r="7" spans="1:81" ht="59.25" customHeight="1" thickBot="1" x14ac:dyDescent="0.3">
      <c r="A7" s="49">
        <v>0</v>
      </c>
      <c r="B7" s="49">
        <v>118</v>
      </c>
      <c r="C7" s="49" t="s">
        <v>22</v>
      </c>
      <c r="D7" s="49">
        <v>0</v>
      </c>
      <c r="E7" s="49">
        <v>0</v>
      </c>
      <c r="F7" s="49">
        <v>0</v>
      </c>
      <c r="G7" s="49">
        <v>0</v>
      </c>
      <c r="H7" s="49">
        <v>223.4</v>
      </c>
      <c r="I7" s="49">
        <v>98</v>
      </c>
      <c r="J7" s="49">
        <v>57</v>
      </c>
      <c r="K7" s="49">
        <v>11.03</v>
      </c>
      <c r="L7" s="49">
        <v>6.3</v>
      </c>
      <c r="M7" s="51">
        <f t="shared" si="0"/>
        <v>10.862780491200215</v>
      </c>
      <c r="N7" s="51">
        <f>ROUND(Table1[[#This Row],[SQRT]],2)</f>
        <v>10.86</v>
      </c>
      <c r="O7" s="51">
        <f t="shared" si="1"/>
        <v>98</v>
      </c>
      <c r="P7" s="51">
        <f t="shared" si="2"/>
        <v>223.4</v>
      </c>
      <c r="Q7" s="51">
        <f t="shared" si="3"/>
        <v>160.69999999999999</v>
      </c>
      <c r="R7" s="51">
        <f t="shared" si="4"/>
        <v>321.39999999999998</v>
      </c>
      <c r="S7" s="51">
        <f t="shared" si="5"/>
        <v>0</v>
      </c>
      <c r="T7" s="51" t="e">
        <f t="shared" si="12"/>
        <v>#N/A</v>
      </c>
      <c r="U7" s="51" t="str">
        <f t="shared" si="6"/>
        <v>M</v>
      </c>
      <c r="V7" s="51" t="str">
        <f t="shared" si="7"/>
        <v>le</v>
      </c>
      <c r="W7" s="51">
        <f t="shared" si="8"/>
        <v>4</v>
      </c>
      <c r="X7" s="51">
        <v>46118</v>
      </c>
      <c r="Y7" s="51">
        <f t="shared" si="13"/>
        <v>2026</v>
      </c>
      <c r="Z7" s="51">
        <f t="shared" si="9"/>
        <v>4</v>
      </c>
      <c r="AA7" s="51">
        <f t="shared" si="10"/>
        <v>6</v>
      </c>
      <c r="AB7" s="51">
        <f t="shared" si="14"/>
        <v>2</v>
      </c>
      <c r="AC7" s="51">
        <f t="shared" si="15"/>
        <v>46265</v>
      </c>
      <c r="AD7" s="51">
        <f t="shared" si="11"/>
        <v>106</v>
      </c>
      <c r="AF7" s="61" t="s">
        <v>30</v>
      </c>
      <c r="AG7" s="62" t="s">
        <v>33</v>
      </c>
      <c r="AH7" s="62">
        <f t="shared" si="16"/>
        <v>5</v>
      </c>
      <c r="AI7" s="62" t="s">
        <v>41</v>
      </c>
      <c r="AJ7" s="62"/>
      <c r="AK7" s="62"/>
      <c r="AL7" s="62"/>
      <c r="AM7" s="62"/>
      <c r="AN7" s="63"/>
      <c r="AP7" s="64">
        <v>5</v>
      </c>
      <c r="AQ7" s="64" t="s">
        <v>178</v>
      </c>
      <c r="AR7" s="64">
        <v>35</v>
      </c>
      <c r="AS7" s="64" t="s">
        <v>22</v>
      </c>
      <c r="AT7" s="64" t="s">
        <v>179</v>
      </c>
      <c r="AU7" s="64">
        <v>75000</v>
      </c>
      <c r="AV7" s="64" t="s">
        <v>110</v>
      </c>
      <c r="AW7" s="64">
        <v>10</v>
      </c>
      <c r="AX7" s="64" t="s">
        <v>103</v>
      </c>
      <c r="BB7" s="90"/>
      <c r="BC7" s="99">
        <v>105</v>
      </c>
      <c r="BD7" s="99" t="s">
        <v>230</v>
      </c>
      <c r="BE7" s="99">
        <v>19</v>
      </c>
      <c r="BF7" s="99" t="s">
        <v>22</v>
      </c>
      <c r="BG7" s="99" t="s">
        <v>247</v>
      </c>
      <c r="BH7" s="99">
        <v>74</v>
      </c>
      <c r="BI7" s="99">
        <v>78</v>
      </c>
      <c r="BJ7" s="99">
        <v>72</v>
      </c>
      <c r="BK7" s="99">
        <v>89</v>
      </c>
      <c r="BL7" s="105"/>
      <c r="BM7" s="113" t="s">
        <v>268</v>
      </c>
      <c r="BN7" s="109">
        <v>823</v>
      </c>
      <c r="BO7" s="109">
        <v>793</v>
      </c>
      <c r="BP7" s="114">
        <v>1616</v>
      </c>
      <c r="BQ7" s="105"/>
      <c r="BR7" s="105"/>
      <c r="BS7" s="105"/>
      <c r="BT7" s="105"/>
      <c r="BU7" s="105"/>
      <c r="BV7" s="105"/>
      <c r="BW7" s="105"/>
      <c r="BX7" s="101"/>
      <c r="BY7" s="107"/>
      <c r="BZ7" s="101"/>
      <c r="CA7" s="101"/>
      <c r="CB7" s="101"/>
    </row>
    <row r="8" spans="1:81" ht="60.75" thickBot="1" x14ac:dyDescent="0.35">
      <c r="A8" s="49">
        <v>0</v>
      </c>
      <c r="B8" s="49">
        <v>121</v>
      </c>
      <c r="C8" s="49" t="s">
        <v>22</v>
      </c>
      <c r="D8" s="49">
        <v>1</v>
      </c>
      <c r="E8" s="49">
        <v>1</v>
      </c>
      <c r="F8" s="49">
        <v>2.0299999999999998</v>
      </c>
      <c r="G8" s="49">
        <v>3</v>
      </c>
      <c r="H8" s="49">
        <v>218.2</v>
      </c>
      <c r="I8" s="49">
        <v>88</v>
      </c>
      <c r="J8" s="49">
        <v>87.3</v>
      </c>
      <c r="K8" s="49">
        <v>17.43</v>
      </c>
      <c r="L8" s="49">
        <v>7.5</v>
      </c>
      <c r="M8" s="51">
        <f t="shared" si="0"/>
        <v>11</v>
      </c>
      <c r="N8" s="51">
        <f>ROUND(Table1[[#This Row],[SQRT]],2)</f>
        <v>11</v>
      </c>
      <c r="O8" s="51">
        <f t="shared" si="1"/>
        <v>88</v>
      </c>
      <c r="P8" s="51">
        <f t="shared" si="2"/>
        <v>218.2</v>
      </c>
      <c r="Q8" s="51">
        <f t="shared" si="3"/>
        <v>153.1</v>
      </c>
      <c r="R8" s="51">
        <f t="shared" si="4"/>
        <v>306.2</v>
      </c>
      <c r="S8" s="51">
        <f t="shared" si="5"/>
        <v>2</v>
      </c>
      <c r="T8" s="51" t="e">
        <f t="shared" si="12"/>
        <v>#N/A</v>
      </c>
      <c r="U8" s="51" t="str">
        <f t="shared" si="6"/>
        <v>M</v>
      </c>
      <c r="V8" s="51" t="str">
        <f t="shared" si="7"/>
        <v>le</v>
      </c>
      <c r="W8" s="51">
        <f t="shared" si="8"/>
        <v>4</v>
      </c>
      <c r="X8" s="51">
        <v>46119</v>
      </c>
      <c r="Y8" s="51">
        <f t="shared" si="13"/>
        <v>2026</v>
      </c>
      <c r="Z8" s="51">
        <f t="shared" si="9"/>
        <v>4</v>
      </c>
      <c r="AA8" s="51">
        <f t="shared" si="10"/>
        <v>7</v>
      </c>
      <c r="AB8" s="51">
        <f t="shared" si="14"/>
        <v>3</v>
      </c>
      <c r="AC8" s="51">
        <f t="shared" si="15"/>
        <v>46265</v>
      </c>
      <c r="AD8" s="51">
        <f t="shared" si="11"/>
        <v>105</v>
      </c>
      <c r="AP8" s="64">
        <v>6</v>
      </c>
      <c r="AQ8" s="64" t="s">
        <v>180</v>
      </c>
      <c r="AR8" s="64">
        <v>24</v>
      </c>
      <c r="AS8" s="64" t="s">
        <v>21</v>
      </c>
      <c r="AT8" s="64" t="s">
        <v>181</v>
      </c>
      <c r="AU8" s="64">
        <v>32000</v>
      </c>
      <c r="AV8" s="64" t="s">
        <v>106</v>
      </c>
      <c r="AW8" s="64">
        <v>1</v>
      </c>
      <c r="AX8" s="64" t="s">
        <v>112</v>
      </c>
      <c r="BB8" s="90"/>
      <c r="BC8" s="99">
        <v>106</v>
      </c>
      <c r="BD8" s="99" t="s">
        <v>233</v>
      </c>
      <c r="BE8" s="99">
        <v>18</v>
      </c>
      <c r="BF8" s="99" t="s">
        <v>21</v>
      </c>
      <c r="BG8" s="99" t="s">
        <v>260</v>
      </c>
      <c r="BH8" s="99">
        <v>88</v>
      </c>
      <c r="BI8" s="99">
        <v>84</v>
      </c>
      <c r="BJ8" s="99">
        <v>86</v>
      </c>
      <c r="BK8" s="99">
        <v>94</v>
      </c>
      <c r="BL8" s="105"/>
      <c r="BM8" s="113" t="s">
        <v>166</v>
      </c>
      <c r="BN8" s="109">
        <v>82.3</v>
      </c>
      <c r="BO8" s="109">
        <v>79.3</v>
      </c>
      <c r="BP8" s="114">
        <v>80.8</v>
      </c>
      <c r="BQ8" s="105"/>
      <c r="BR8" s="144" t="s">
        <v>304</v>
      </c>
      <c r="BS8" s="105"/>
      <c r="BT8" s="105"/>
      <c r="BU8" s="105"/>
      <c r="BV8" s="105"/>
      <c r="BW8" s="105"/>
      <c r="BX8" s="101"/>
      <c r="BY8" s="107"/>
      <c r="BZ8" s="101"/>
      <c r="CA8" s="101"/>
      <c r="CB8" s="101"/>
    </row>
    <row r="9" spans="1:81" ht="30" x14ac:dyDescent="0.25">
      <c r="A9" s="49">
        <v>0</v>
      </c>
      <c r="B9" s="49">
        <v>147</v>
      </c>
      <c r="C9" s="49" t="s">
        <v>22</v>
      </c>
      <c r="D9" s="49">
        <v>0</v>
      </c>
      <c r="E9" s="49">
        <v>0</v>
      </c>
      <c r="F9" s="49">
        <v>0</v>
      </c>
      <c r="G9" s="49">
        <v>0</v>
      </c>
      <c r="H9" s="49">
        <v>157</v>
      </c>
      <c r="I9" s="49">
        <v>79</v>
      </c>
      <c r="J9" s="49">
        <v>36</v>
      </c>
      <c r="K9" s="49">
        <v>5.16</v>
      </c>
      <c r="L9" s="49">
        <v>7.1</v>
      </c>
      <c r="M9" s="51">
        <f t="shared" si="0"/>
        <v>12.124355652982141</v>
      </c>
      <c r="N9" s="51">
        <f>ROUND(Table1[[#This Row],[SQRT]],2)</f>
        <v>12.12</v>
      </c>
      <c r="O9" s="51">
        <f t="shared" si="1"/>
        <v>79</v>
      </c>
      <c r="P9" s="51">
        <f t="shared" si="2"/>
        <v>157</v>
      </c>
      <c r="Q9" s="51">
        <f t="shared" si="3"/>
        <v>118</v>
      </c>
      <c r="R9" s="51">
        <f t="shared" si="4"/>
        <v>236</v>
      </c>
      <c r="S9" s="51">
        <f t="shared" si="5"/>
        <v>0</v>
      </c>
      <c r="T9" s="51" t="e">
        <f t="shared" si="12"/>
        <v>#N/A</v>
      </c>
      <c r="U9" s="51" t="str">
        <f t="shared" si="6"/>
        <v>M</v>
      </c>
      <c r="V9" s="51" t="str">
        <f t="shared" si="7"/>
        <v>le</v>
      </c>
      <c r="W9" s="51">
        <f t="shared" si="8"/>
        <v>4</v>
      </c>
      <c r="X9" s="51">
        <v>46120</v>
      </c>
      <c r="Y9" s="51">
        <f t="shared" si="13"/>
        <v>2026</v>
      </c>
      <c r="Z9" s="51">
        <f t="shared" si="9"/>
        <v>4</v>
      </c>
      <c r="AA9" s="51">
        <f t="shared" si="10"/>
        <v>8</v>
      </c>
      <c r="AB9" s="51">
        <f t="shared" si="14"/>
        <v>4</v>
      </c>
      <c r="AC9" s="51">
        <f t="shared" si="15"/>
        <v>46265</v>
      </c>
      <c r="AD9" s="51">
        <f t="shared" si="11"/>
        <v>104</v>
      </c>
      <c r="AP9" s="64">
        <v>7</v>
      </c>
      <c r="AQ9" s="64" t="s">
        <v>182</v>
      </c>
      <c r="AR9" s="64">
        <v>32</v>
      </c>
      <c r="AS9" s="64" t="s">
        <v>22</v>
      </c>
      <c r="AT9" s="64" t="s">
        <v>183</v>
      </c>
      <c r="AU9" s="64">
        <v>68000</v>
      </c>
      <c r="AV9" s="64" t="s">
        <v>82</v>
      </c>
      <c r="AW9" s="64">
        <v>8</v>
      </c>
      <c r="AX9" s="64" t="s">
        <v>184</v>
      </c>
      <c r="BB9" s="90"/>
      <c r="BC9" s="99">
        <v>107</v>
      </c>
      <c r="BD9" s="99" t="s">
        <v>261</v>
      </c>
      <c r="BE9" s="99">
        <v>20</v>
      </c>
      <c r="BF9" s="99" t="s">
        <v>22</v>
      </c>
      <c r="BG9" s="99" t="s">
        <v>198</v>
      </c>
      <c r="BH9" s="99">
        <v>55</v>
      </c>
      <c r="BI9" s="99">
        <v>60</v>
      </c>
      <c r="BJ9" s="99">
        <v>58</v>
      </c>
      <c r="BK9" s="99">
        <v>80</v>
      </c>
      <c r="BL9" s="105"/>
      <c r="BM9" s="113" t="s">
        <v>269</v>
      </c>
      <c r="BN9" s="109">
        <v>142.01111111111175</v>
      </c>
      <c r="BO9" s="109">
        <v>149.56666666666649</v>
      </c>
      <c r="BP9" s="114">
        <v>140.48421052631565</v>
      </c>
      <c r="BQ9" s="105"/>
      <c r="BR9" s="110"/>
      <c r="BS9" s="111" t="s">
        <v>280</v>
      </c>
      <c r="BT9" s="111" t="s">
        <v>281</v>
      </c>
      <c r="BU9" s="112" t="s">
        <v>282</v>
      </c>
      <c r="BV9" s="101"/>
      <c r="BW9" s="101"/>
      <c r="BX9" s="101"/>
      <c r="BY9" s="107"/>
      <c r="BZ9" s="101"/>
      <c r="CA9" s="101"/>
      <c r="CB9" s="101"/>
    </row>
    <row r="10" spans="1:81" ht="34.5" x14ac:dyDescent="0.55000000000000004">
      <c r="A10" s="49">
        <v>0</v>
      </c>
      <c r="B10" s="49">
        <v>117</v>
      </c>
      <c r="C10" s="49" t="s">
        <v>22</v>
      </c>
      <c r="D10" s="49">
        <v>1</v>
      </c>
      <c r="E10" s="49">
        <v>0</v>
      </c>
      <c r="F10" s="49">
        <v>0.19</v>
      </c>
      <c r="G10" s="49">
        <v>1</v>
      </c>
      <c r="H10" s="49">
        <v>184.5</v>
      </c>
      <c r="I10" s="49">
        <v>97</v>
      </c>
      <c r="J10" s="49">
        <v>63.9</v>
      </c>
      <c r="K10" s="49">
        <v>17.579999999999998</v>
      </c>
      <c r="L10" s="49">
        <v>8.6999999999999993</v>
      </c>
      <c r="M10" s="51">
        <f t="shared" si="0"/>
        <v>10.816653826391969</v>
      </c>
      <c r="N10" s="51">
        <f>ROUND(Table1[[#This Row],[SQRT]],2)</f>
        <v>10.82</v>
      </c>
      <c r="O10" s="51">
        <f t="shared" si="1"/>
        <v>97</v>
      </c>
      <c r="P10" s="51">
        <f t="shared" si="2"/>
        <v>184.5</v>
      </c>
      <c r="Q10" s="51">
        <f t="shared" si="3"/>
        <v>140.75</v>
      </c>
      <c r="R10" s="51">
        <f t="shared" si="4"/>
        <v>281.5</v>
      </c>
      <c r="S10" s="51">
        <f t="shared" si="5"/>
        <v>1</v>
      </c>
      <c r="T10" s="51" t="e">
        <f t="shared" si="12"/>
        <v>#N/A</v>
      </c>
      <c r="U10" s="51" t="str">
        <f t="shared" si="6"/>
        <v>M</v>
      </c>
      <c r="V10" s="51" t="str">
        <f t="shared" si="7"/>
        <v>le</v>
      </c>
      <c r="W10" s="51">
        <f t="shared" si="8"/>
        <v>4</v>
      </c>
      <c r="X10" s="51">
        <v>46121</v>
      </c>
      <c r="Y10" s="51">
        <f t="shared" si="13"/>
        <v>2026</v>
      </c>
      <c r="Z10" s="51">
        <f t="shared" si="9"/>
        <v>4</v>
      </c>
      <c r="AA10" s="51">
        <f t="shared" si="10"/>
        <v>9</v>
      </c>
      <c r="AB10" s="51">
        <f t="shared" si="14"/>
        <v>5</v>
      </c>
      <c r="AC10" s="51">
        <f t="shared" si="15"/>
        <v>46265</v>
      </c>
      <c r="AD10" s="51">
        <f t="shared" si="11"/>
        <v>103</v>
      </c>
      <c r="AE10" s="5"/>
      <c r="AP10" s="64">
        <v>8</v>
      </c>
      <c r="AQ10" s="64" t="s">
        <v>185</v>
      </c>
      <c r="AR10" s="64">
        <v>29</v>
      </c>
      <c r="AS10" s="64" t="s">
        <v>21</v>
      </c>
      <c r="AT10" s="64" t="s">
        <v>186</v>
      </c>
      <c r="AU10" s="64">
        <v>50000</v>
      </c>
      <c r="AV10" s="64" t="s">
        <v>187</v>
      </c>
      <c r="AW10" s="64">
        <v>5</v>
      </c>
      <c r="AX10" s="64" t="s">
        <v>123</v>
      </c>
      <c r="BB10" s="90"/>
      <c r="BC10" s="99">
        <v>108</v>
      </c>
      <c r="BD10" s="99" t="s">
        <v>262</v>
      </c>
      <c r="BE10" s="99">
        <v>19</v>
      </c>
      <c r="BF10" s="99" t="s">
        <v>21</v>
      </c>
      <c r="BG10" s="99" t="s">
        <v>201</v>
      </c>
      <c r="BH10" s="99">
        <v>90</v>
      </c>
      <c r="BI10" s="99">
        <v>93</v>
      </c>
      <c r="BJ10" s="99">
        <v>89</v>
      </c>
      <c r="BK10" s="99">
        <v>97</v>
      </c>
      <c r="BL10" s="105"/>
      <c r="BM10" s="113"/>
      <c r="BN10" s="109"/>
      <c r="BO10" s="109"/>
      <c r="BP10" s="114"/>
      <c r="BQ10" s="105"/>
      <c r="BR10" s="113" t="s">
        <v>280</v>
      </c>
      <c r="BS10" s="109">
        <f>VARP(telecom_churn!$BH$3:$BH$12)</f>
        <v>154.05000000000001</v>
      </c>
      <c r="BT10" s="109"/>
      <c r="BU10" s="114"/>
      <c r="BV10" s="101"/>
      <c r="BW10" s="101"/>
      <c r="BX10" s="101"/>
      <c r="BY10" s="107"/>
      <c r="BZ10" s="101"/>
      <c r="CA10" s="101"/>
      <c r="CB10" s="101"/>
    </row>
    <row r="11" spans="1:81" ht="30.75" thickBot="1" x14ac:dyDescent="0.3">
      <c r="A11" s="49">
        <v>0</v>
      </c>
      <c r="B11" s="49">
        <v>141</v>
      </c>
      <c r="C11" s="49" t="s">
        <v>21</v>
      </c>
      <c r="D11" s="49">
        <v>0</v>
      </c>
      <c r="E11" s="49">
        <v>1</v>
      </c>
      <c r="F11" s="49">
        <v>3.02</v>
      </c>
      <c r="G11" s="49">
        <v>0</v>
      </c>
      <c r="H11" s="49">
        <v>258.60000000000002</v>
      </c>
      <c r="I11" s="49">
        <v>84</v>
      </c>
      <c r="J11" s="49">
        <v>93.2</v>
      </c>
      <c r="K11" s="49">
        <v>11.1</v>
      </c>
      <c r="L11" s="49">
        <v>11.2</v>
      </c>
      <c r="M11" s="51">
        <f t="shared" si="0"/>
        <v>11.874342087037917</v>
      </c>
      <c r="N11" s="51">
        <f>ROUND(Table1[[#This Row],[SQRT]],2)</f>
        <v>11.87</v>
      </c>
      <c r="O11" s="51">
        <f t="shared" si="1"/>
        <v>84</v>
      </c>
      <c r="P11" s="51">
        <f t="shared" si="2"/>
        <v>258.60000000000002</v>
      </c>
      <c r="Q11" s="51">
        <f t="shared" si="3"/>
        <v>171.3</v>
      </c>
      <c r="R11" s="51">
        <f t="shared" si="4"/>
        <v>342.6</v>
      </c>
      <c r="S11" s="51">
        <f t="shared" si="5"/>
        <v>0</v>
      </c>
      <c r="T11" s="51" t="e">
        <f t="shared" si="12"/>
        <v>#N/A</v>
      </c>
      <c r="U11" s="51" t="str">
        <f t="shared" si="6"/>
        <v>F</v>
      </c>
      <c r="V11" s="51" t="str">
        <f t="shared" si="7"/>
        <v>le</v>
      </c>
      <c r="W11" s="51">
        <f t="shared" si="8"/>
        <v>6</v>
      </c>
      <c r="X11" s="51">
        <v>46122</v>
      </c>
      <c r="Y11" s="51">
        <f t="shared" si="13"/>
        <v>2026</v>
      </c>
      <c r="Z11" s="51">
        <f t="shared" si="9"/>
        <v>4</v>
      </c>
      <c r="AA11" s="51">
        <f t="shared" si="10"/>
        <v>10</v>
      </c>
      <c r="AB11" s="51">
        <f t="shared" si="14"/>
        <v>6</v>
      </c>
      <c r="AC11" s="51">
        <f t="shared" si="15"/>
        <v>46265</v>
      </c>
      <c r="AD11" s="51">
        <f t="shared" si="11"/>
        <v>102</v>
      </c>
      <c r="AP11" s="64">
        <v>9</v>
      </c>
      <c r="AQ11" s="64" t="s">
        <v>188</v>
      </c>
      <c r="AR11" s="64">
        <v>40</v>
      </c>
      <c r="AS11" s="64" t="s">
        <v>22</v>
      </c>
      <c r="AT11" s="64" t="s">
        <v>189</v>
      </c>
      <c r="AU11" s="64">
        <v>90000</v>
      </c>
      <c r="AV11" s="64" t="s">
        <v>190</v>
      </c>
      <c r="AW11" s="64">
        <v>15</v>
      </c>
      <c r="AX11" s="64" t="s">
        <v>191</v>
      </c>
      <c r="BB11" s="90"/>
      <c r="BC11" s="99">
        <v>109</v>
      </c>
      <c r="BD11" s="99" t="s">
        <v>263</v>
      </c>
      <c r="BE11" s="99">
        <v>18</v>
      </c>
      <c r="BF11" s="99" t="s">
        <v>22</v>
      </c>
      <c r="BG11" s="99" t="s">
        <v>247</v>
      </c>
      <c r="BH11" s="99">
        <v>72</v>
      </c>
      <c r="BI11" s="99">
        <v>75</v>
      </c>
      <c r="BJ11" s="99">
        <v>70</v>
      </c>
      <c r="BK11" s="99">
        <v>88</v>
      </c>
      <c r="BL11" s="105"/>
      <c r="BM11" s="123" t="s">
        <v>294</v>
      </c>
      <c r="BN11" s="119"/>
      <c r="BO11" s="119"/>
      <c r="BP11" s="125"/>
      <c r="BQ11" s="105"/>
      <c r="BR11" s="113" t="s">
        <v>281</v>
      </c>
      <c r="BS11" s="109">
        <v>137.94999999999999</v>
      </c>
      <c r="BT11" s="109">
        <f>VARP(telecom_churn!$BI$3:$BI$12)</f>
        <v>127.81</v>
      </c>
      <c r="BU11" s="114"/>
      <c r="BV11" s="101"/>
      <c r="BW11" s="101"/>
      <c r="BX11" s="101"/>
      <c r="BY11" s="107"/>
      <c r="BZ11" s="101"/>
      <c r="CA11" s="101"/>
      <c r="CB11" s="101"/>
    </row>
    <row r="12" spans="1:81" ht="30.75" thickBot="1" x14ac:dyDescent="0.55000000000000004">
      <c r="A12" s="49">
        <v>1</v>
      </c>
      <c r="B12" s="49">
        <v>65</v>
      </c>
      <c r="C12" s="49" t="s">
        <v>21</v>
      </c>
      <c r="D12" s="49">
        <v>1</v>
      </c>
      <c r="E12" s="49">
        <v>0</v>
      </c>
      <c r="F12" s="49">
        <v>0.28999999999999998</v>
      </c>
      <c r="G12" s="49">
        <v>4</v>
      </c>
      <c r="H12" s="49">
        <v>129.1</v>
      </c>
      <c r="I12" s="49">
        <v>137</v>
      </c>
      <c r="J12" s="49">
        <v>44.9</v>
      </c>
      <c r="K12" s="49">
        <v>11.43</v>
      </c>
      <c r="L12" s="49">
        <v>12.7</v>
      </c>
      <c r="M12" s="51">
        <f t="shared" si="0"/>
        <v>8.0622577482985491</v>
      </c>
      <c r="N12" s="51">
        <f>ROUND(Table1[[#This Row],[SQRT]],2)</f>
        <v>8.06</v>
      </c>
      <c r="O12" s="51">
        <f t="shared" si="1"/>
        <v>129.1</v>
      </c>
      <c r="P12" s="51">
        <f t="shared" si="2"/>
        <v>137</v>
      </c>
      <c r="Q12" s="51">
        <f t="shared" si="3"/>
        <v>133.05000000000001</v>
      </c>
      <c r="R12" s="51">
        <f t="shared" si="4"/>
        <v>266.10000000000002</v>
      </c>
      <c r="S12" s="51">
        <f t="shared" si="5"/>
        <v>2.5</v>
      </c>
      <c r="T12" s="51" t="e">
        <f t="shared" si="12"/>
        <v>#N/A</v>
      </c>
      <c r="U12" s="51" t="str">
        <f t="shared" si="6"/>
        <v>F</v>
      </c>
      <c r="V12" s="51" t="str">
        <f t="shared" si="7"/>
        <v>le</v>
      </c>
      <c r="W12" s="51">
        <f t="shared" si="8"/>
        <v>6</v>
      </c>
      <c r="X12" s="51">
        <v>46123</v>
      </c>
      <c r="Y12" s="51">
        <f t="shared" si="13"/>
        <v>2026</v>
      </c>
      <c r="Z12" s="51">
        <f t="shared" si="9"/>
        <v>4</v>
      </c>
      <c r="AA12" s="51">
        <f t="shared" si="10"/>
        <v>11</v>
      </c>
      <c r="AB12" s="51">
        <f t="shared" si="14"/>
        <v>7</v>
      </c>
      <c r="AC12" s="51">
        <f t="shared" si="15"/>
        <v>46265</v>
      </c>
      <c r="AD12" s="51">
        <f t="shared" si="11"/>
        <v>101</v>
      </c>
      <c r="AF12" s="22" t="s">
        <v>68</v>
      </c>
      <c r="AG12" s="20"/>
      <c r="AH12" s="20"/>
      <c r="AI12" s="21"/>
      <c r="AP12" s="64">
        <v>10</v>
      </c>
      <c r="AQ12" s="64" t="s">
        <v>192</v>
      </c>
      <c r="AR12" s="64">
        <v>26</v>
      </c>
      <c r="AS12" s="64" t="s">
        <v>21</v>
      </c>
      <c r="AT12" s="64" t="s">
        <v>193</v>
      </c>
      <c r="AU12" s="64">
        <v>45000</v>
      </c>
      <c r="AV12" s="64" t="s">
        <v>194</v>
      </c>
      <c r="AW12" s="64">
        <v>3</v>
      </c>
      <c r="AX12" s="64" t="s">
        <v>195</v>
      </c>
      <c r="BB12" s="90"/>
      <c r="BC12" s="99">
        <v>110</v>
      </c>
      <c r="BD12" s="99" t="s">
        <v>264</v>
      </c>
      <c r="BE12" s="99">
        <v>20</v>
      </c>
      <c r="BF12" s="99" t="s">
        <v>21</v>
      </c>
      <c r="BG12" s="99" t="s">
        <v>198</v>
      </c>
      <c r="BH12" s="99">
        <v>96</v>
      </c>
      <c r="BI12" s="99">
        <v>98</v>
      </c>
      <c r="BJ12" s="99">
        <v>94</v>
      </c>
      <c r="BK12" s="99">
        <v>99</v>
      </c>
      <c r="BL12" s="105"/>
      <c r="BM12" s="113" t="s">
        <v>267</v>
      </c>
      <c r="BN12" s="109">
        <v>10</v>
      </c>
      <c r="BO12" s="109">
        <v>10</v>
      </c>
      <c r="BP12" s="125"/>
      <c r="BQ12" s="105"/>
      <c r="BR12" s="115" t="s">
        <v>282</v>
      </c>
      <c r="BS12" s="116">
        <v>140.84999999999997</v>
      </c>
      <c r="BT12" s="116">
        <v>127.00999999999999</v>
      </c>
      <c r="BU12" s="117">
        <f>VARP(telecom_churn!$BJ$3:$BJ$12)</f>
        <v>134.61000000000001</v>
      </c>
      <c r="BV12" s="101"/>
      <c r="BW12" s="101"/>
      <c r="BX12" s="101"/>
      <c r="BY12" s="107"/>
      <c r="BZ12" s="101"/>
      <c r="CA12" s="101"/>
      <c r="CB12" s="101"/>
    </row>
    <row r="13" spans="1:81" ht="30.75" thickBot="1" x14ac:dyDescent="0.55000000000000004">
      <c r="A13" s="49">
        <v>0</v>
      </c>
      <c r="B13" s="49">
        <v>74</v>
      </c>
      <c r="C13" s="49" t="s">
        <v>21</v>
      </c>
      <c r="D13" s="49">
        <v>1</v>
      </c>
      <c r="E13" s="49">
        <v>0</v>
      </c>
      <c r="F13" s="49">
        <v>0.34</v>
      </c>
      <c r="G13" s="49">
        <v>0</v>
      </c>
      <c r="H13" s="49">
        <v>187.7</v>
      </c>
      <c r="I13" s="49">
        <v>127</v>
      </c>
      <c r="J13" s="49">
        <v>49.4</v>
      </c>
      <c r="K13" s="49">
        <v>8.17</v>
      </c>
      <c r="L13" s="49">
        <v>9.1</v>
      </c>
      <c r="M13" s="51">
        <f t="shared" si="0"/>
        <v>8.6023252670426267</v>
      </c>
      <c r="N13" s="51">
        <f>ROUND(Table1[[#This Row],[SQRT]],2)</f>
        <v>8.6</v>
      </c>
      <c r="O13" s="51">
        <f t="shared" si="1"/>
        <v>127</v>
      </c>
      <c r="P13" s="51">
        <f t="shared" si="2"/>
        <v>187.7</v>
      </c>
      <c r="Q13" s="51">
        <f t="shared" si="3"/>
        <v>157.35</v>
      </c>
      <c r="R13" s="51">
        <f t="shared" si="4"/>
        <v>314.7</v>
      </c>
      <c r="S13" s="51">
        <f t="shared" si="5"/>
        <v>0.5</v>
      </c>
      <c r="T13" s="51" t="e">
        <f t="shared" si="12"/>
        <v>#N/A</v>
      </c>
      <c r="U13" s="51" t="str">
        <f t="shared" si="6"/>
        <v>F</v>
      </c>
      <c r="V13" s="51" t="str">
        <f t="shared" si="7"/>
        <v>le</v>
      </c>
      <c r="W13" s="51">
        <f t="shared" si="8"/>
        <v>6</v>
      </c>
      <c r="X13" s="51">
        <v>46124</v>
      </c>
      <c r="Y13" s="51">
        <f t="shared" si="13"/>
        <v>2026</v>
      </c>
      <c r="Z13" s="51">
        <f t="shared" si="9"/>
        <v>4</v>
      </c>
      <c r="AA13" s="51">
        <f t="shared" si="10"/>
        <v>12</v>
      </c>
      <c r="AB13" s="51">
        <f t="shared" si="14"/>
        <v>1</v>
      </c>
      <c r="AC13" s="51">
        <f t="shared" si="15"/>
        <v>46265</v>
      </c>
      <c r="AD13" s="51">
        <f t="shared" si="11"/>
        <v>101</v>
      </c>
      <c r="AF13" s="23"/>
      <c r="AP13" s="64">
        <v>11</v>
      </c>
      <c r="AQ13" s="64" t="s">
        <v>196</v>
      </c>
      <c r="AR13" s="64">
        <v>31</v>
      </c>
      <c r="AS13" s="64" t="s">
        <v>22</v>
      </c>
      <c r="AT13" s="64" t="s">
        <v>197</v>
      </c>
      <c r="AU13" s="64">
        <v>52000</v>
      </c>
      <c r="AV13" s="64" t="s">
        <v>82</v>
      </c>
      <c r="AW13" s="64">
        <v>7</v>
      </c>
      <c r="AX13" s="64" t="s">
        <v>198</v>
      </c>
      <c r="BA13">
        <v>30</v>
      </c>
      <c r="BB13" s="90"/>
      <c r="BC13" s="105"/>
      <c r="BD13" s="105"/>
      <c r="BE13" s="105"/>
      <c r="BF13" s="105"/>
      <c r="BG13" s="105"/>
      <c r="BH13" s="105"/>
      <c r="BI13" s="105"/>
      <c r="BJ13" s="105"/>
      <c r="BK13" s="105"/>
      <c r="BL13" s="105"/>
      <c r="BM13" s="113" t="s">
        <v>268</v>
      </c>
      <c r="BN13" s="109">
        <v>823</v>
      </c>
      <c r="BO13" s="109">
        <v>793</v>
      </c>
      <c r="BP13" s="125"/>
      <c r="BQ13" s="105"/>
      <c r="BR13" s="101"/>
      <c r="BS13" s="101"/>
      <c r="BT13" s="101"/>
      <c r="BU13" s="101"/>
      <c r="BV13" s="101"/>
      <c r="BW13" s="101"/>
      <c r="BX13" s="101"/>
      <c r="BY13" s="107"/>
      <c r="BZ13" s="101"/>
      <c r="CA13" s="101"/>
      <c r="CB13" s="101"/>
    </row>
    <row r="14" spans="1:81" ht="30.75" thickBot="1" x14ac:dyDescent="0.35">
      <c r="A14" s="49">
        <v>0</v>
      </c>
      <c r="B14" s="49">
        <v>168</v>
      </c>
      <c r="C14" s="49" t="s">
        <v>21</v>
      </c>
      <c r="D14" s="49">
        <v>1</v>
      </c>
      <c r="E14" s="49">
        <v>0</v>
      </c>
      <c r="F14" s="49">
        <v>0</v>
      </c>
      <c r="G14" s="49">
        <v>1</v>
      </c>
      <c r="H14" s="49">
        <v>128.80000000000001</v>
      </c>
      <c r="I14" s="49">
        <v>96</v>
      </c>
      <c r="J14" s="49">
        <v>31</v>
      </c>
      <c r="K14" s="49">
        <v>5.25</v>
      </c>
      <c r="L14" s="49">
        <v>11.2</v>
      </c>
      <c r="M14" s="51">
        <f t="shared" si="0"/>
        <v>12.961481396815721</v>
      </c>
      <c r="N14" s="51">
        <f>ROUND(Table1[[#This Row],[SQRT]],2)</f>
        <v>12.96</v>
      </c>
      <c r="O14" s="51">
        <f t="shared" si="1"/>
        <v>96</v>
      </c>
      <c r="P14" s="51">
        <f t="shared" si="2"/>
        <v>128.80000000000001</v>
      </c>
      <c r="Q14" s="51">
        <f t="shared" si="3"/>
        <v>112.4</v>
      </c>
      <c r="R14" s="51">
        <f t="shared" si="4"/>
        <v>224.8</v>
      </c>
      <c r="S14" s="51">
        <f t="shared" si="5"/>
        <v>1</v>
      </c>
      <c r="T14" s="51" t="e">
        <f t="shared" si="12"/>
        <v>#N/A</v>
      </c>
      <c r="U14" s="51" t="str">
        <f t="shared" si="6"/>
        <v>F</v>
      </c>
      <c r="V14" s="51" t="str">
        <f t="shared" si="7"/>
        <v>le</v>
      </c>
      <c r="W14" s="51">
        <f t="shared" si="8"/>
        <v>6</v>
      </c>
      <c r="X14" s="51">
        <v>46125</v>
      </c>
      <c r="Y14" s="51">
        <f t="shared" si="13"/>
        <v>2026</v>
      </c>
      <c r="Z14" s="51">
        <f t="shared" si="9"/>
        <v>4</v>
      </c>
      <c r="AA14" s="51">
        <f t="shared" si="10"/>
        <v>13</v>
      </c>
      <c r="AB14" s="51">
        <f t="shared" si="14"/>
        <v>2</v>
      </c>
      <c r="AC14" s="51">
        <f t="shared" si="15"/>
        <v>46265</v>
      </c>
      <c r="AD14" s="51">
        <f t="shared" si="11"/>
        <v>101</v>
      </c>
      <c r="AF14" s="11" t="s">
        <v>48</v>
      </c>
      <c r="AG14" s="12" t="s">
        <v>49</v>
      </c>
      <c r="AH14" s="12" t="s">
        <v>50</v>
      </c>
      <c r="AI14" s="12" t="s">
        <v>12</v>
      </c>
      <c r="AJ14" s="12" t="s">
        <v>52</v>
      </c>
      <c r="AK14" s="13" t="s">
        <v>51</v>
      </c>
      <c r="AP14" s="64">
        <v>12</v>
      </c>
      <c r="AQ14" s="64" t="s">
        <v>199</v>
      </c>
      <c r="AR14" s="64">
        <v>23</v>
      </c>
      <c r="AS14" s="64" t="s">
        <v>21</v>
      </c>
      <c r="AT14" s="64" t="s">
        <v>200</v>
      </c>
      <c r="AU14" s="64">
        <v>28000</v>
      </c>
      <c r="AV14" s="64" t="s">
        <v>106</v>
      </c>
      <c r="AW14" s="64">
        <v>1</v>
      </c>
      <c r="AX14" s="64" t="s">
        <v>201</v>
      </c>
      <c r="BB14" s="90"/>
      <c r="BC14" s="105"/>
      <c r="BD14" s="136" t="s">
        <v>295</v>
      </c>
      <c r="BE14" s="134"/>
      <c r="BF14" s="134"/>
      <c r="BG14" s="134"/>
      <c r="BH14" s="135"/>
      <c r="BI14" s="105"/>
      <c r="BJ14" s="105"/>
      <c r="BK14" s="105"/>
      <c r="BL14" s="105"/>
      <c r="BM14" s="113" t="s">
        <v>166</v>
      </c>
      <c r="BN14" s="109">
        <v>82.3</v>
      </c>
      <c r="BO14" s="109">
        <v>79.3</v>
      </c>
      <c r="BP14" s="125"/>
      <c r="BQ14" s="105"/>
      <c r="BR14" s="101"/>
      <c r="BS14" s="101"/>
      <c r="BT14" s="101"/>
      <c r="BU14" s="101"/>
      <c r="BV14" s="101"/>
      <c r="BW14" s="101"/>
      <c r="BX14" s="101"/>
      <c r="BY14" s="107"/>
      <c r="BZ14" s="101"/>
      <c r="CA14" s="101"/>
      <c r="CB14" s="101"/>
    </row>
    <row r="15" spans="1:81" ht="45.75" thickBot="1" x14ac:dyDescent="0.3">
      <c r="A15" s="49">
        <v>0</v>
      </c>
      <c r="B15" s="49">
        <v>95</v>
      </c>
      <c r="C15" s="49" t="s">
        <v>21</v>
      </c>
      <c r="D15" s="49">
        <v>1</v>
      </c>
      <c r="E15" s="49">
        <v>0</v>
      </c>
      <c r="F15" s="49">
        <v>0.44</v>
      </c>
      <c r="G15" s="49">
        <v>3</v>
      </c>
      <c r="H15" s="49">
        <v>156.6</v>
      </c>
      <c r="I15" s="49">
        <v>88</v>
      </c>
      <c r="J15" s="49">
        <v>52.4</v>
      </c>
      <c r="K15" s="49">
        <v>12.38</v>
      </c>
      <c r="L15" s="49">
        <v>12.3</v>
      </c>
      <c r="M15" s="51">
        <f t="shared" si="0"/>
        <v>9.7467943448089631</v>
      </c>
      <c r="N15" s="51">
        <f>ROUND(Table1[[#This Row],[SQRT]],2)</f>
        <v>9.75</v>
      </c>
      <c r="O15" s="51">
        <f t="shared" si="1"/>
        <v>88</v>
      </c>
      <c r="P15" s="51">
        <f t="shared" si="2"/>
        <v>156.6</v>
      </c>
      <c r="Q15" s="51">
        <f t="shared" si="3"/>
        <v>122.3</v>
      </c>
      <c r="R15" s="51">
        <f t="shared" si="4"/>
        <v>244.6</v>
      </c>
      <c r="S15" s="51">
        <f t="shared" si="5"/>
        <v>2</v>
      </c>
      <c r="T15" s="51" t="e">
        <f t="shared" si="12"/>
        <v>#N/A</v>
      </c>
      <c r="U15" s="51" t="str">
        <f t="shared" si="6"/>
        <v>F</v>
      </c>
      <c r="V15" s="51" t="str">
        <f t="shared" si="7"/>
        <v>le</v>
      </c>
      <c r="W15" s="51">
        <f t="shared" si="8"/>
        <v>6</v>
      </c>
      <c r="X15" s="51">
        <v>46126</v>
      </c>
      <c r="Y15" s="51">
        <f t="shared" si="13"/>
        <v>2026</v>
      </c>
      <c r="Z15" s="51">
        <f t="shared" si="9"/>
        <v>4</v>
      </c>
      <c r="AA15" s="51">
        <f t="shared" si="10"/>
        <v>14</v>
      </c>
      <c r="AB15" s="51">
        <f t="shared" si="14"/>
        <v>3</v>
      </c>
      <c r="AC15" s="51">
        <f t="shared" si="15"/>
        <v>46265</v>
      </c>
      <c r="AD15" s="51">
        <f t="shared" si="11"/>
        <v>100</v>
      </c>
      <c r="AF15" s="14">
        <f>PRODUCT(3,9)</f>
        <v>27</v>
      </c>
      <c r="AG15" s="8">
        <f>MOD(77,3)</f>
        <v>2</v>
      </c>
      <c r="AH15" s="8">
        <f>FACT(6)</f>
        <v>720</v>
      </c>
      <c r="AI15" s="8">
        <f>ROUND(SQRT(45),2)</f>
        <v>6.71</v>
      </c>
      <c r="AJ15" s="8">
        <f>ROUNDDOWN(SQRT(38),2)</f>
        <v>6.16</v>
      </c>
      <c r="AK15" s="15">
        <f>ROUNDUP(SQRT(68),2)</f>
        <v>8.25</v>
      </c>
      <c r="AP15" s="64">
        <v>13</v>
      </c>
      <c r="AQ15" s="64" t="s">
        <v>202</v>
      </c>
      <c r="AR15" s="64">
        <v>38</v>
      </c>
      <c r="AS15" s="64" t="s">
        <v>22</v>
      </c>
      <c r="AT15" s="64" t="s">
        <v>203</v>
      </c>
      <c r="AU15" s="64">
        <v>80000</v>
      </c>
      <c r="AV15" s="64" t="s">
        <v>82</v>
      </c>
      <c r="AW15" s="64">
        <v>12</v>
      </c>
      <c r="AX15" s="64" t="s">
        <v>84</v>
      </c>
      <c r="BB15" s="90"/>
      <c r="BC15" s="105"/>
      <c r="BD15" s="105"/>
      <c r="BE15" s="105"/>
      <c r="BF15" s="105"/>
      <c r="BG15" s="105"/>
      <c r="BH15" s="105"/>
      <c r="BI15" s="105"/>
      <c r="BJ15" s="105"/>
      <c r="BK15" s="105"/>
      <c r="BL15" s="105"/>
      <c r="BM15" s="115" t="s">
        <v>269</v>
      </c>
      <c r="BN15" s="116">
        <v>142.01111111111175</v>
      </c>
      <c r="BO15" s="116">
        <v>149.56666666666649</v>
      </c>
      <c r="BP15" s="126"/>
      <c r="BQ15" s="105"/>
      <c r="BR15" s="105"/>
      <c r="BS15" s="105"/>
      <c r="BT15" s="105"/>
      <c r="BU15" s="105"/>
      <c r="BV15" s="105"/>
      <c r="BW15" s="105"/>
      <c r="BX15" s="101"/>
      <c r="BY15" s="107"/>
      <c r="BZ15" s="101"/>
      <c r="CA15" s="101"/>
      <c r="CB15" s="101"/>
    </row>
    <row r="16" spans="1:81" ht="15.75" thickBot="1" x14ac:dyDescent="0.3">
      <c r="A16" s="49">
        <v>0</v>
      </c>
      <c r="B16" s="49">
        <v>62</v>
      </c>
      <c r="C16" s="49" t="s">
        <v>21</v>
      </c>
      <c r="D16" s="49">
        <v>1</v>
      </c>
      <c r="E16" s="49">
        <v>0</v>
      </c>
      <c r="F16" s="49">
        <v>0</v>
      </c>
      <c r="G16" s="49">
        <v>4</v>
      </c>
      <c r="H16" s="49">
        <v>120.7</v>
      </c>
      <c r="I16" s="49">
        <v>70</v>
      </c>
      <c r="J16" s="49">
        <v>47</v>
      </c>
      <c r="K16" s="49">
        <v>15.36</v>
      </c>
      <c r="L16" s="49">
        <v>13.1</v>
      </c>
      <c r="M16" s="51">
        <f t="shared" si="0"/>
        <v>7.8740078740118111</v>
      </c>
      <c r="N16" s="51">
        <f>ROUND(Table1[[#This Row],[SQRT]],2)</f>
        <v>7.87</v>
      </c>
      <c r="O16" s="51">
        <f t="shared" si="1"/>
        <v>70</v>
      </c>
      <c r="P16" s="51">
        <f t="shared" si="2"/>
        <v>120.7</v>
      </c>
      <c r="Q16" s="51">
        <f t="shared" si="3"/>
        <v>95.35</v>
      </c>
      <c r="R16" s="51">
        <f t="shared" si="4"/>
        <v>190.7</v>
      </c>
      <c r="S16" s="51">
        <f t="shared" si="5"/>
        <v>2.5</v>
      </c>
      <c r="T16" s="51" t="e">
        <f t="shared" si="12"/>
        <v>#N/A</v>
      </c>
      <c r="U16" s="51" t="str">
        <f t="shared" si="6"/>
        <v>F</v>
      </c>
      <c r="V16" s="51" t="str">
        <f t="shared" si="7"/>
        <v>le</v>
      </c>
      <c r="W16" s="51">
        <f t="shared" si="8"/>
        <v>6</v>
      </c>
      <c r="X16" s="51">
        <v>46127</v>
      </c>
      <c r="Y16" s="51">
        <f t="shared" si="13"/>
        <v>2026</v>
      </c>
      <c r="Z16" s="51">
        <f t="shared" si="9"/>
        <v>4</v>
      </c>
      <c r="AA16" s="51">
        <f t="shared" si="10"/>
        <v>15</v>
      </c>
      <c r="AB16" s="51">
        <f t="shared" si="14"/>
        <v>4</v>
      </c>
      <c r="AC16" s="51">
        <f t="shared" si="15"/>
        <v>46265</v>
      </c>
      <c r="AD16" s="51">
        <f t="shared" si="11"/>
        <v>99</v>
      </c>
      <c r="AF16" s="16">
        <f>PRODUCT(10,5)</f>
        <v>50</v>
      </c>
      <c r="AG16" s="17">
        <f>MOD(100,5)</f>
        <v>0</v>
      </c>
      <c r="AH16" s="17">
        <f>FACT(10)</f>
        <v>3628800</v>
      </c>
      <c r="AI16" s="17">
        <f>ROUND(SQRT(26),2)</f>
        <v>5.0999999999999996</v>
      </c>
      <c r="AJ16" s="17">
        <f>ROUNDDOWN(SQRT(42),2)</f>
        <v>6.48</v>
      </c>
      <c r="AK16" s="18">
        <f>ROUNDUP(SQRT(28),2)</f>
        <v>5.3</v>
      </c>
      <c r="AP16" s="64">
        <v>14</v>
      </c>
      <c r="AQ16" s="64" t="s">
        <v>204</v>
      </c>
      <c r="AR16" s="64">
        <v>29</v>
      </c>
      <c r="AS16" s="64" t="s">
        <v>21</v>
      </c>
      <c r="AT16" s="64" t="s">
        <v>205</v>
      </c>
      <c r="AU16" s="64">
        <v>39000</v>
      </c>
      <c r="AV16" s="64" t="s">
        <v>87</v>
      </c>
      <c r="AW16" s="64">
        <v>5</v>
      </c>
      <c r="AX16" s="64" t="s">
        <v>206</v>
      </c>
      <c r="BB16" s="90"/>
      <c r="BC16" s="105"/>
      <c r="BD16" s="92" t="s">
        <v>266</v>
      </c>
      <c r="BE16" s="86"/>
      <c r="BF16" s="86"/>
      <c r="BG16" s="86"/>
      <c r="BH16" s="25"/>
      <c r="BI16" s="105"/>
      <c r="BJ16" s="105"/>
      <c r="BK16" s="105"/>
      <c r="BL16" s="105"/>
      <c r="BM16" s="101"/>
      <c r="BN16" s="101"/>
      <c r="BO16" s="101"/>
      <c r="BP16" s="105"/>
      <c r="BQ16" s="105"/>
      <c r="BR16" s="105"/>
      <c r="BS16" s="105"/>
      <c r="BT16" s="105"/>
      <c r="BU16" s="105"/>
      <c r="BV16" s="105"/>
      <c r="BW16" s="105"/>
      <c r="BX16" s="101"/>
      <c r="BY16" s="107"/>
      <c r="BZ16" s="101"/>
      <c r="CA16" s="101"/>
      <c r="CB16" s="101"/>
    </row>
    <row r="17" spans="1:82" ht="45.75" thickBot="1" x14ac:dyDescent="0.3">
      <c r="A17" s="49">
        <v>1</v>
      </c>
      <c r="B17" s="49">
        <v>161</v>
      </c>
      <c r="C17" s="49" t="s">
        <v>21</v>
      </c>
      <c r="D17" s="49">
        <v>1</v>
      </c>
      <c r="E17" s="49">
        <v>0</v>
      </c>
      <c r="F17" s="49">
        <v>0</v>
      </c>
      <c r="G17" s="49">
        <v>4</v>
      </c>
      <c r="H17" s="49">
        <v>332.9</v>
      </c>
      <c r="I17" s="49">
        <v>67</v>
      </c>
      <c r="J17" s="49">
        <v>84</v>
      </c>
      <c r="K17" s="49">
        <v>15.89</v>
      </c>
      <c r="L17" s="49">
        <v>5.4</v>
      </c>
      <c r="M17" s="51">
        <f t="shared" si="0"/>
        <v>12.68857754044952</v>
      </c>
      <c r="N17" s="51">
        <f>ROUND(Table1[[#This Row],[SQRT]],2)</f>
        <v>12.69</v>
      </c>
      <c r="O17" s="51">
        <f t="shared" si="1"/>
        <v>67</v>
      </c>
      <c r="P17" s="51">
        <f t="shared" si="2"/>
        <v>332.9</v>
      </c>
      <c r="Q17" s="51">
        <f t="shared" si="3"/>
        <v>199.95</v>
      </c>
      <c r="R17" s="51">
        <f t="shared" si="4"/>
        <v>399.9</v>
      </c>
      <c r="S17" s="51">
        <f t="shared" si="5"/>
        <v>2.5</v>
      </c>
      <c r="T17" s="51" t="e">
        <f t="shared" si="12"/>
        <v>#N/A</v>
      </c>
      <c r="U17" s="51" t="str">
        <f t="shared" si="6"/>
        <v>F</v>
      </c>
      <c r="V17" s="51" t="str">
        <f t="shared" si="7"/>
        <v>le</v>
      </c>
      <c r="W17" s="51">
        <f t="shared" si="8"/>
        <v>6</v>
      </c>
      <c r="X17" s="51">
        <v>46128</v>
      </c>
      <c r="Y17" s="51">
        <f t="shared" si="13"/>
        <v>2026</v>
      </c>
      <c r="Z17" s="51">
        <f t="shared" si="9"/>
        <v>4</v>
      </c>
      <c r="AA17" s="51">
        <f t="shared" si="10"/>
        <v>16</v>
      </c>
      <c r="AB17" s="51">
        <f t="shared" si="14"/>
        <v>5</v>
      </c>
      <c r="AC17" s="51">
        <f t="shared" si="15"/>
        <v>46265</v>
      </c>
      <c r="AD17" s="51">
        <f t="shared" si="11"/>
        <v>98</v>
      </c>
      <c r="AP17" s="64">
        <v>15</v>
      </c>
      <c r="AQ17" s="64" t="s">
        <v>207</v>
      </c>
      <c r="AR17" s="64">
        <v>27</v>
      </c>
      <c r="AS17" s="64" t="s">
        <v>22</v>
      </c>
      <c r="AT17" s="64" t="s">
        <v>93</v>
      </c>
      <c r="AU17" s="64">
        <v>36000</v>
      </c>
      <c r="AV17" s="64" t="s">
        <v>92</v>
      </c>
      <c r="AW17" s="64">
        <v>3</v>
      </c>
      <c r="AX17" s="64" t="s">
        <v>208</v>
      </c>
      <c r="BB17" s="90"/>
      <c r="BC17" s="105"/>
      <c r="BD17" s="110" t="s">
        <v>296</v>
      </c>
      <c r="BE17" s="111" t="s">
        <v>267</v>
      </c>
      <c r="BF17" s="111" t="s">
        <v>268</v>
      </c>
      <c r="BG17" s="111" t="s">
        <v>166</v>
      </c>
      <c r="BH17" s="112" t="s">
        <v>269</v>
      </c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1"/>
      <c r="BY17" s="107"/>
      <c r="BZ17" s="101"/>
      <c r="CA17" s="101"/>
      <c r="CB17" s="101"/>
      <c r="CC17" s="105"/>
    </row>
    <row r="18" spans="1:82" ht="30.75" thickBot="1" x14ac:dyDescent="0.3">
      <c r="A18" s="49">
        <v>0</v>
      </c>
      <c r="B18" s="49">
        <v>85</v>
      </c>
      <c r="C18" s="49" t="s">
        <v>21</v>
      </c>
      <c r="D18" s="49">
        <v>1</v>
      </c>
      <c r="E18" s="49">
        <v>1</v>
      </c>
      <c r="F18" s="49">
        <v>3.73</v>
      </c>
      <c r="G18" s="49">
        <v>1</v>
      </c>
      <c r="H18" s="49">
        <v>196.4</v>
      </c>
      <c r="I18" s="49">
        <v>139</v>
      </c>
      <c r="J18" s="49">
        <v>95.3</v>
      </c>
      <c r="K18" s="49">
        <v>14.05</v>
      </c>
      <c r="L18" s="49">
        <v>13.8</v>
      </c>
      <c r="M18" s="51">
        <f t="shared" si="0"/>
        <v>9.2195444572928871</v>
      </c>
      <c r="N18" s="51">
        <f>ROUND(Table1[[#This Row],[SQRT]],2)</f>
        <v>9.2200000000000006</v>
      </c>
      <c r="O18" s="51">
        <f t="shared" si="1"/>
        <v>139</v>
      </c>
      <c r="P18" s="51">
        <f t="shared" si="2"/>
        <v>196.4</v>
      </c>
      <c r="Q18" s="51">
        <f t="shared" si="3"/>
        <v>167.7</v>
      </c>
      <c r="R18" s="51">
        <f t="shared" si="4"/>
        <v>335.4</v>
      </c>
      <c r="S18" s="51">
        <f t="shared" si="5"/>
        <v>1</v>
      </c>
      <c r="T18" s="51" t="e">
        <f t="shared" si="12"/>
        <v>#N/A</v>
      </c>
      <c r="U18" s="51" t="str">
        <f t="shared" si="6"/>
        <v>F</v>
      </c>
      <c r="V18" s="51" t="str">
        <f t="shared" si="7"/>
        <v>le</v>
      </c>
      <c r="W18" s="51">
        <f t="shared" si="8"/>
        <v>6</v>
      </c>
      <c r="X18" s="51">
        <v>46129</v>
      </c>
      <c r="Y18" s="51">
        <f t="shared" si="13"/>
        <v>2026</v>
      </c>
      <c r="Z18" s="51">
        <f t="shared" si="9"/>
        <v>4</v>
      </c>
      <c r="AA18" s="51">
        <f t="shared" si="10"/>
        <v>17</v>
      </c>
      <c r="AB18" s="51">
        <f t="shared" si="14"/>
        <v>6</v>
      </c>
      <c r="AC18" s="51">
        <f t="shared" si="15"/>
        <v>46265</v>
      </c>
      <c r="AD18" s="51">
        <f t="shared" si="11"/>
        <v>97</v>
      </c>
      <c r="AP18" s="64">
        <v>16</v>
      </c>
      <c r="AQ18" s="64" t="s">
        <v>209</v>
      </c>
      <c r="AR18" s="64">
        <v>34</v>
      </c>
      <c r="AS18" s="64" t="s">
        <v>21</v>
      </c>
      <c r="AT18" s="64" t="s">
        <v>98</v>
      </c>
      <c r="AU18" s="64">
        <v>62000</v>
      </c>
      <c r="AV18" s="64" t="s">
        <v>97</v>
      </c>
      <c r="AW18" s="64">
        <v>9</v>
      </c>
      <c r="AX18" s="64" t="s">
        <v>210</v>
      </c>
      <c r="BA18">
        <v>45000</v>
      </c>
      <c r="BB18" s="90"/>
      <c r="BC18" s="105"/>
      <c r="BD18" s="113" t="s">
        <v>280</v>
      </c>
      <c r="BE18" s="109">
        <v>10</v>
      </c>
      <c r="BF18" s="109">
        <v>795</v>
      </c>
      <c r="BG18" s="109">
        <v>79.5</v>
      </c>
      <c r="BH18" s="114">
        <v>171.16666666666666</v>
      </c>
      <c r="BI18" s="105"/>
      <c r="BJ18" s="105"/>
      <c r="BK18" s="105"/>
      <c r="BL18" s="105"/>
      <c r="BM18" s="92" t="s">
        <v>283</v>
      </c>
      <c r="BN18" s="86"/>
      <c r="BO18" s="86"/>
      <c r="BP18" s="86"/>
      <c r="BQ18" s="86"/>
      <c r="BR18" s="86"/>
      <c r="BS18" s="86"/>
      <c r="BT18" s="25"/>
      <c r="BU18" s="105"/>
      <c r="BV18" s="105"/>
      <c r="BW18" s="105"/>
      <c r="BX18" s="105"/>
      <c r="BY18" s="87"/>
      <c r="BZ18" s="105"/>
      <c r="CA18" s="105"/>
      <c r="CB18" s="105"/>
      <c r="CC18" s="105"/>
    </row>
    <row r="19" spans="1:82" ht="45" x14ac:dyDescent="0.25">
      <c r="A19" s="49">
        <v>0</v>
      </c>
      <c r="B19" s="49">
        <v>93</v>
      </c>
      <c r="C19" s="49" t="s">
        <v>21</v>
      </c>
      <c r="D19" s="49">
        <v>1</v>
      </c>
      <c r="E19" s="49">
        <v>0</v>
      </c>
      <c r="F19" s="49">
        <v>0</v>
      </c>
      <c r="G19" s="49">
        <v>3</v>
      </c>
      <c r="H19" s="49">
        <v>190.7</v>
      </c>
      <c r="I19" s="49">
        <v>114</v>
      </c>
      <c r="J19" s="49">
        <v>51</v>
      </c>
      <c r="K19" s="49">
        <v>10.91</v>
      </c>
      <c r="L19" s="49">
        <v>8.1</v>
      </c>
      <c r="M19" s="51">
        <f t="shared" si="0"/>
        <v>9.6436507609929549</v>
      </c>
      <c r="N19" s="51">
        <f>ROUND(Table1[[#This Row],[SQRT]],2)</f>
        <v>9.64</v>
      </c>
      <c r="O19" s="51">
        <f t="shared" si="1"/>
        <v>114</v>
      </c>
      <c r="P19" s="51">
        <f t="shared" si="2"/>
        <v>190.7</v>
      </c>
      <c r="Q19" s="51">
        <f t="shared" si="3"/>
        <v>152.35</v>
      </c>
      <c r="R19" s="51">
        <f t="shared" si="4"/>
        <v>304.7</v>
      </c>
      <c r="S19" s="51">
        <f t="shared" si="5"/>
        <v>2</v>
      </c>
      <c r="T19" s="51" t="e">
        <f t="shared" si="12"/>
        <v>#N/A</v>
      </c>
      <c r="U19" s="51" t="str">
        <f t="shared" si="6"/>
        <v>F</v>
      </c>
      <c r="V19" s="51" t="str">
        <f t="shared" si="7"/>
        <v>le</v>
      </c>
      <c r="W19" s="51">
        <f t="shared" si="8"/>
        <v>6</v>
      </c>
      <c r="X19" s="51">
        <v>46130</v>
      </c>
      <c r="Y19" s="51">
        <f t="shared" si="13"/>
        <v>2026</v>
      </c>
      <c r="Z19" s="51">
        <f t="shared" si="9"/>
        <v>4</v>
      </c>
      <c r="AA19" s="51">
        <f t="shared" si="10"/>
        <v>18</v>
      </c>
      <c r="AB19" s="51">
        <f t="shared" si="14"/>
        <v>7</v>
      </c>
      <c r="AC19" s="51">
        <f t="shared" si="15"/>
        <v>46265</v>
      </c>
      <c r="AD19" s="51">
        <f t="shared" si="11"/>
        <v>96</v>
      </c>
      <c r="AE19" s="1"/>
      <c r="AF19" s="34" t="s">
        <v>53</v>
      </c>
      <c r="AG19" s="35" t="s">
        <v>48</v>
      </c>
      <c r="AH19" s="35" t="s">
        <v>54</v>
      </c>
      <c r="AI19" s="35" t="s">
        <v>55</v>
      </c>
      <c r="AJ19" s="35" t="s">
        <v>56</v>
      </c>
      <c r="AK19" s="35" t="s">
        <v>64</v>
      </c>
      <c r="AL19" s="36" t="s">
        <v>67</v>
      </c>
      <c r="AP19" s="64">
        <v>17</v>
      </c>
      <c r="AQ19" s="64" t="s">
        <v>211</v>
      </c>
      <c r="AR19" s="64">
        <v>22</v>
      </c>
      <c r="AS19" s="64" t="s">
        <v>22</v>
      </c>
      <c r="AT19" s="64" t="s">
        <v>212</v>
      </c>
      <c r="AU19" s="64">
        <v>30000</v>
      </c>
      <c r="AV19" s="64" t="s">
        <v>82</v>
      </c>
      <c r="AW19" s="64">
        <v>1</v>
      </c>
      <c r="AX19" s="64" t="s">
        <v>213</v>
      </c>
      <c r="BB19" s="90"/>
      <c r="BC19" s="105"/>
      <c r="BD19" s="113" t="s">
        <v>281</v>
      </c>
      <c r="BE19" s="109">
        <v>10</v>
      </c>
      <c r="BF19" s="109">
        <v>823</v>
      </c>
      <c r="BG19" s="109">
        <v>82.3</v>
      </c>
      <c r="BH19" s="114">
        <v>142.01111111111175</v>
      </c>
      <c r="BI19" s="105"/>
      <c r="BJ19" s="105"/>
      <c r="BK19" s="105"/>
      <c r="BL19" s="105"/>
      <c r="BM19" s="110" t="s">
        <v>284</v>
      </c>
      <c r="BN19" s="111" t="s">
        <v>285</v>
      </c>
      <c r="BO19" s="111" t="s">
        <v>286</v>
      </c>
      <c r="BP19" s="111" t="s">
        <v>287</v>
      </c>
      <c r="BQ19" s="111" t="s">
        <v>288</v>
      </c>
      <c r="BR19" s="121"/>
      <c r="BS19" s="121"/>
      <c r="BT19" s="122"/>
      <c r="BU19" s="105"/>
      <c r="BV19" s="105"/>
      <c r="BW19" s="105"/>
      <c r="BX19" s="105"/>
      <c r="BY19" s="87"/>
    </row>
    <row r="20" spans="1:82" ht="45.75" thickBot="1" x14ac:dyDescent="0.3">
      <c r="A20" s="49">
        <v>0</v>
      </c>
      <c r="B20" s="49">
        <v>76</v>
      </c>
      <c r="C20" s="49" t="s">
        <v>22</v>
      </c>
      <c r="D20" s="49">
        <v>1</v>
      </c>
      <c r="E20" s="49">
        <v>1</v>
      </c>
      <c r="F20" s="49">
        <v>2.7</v>
      </c>
      <c r="G20" s="49">
        <v>1</v>
      </c>
      <c r="H20" s="49">
        <v>189.7</v>
      </c>
      <c r="I20" s="49">
        <v>66</v>
      </c>
      <c r="J20" s="49">
        <v>78</v>
      </c>
      <c r="K20" s="49">
        <v>10.64</v>
      </c>
      <c r="L20" s="49">
        <v>10</v>
      </c>
      <c r="M20" s="51">
        <f t="shared" si="0"/>
        <v>8.717797887081348</v>
      </c>
      <c r="N20" s="51">
        <f>ROUND(Table1[[#This Row],[SQRT]],2)</f>
        <v>8.7200000000000006</v>
      </c>
      <c r="O20" s="51">
        <f t="shared" si="1"/>
        <v>66</v>
      </c>
      <c r="P20" s="51">
        <f t="shared" si="2"/>
        <v>189.7</v>
      </c>
      <c r="Q20" s="51">
        <f t="shared" si="3"/>
        <v>127.85</v>
      </c>
      <c r="R20" s="51">
        <f t="shared" si="4"/>
        <v>255.7</v>
      </c>
      <c r="S20" s="51">
        <f t="shared" si="5"/>
        <v>1</v>
      </c>
      <c r="T20" s="51" t="e">
        <f t="shared" si="12"/>
        <v>#N/A</v>
      </c>
      <c r="U20" s="51" t="str">
        <f t="shared" si="6"/>
        <v>M</v>
      </c>
      <c r="V20" s="51" t="str">
        <f t="shared" si="7"/>
        <v>le</v>
      </c>
      <c r="W20" s="51">
        <f t="shared" si="8"/>
        <v>4</v>
      </c>
      <c r="X20" s="51">
        <v>46131</v>
      </c>
      <c r="Y20" s="51">
        <f t="shared" si="13"/>
        <v>2026</v>
      </c>
      <c r="Z20" s="51">
        <f t="shared" si="9"/>
        <v>4</v>
      </c>
      <c r="AA20" s="51">
        <f t="shared" si="10"/>
        <v>19</v>
      </c>
      <c r="AB20" s="51">
        <f t="shared" si="14"/>
        <v>1</v>
      </c>
      <c r="AC20" s="51">
        <f t="shared" si="15"/>
        <v>46265</v>
      </c>
      <c r="AD20" s="51">
        <f t="shared" si="11"/>
        <v>96</v>
      </c>
      <c r="AE20" s="1"/>
      <c r="AF20" s="29">
        <v>46174</v>
      </c>
      <c r="AG20" s="8" t="s">
        <v>57</v>
      </c>
      <c r="AH20" s="8" t="s">
        <v>59</v>
      </c>
      <c r="AI20" s="8" t="s">
        <v>62</v>
      </c>
      <c r="AJ20" s="8">
        <v>100</v>
      </c>
      <c r="AK20" s="8" t="s">
        <v>59</v>
      </c>
      <c r="AL20" s="30">
        <f>AVERAGEIF(AH20:AH24,"RED",AJ20:AJ24)</f>
        <v>76.666666666666671</v>
      </c>
      <c r="AP20" s="64">
        <v>18</v>
      </c>
      <c r="AQ20" s="64" t="s">
        <v>214</v>
      </c>
      <c r="AR20" s="64">
        <v>33</v>
      </c>
      <c r="AS20" s="64" t="s">
        <v>21</v>
      </c>
      <c r="AT20" s="64" t="s">
        <v>111</v>
      </c>
      <c r="AU20" s="64">
        <v>70000</v>
      </c>
      <c r="AV20" s="64" t="s">
        <v>110</v>
      </c>
      <c r="AW20" s="64">
        <v>8</v>
      </c>
      <c r="AX20" s="64" t="s">
        <v>215</v>
      </c>
      <c r="BB20" s="90"/>
      <c r="BC20" s="105"/>
      <c r="BD20" s="115" t="s">
        <v>282</v>
      </c>
      <c r="BE20" s="116">
        <v>10</v>
      </c>
      <c r="BF20" s="116">
        <v>793</v>
      </c>
      <c r="BG20" s="116">
        <v>79.3</v>
      </c>
      <c r="BH20" s="117">
        <v>149.56666666666649</v>
      </c>
      <c r="BI20" s="105"/>
      <c r="BJ20" s="105"/>
      <c r="BK20" s="105"/>
      <c r="BL20" s="105"/>
      <c r="BM20" s="113" t="s">
        <v>300</v>
      </c>
      <c r="BN20" s="109">
        <v>0</v>
      </c>
      <c r="BO20" s="109">
        <v>0</v>
      </c>
      <c r="BP20" s="109">
        <v>65535</v>
      </c>
      <c r="BQ20" s="109">
        <v>65535</v>
      </c>
      <c r="BR20" s="118"/>
      <c r="BS20" s="118"/>
      <c r="BT20" s="125"/>
      <c r="BU20" s="105"/>
      <c r="BV20" s="105"/>
      <c r="BW20" s="105"/>
      <c r="BX20" s="105"/>
      <c r="BY20" s="87"/>
      <c r="BZ20" s="105"/>
      <c r="CA20" s="105"/>
      <c r="CB20" s="105"/>
      <c r="CC20" s="105"/>
      <c r="CD20" s="105"/>
    </row>
    <row r="21" spans="1:82" ht="30" x14ac:dyDescent="0.25">
      <c r="AE21" s="1"/>
      <c r="AF21" s="29">
        <v>46174</v>
      </c>
      <c r="AG21" s="8" t="s">
        <v>58</v>
      </c>
      <c r="AH21" s="8" t="s">
        <v>60</v>
      </c>
      <c r="AI21" s="8" t="s">
        <v>63</v>
      </c>
      <c r="AJ21" s="8">
        <v>50</v>
      </c>
      <c r="AK21" s="8" t="s">
        <v>65</v>
      </c>
      <c r="AL21" s="30">
        <f>AVERAGEIFS(AJ20:AJ24,AH20:AH24,"RED",AI20:AI24,"AP")</f>
        <v>76.666666666666671</v>
      </c>
      <c r="AP21" s="64">
        <v>19</v>
      </c>
      <c r="AQ21" s="64" t="s">
        <v>216</v>
      </c>
      <c r="AR21" s="64">
        <v>41</v>
      </c>
      <c r="AS21" s="64" t="s">
        <v>22</v>
      </c>
      <c r="AT21" s="64" t="s">
        <v>217</v>
      </c>
      <c r="AU21" s="64">
        <v>95000</v>
      </c>
      <c r="AV21" s="64" t="s">
        <v>190</v>
      </c>
      <c r="AW21" s="64">
        <v>16</v>
      </c>
      <c r="AX21" s="64" t="s">
        <v>218</v>
      </c>
      <c r="BB21" s="90"/>
      <c r="BC21" s="105"/>
      <c r="BD21" s="105"/>
      <c r="BE21" s="105"/>
      <c r="BF21" s="105"/>
      <c r="BG21" s="105"/>
      <c r="BH21" s="105"/>
      <c r="BI21" s="105"/>
      <c r="BJ21" s="105"/>
      <c r="BK21" s="105"/>
      <c r="BL21" s="105"/>
      <c r="BM21" s="113" t="s">
        <v>292</v>
      </c>
      <c r="BN21" s="109">
        <v>45.000000000000455</v>
      </c>
      <c r="BO21" s="109">
        <v>1</v>
      </c>
      <c r="BP21" s="109">
        <v>45.000000000000455</v>
      </c>
      <c r="BQ21" s="109">
        <v>0.30866549805655369</v>
      </c>
      <c r="BR21" s="118" t="s">
        <v>294</v>
      </c>
      <c r="BS21" s="118">
        <v>4220.9666666666662</v>
      </c>
      <c r="BT21" s="125">
        <v>29</v>
      </c>
      <c r="BU21" s="105"/>
      <c r="BV21" s="105"/>
      <c r="BW21" s="105"/>
      <c r="BX21" s="106"/>
      <c r="BY21" s="128"/>
      <c r="BZ21" s="106"/>
      <c r="CA21" s="106"/>
      <c r="CB21" s="106"/>
      <c r="CC21" s="106"/>
      <c r="CD21" s="106"/>
    </row>
    <row r="22" spans="1:82" ht="30.75" thickBot="1" x14ac:dyDescent="0.3">
      <c r="AE22" s="1"/>
      <c r="AF22" s="29">
        <v>46175</v>
      </c>
      <c r="AG22" s="8" t="s">
        <v>57</v>
      </c>
      <c r="AH22" s="8" t="s">
        <v>59</v>
      </c>
      <c r="AI22" s="8" t="s">
        <v>62</v>
      </c>
      <c r="AJ22" s="8">
        <v>100</v>
      </c>
      <c r="AK22" s="8" t="s">
        <v>66</v>
      </c>
      <c r="AL22" s="30">
        <f>AVERAGEIFS(AJ20:AJ24,AH20:AH24,"RED",AI20:AI24,"AP",AG20:AG24,"MOUSE")</f>
        <v>76.666666666666671</v>
      </c>
      <c r="AP22" s="64">
        <v>20</v>
      </c>
      <c r="AQ22" s="64" t="s">
        <v>219</v>
      </c>
      <c r="AR22" s="64">
        <v>28</v>
      </c>
      <c r="AS22" s="69" t="s">
        <v>21</v>
      </c>
      <c r="AT22" s="64" t="s">
        <v>220</v>
      </c>
      <c r="AU22" s="64">
        <v>43000</v>
      </c>
      <c r="AV22" s="64" t="s">
        <v>194</v>
      </c>
      <c r="AW22" s="64">
        <v>4</v>
      </c>
      <c r="AX22" s="64" t="s">
        <v>221</v>
      </c>
      <c r="BB22" s="90"/>
      <c r="BC22" s="105"/>
      <c r="BD22" s="105"/>
      <c r="BE22" s="105"/>
      <c r="BF22" s="105"/>
      <c r="BG22" s="105"/>
      <c r="BH22" s="105"/>
      <c r="BI22" s="105"/>
      <c r="BJ22" s="105"/>
      <c r="BK22" s="105"/>
      <c r="BL22" s="105"/>
      <c r="BM22" s="113" t="s">
        <v>301</v>
      </c>
      <c r="BN22" s="109">
        <v>0</v>
      </c>
      <c r="BO22" s="109">
        <v>0</v>
      </c>
      <c r="BP22" s="109">
        <v>65535</v>
      </c>
      <c r="BQ22" s="109">
        <v>65535</v>
      </c>
      <c r="BR22" s="109" t="e">
        <v>#NUM!</v>
      </c>
      <c r="BS22" s="109" t="e">
        <v>#NUM!</v>
      </c>
      <c r="BT22" s="125"/>
      <c r="BU22" s="105"/>
      <c r="BV22" s="105"/>
      <c r="BW22" s="105"/>
      <c r="BX22" s="101"/>
      <c r="BY22" s="107"/>
      <c r="BZ22" s="101"/>
      <c r="CA22" s="101"/>
      <c r="CB22" s="101"/>
      <c r="CC22" s="101"/>
      <c r="CD22" s="101"/>
    </row>
    <row r="23" spans="1:82" ht="15.75" thickBot="1" x14ac:dyDescent="0.3">
      <c r="AE23" s="1"/>
      <c r="AF23" s="29">
        <v>46176</v>
      </c>
      <c r="AG23" s="8" t="s">
        <v>57</v>
      </c>
      <c r="AH23" s="8" t="s">
        <v>59</v>
      </c>
      <c r="AI23" s="8" t="s">
        <v>62</v>
      </c>
      <c r="AJ23" s="8">
        <v>30</v>
      </c>
      <c r="AK23" s="8"/>
      <c r="AL23" s="30"/>
      <c r="BB23" s="90"/>
      <c r="BC23" s="105"/>
      <c r="BD23" s="92" t="s">
        <v>283</v>
      </c>
      <c r="BE23" s="86"/>
      <c r="BF23" s="86"/>
      <c r="BG23" s="86"/>
      <c r="BH23" s="86"/>
      <c r="BI23" s="86"/>
      <c r="BJ23" s="25"/>
      <c r="BK23" s="105"/>
      <c r="BL23" s="105"/>
      <c r="BM23" s="113" t="s">
        <v>302</v>
      </c>
      <c r="BN23" s="109">
        <v>2624.2</v>
      </c>
      <c r="BO23" s="109">
        <v>18</v>
      </c>
      <c r="BP23" s="109">
        <v>145.78888888888889</v>
      </c>
      <c r="BQ23" s="109"/>
      <c r="BR23" s="109"/>
      <c r="BS23" s="109"/>
      <c r="BT23" s="127"/>
      <c r="BU23" s="106"/>
      <c r="BV23" s="106"/>
      <c r="BW23" s="105"/>
      <c r="BX23" s="101"/>
      <c r="BY23" s="107"/>
      <c r="BZ23" s="101"/>
      <c r="CA23" s="101"/>
      <c r="CB23" s="101"/>
      <c r="CC23" s="101"/>
      <c r="CD23" s="101"/>
    </row>
    <row r="24" spans="1:82" ht="15.75" thickBot="1" x14ac:dyDescent="0.3">
      <c r="AF24" s="29">
        <v>46177</v>
      </c>
      <c r="AG24" s="8" t="s">
        <v>58</v>
      </c>
      <c r="AH24" s="8" t="s">
        <v>61</v>
      </c>
      <c r="AI24" s="8" t="s">
        <v>63</v>
      </c>
      <c r="AJ24" s="8">
        <v>20</v>
      </c>
      <c r="AK24" s="8"/>
      <c r="AL24" s="30"/>
      <c r="BB24" s="90"/>
      <c r="BC24" s="105"/>
      <c r="BD24" s="110" t="s">
        <v>284</v>
      </c>
      <c r="BE24" s="111" t="s">
        <v>285</v>
      </c>
      <c r="BF24" s="111" t="s">
        <v>286</v>
      </c>
      <c r="BG24" s="111" t="s">
        <v>287</v>
      </c>
      <c r="BH24" s="111" t="s">
        <v>288</v>
      </c>
      <c r="BI24" s="111" t="s">
        <v>289</v>
      </c>
      <c r="BJ24" s="112" t="s">
        <v>290</v>
      </c>
      <c r="BK24" s="105"/>
      <c r="BL24" s="105"/>
      <c r="BM24" s="113"/>
      <c r="BN24" s="109"/>
      <c r="BO24" s="109"/>
      <c r="BP24" s="109"/>
      <c r="BQ24" s="109"/>
      <c r="BR24" s="109"/>
      <c r="BS24" s="109"/>
      <c r="BT24" s="114"/>
      <c r="BU24" s="101"/>
      <c r="BV24" s="101"/>
      <c r="BW24" s="105"/>
      <c r="BX24" s="101"/>
      <c r="BY24" s="107"/>
      <c r="BZ24" s="101"/>
      <c r="CA24" s="101"/>
      <c r="CB24" s="101"/>
      <c r="CC24" s="101"/>
      <c r="CD24" s="101"/>
    </row>
    <row r="25" spans="1:82" ht="27.75" thickBot="1" x14ac:dyDescent="0.55000000000000004">
      <c r="AF25" s="29"/>
      <c r="AG25" s="8"/>
      <c r="AH25" s="8"/>
      <c r="AI25" s="8" t="s">
        <v>64</v>
      </c>
      <c r="AJ25" s="8">
        <f>SUM(AJ20:AJ24)</f>
        <v>300</v>
      </c>
      <c r="AK25" s="8"/>
      <c r="AL25" s="30"/>
      <c r="AQ25" s="22" t="s">
        <v>254</v>
      </c>
      <c r="AR25" s="95"/>
      <c r="AS25" s="96"/>
      <c r="AT25" s="21"/>
      <c r="BB25" s="90"/>
      <c r="BC25" s="105"/>
      <c r="BD25" s="113" t="s">
        <v>297</v>
      </c>
      <c r="BE25" s="109">
        <v>56.266666666666424</v>
      </c>
      <c r="BF25" s="109">
        <v>2</v>
      </c>
      <c r="BG25" s="109">
        <v>28.133333333333212</v>
      </c>
      <c r="BH25" s="109">
        <v>0.1823900881215926</v>
      </c>
      <c r="BI25" s="109">
        <v>0.83429435545806307</v>
      </c>
      <c r="BJ25" s="114">
        <v>3.3541308285291991</v>
      </c>
      <c r="BK25" s="105"/>
      <c r="BL25" s="105"/>
      <c r="BM25" s="115" t="s">
        <v>294</v>
      </c>
      <c r="BN25" s="116">
        <v>2669.2000000000003</v>
      </c>
      <c r="BO25" s="116">
        <v>19</v>
      </c>
      <c r="BP25" s="116"/>
      <c r="BQ25" s="116"/>
      <c r="BR25" s="116"/>
      <c r="BS25" s="116"/>
      <c r="BT25" s="117"/>
      <c r="BU25" s="101"/>
      <c r="BV25" s="101"/>
      <c r="BW25" s="105"/>
      <c r="BX25" s="101"/>
      <c r="BY25" s="107"/>
      <c r="BZ25" s="101"/>
      <c r="CA25" s="101"/>
      <c r="CB25" s="101"/>
      <c r="CC25" s="101"/>
      <c r="CD25" s="101"/>
    </row>
    <row r="26" spans="1:82" ht="30" x14ac:dyDescent="0.25">
      <c r="AF26" s="29"/>
      <c r="AG26" s="8"/>
      <c r="AH26" s="8"/>
      <c r="AI26" s="8" t="s">
        <v>59</v>
      </c>
      <c r="AJ26" s="8">
        <f>SUMIF(AH20:AH24,"RED",AJ20:AJ24)</f>
        <v>230</v>
      </c>
      <c r="AK26" s="8"/>
      <c r="AL26" s="30"/>
      <c r="AQ26" s="94" t="s">
        <v>168</v>
      </c>
      <c r="AR26" s="94" t="s">
        <v>71</v>
      </c>
      <c r="AS26" s="94" t="s">
        <v>72</v>
      </c>
      <c r="AT26" s="94" t="s">
        <v>222</v>
      </c>
      <c r="AU26" s="66" t="s">
        <v>223</v>
      </c>
      <c r="AV26" s="66" t="s">
        <v>73</v>
      </c>
      <c r="AW26" s="66" t="s">
        <v>224</v>
      </c>
      <c r="AX26" s="66" t="s">
        <v>225</v>
      </c>
      <c r="AY26" s="66" t="s">
        <v>226</v>
      </c>
      <c r="AZ26" s="66" t="s">
        <v>227</v>
      </c>
      <c r="BB26" s="90"/>
      <c r="BC26" s="105"/>
      <c r="BD26" s="113" t="s">
        <v>298</v>
      </c>
      <c r="BE26" s="109">
        <v>4164.7</v>
      </c>
      <c r="BF26" s="109">
        <v>27</v>
      </c>
      <c r="BG26" s="109">
        <v>154.24814814814815</v>
      </c>
      <c r="BH26" s="109"/>
      <c r="BI26" s="109"/>
      <c r="BJ26" s="114"/>
      <c r="BK26" s="105"/>
      <c r="BL26" s="105"/>
      <c r="BM26" s="105"/>
      <c r="BN26" s="105"/>
      <c r="BO26" s="105"/>
      <c r="BP26" s="101"/>
      <c r="BQ26" s="101"/>
      <c r="BR26" s="101"/>
      <c r="BS26" s="101"/>
      <c r="BT26" s="101"/>
      <c r="BU26" s="101"/>
      <c r="BV26" s="101"/>
      <c r="BW26" s="105"/>
      <c r="BX26" s="101"/>
      <c r="BY26" s="107"/>
      <c r="BZ26" s="101"/>
      <c r="CA26" s="101"/>
      <c r="CB26" s="101"/>
      <c r="CC26" s="101"/>
      <c r="CD26" s="101"/>
    </row>
    <row r="27" spans="1:82" x14ac:dyDescent="0.25">
      <c r="AF27" s="29"/>
      <c r="AG27" s="8"/>
      <c r="AH27" s="8"/>
      <c r="AI27" s="8" t="s">
        <v>65</v>
      </c>
      <c r="AJ27" s="8">
        <f>SUMIFS(AJ20:AJ24,AH20:AH24,"RED",AI20:AI24,"AP")</f>
        <v>230</v>
      </c>
      <c r="AK27" s="8"/>
      <c r="AL27" s="30"/>
      <c r="AQ27" s="67">
        <v>1</v>
      </c>
      <c r="AR27" s="67" t="s">
        <v>228</v>
      </c>
      <c r="AS27" s="67">
        <v>18</v>
      </c>
      <c r="AT27" s="67">
        <v>85</v>
      </c>
      <c r="AU27" s="67">
        <v>90</v>
      </c>
      <c r="AV27" s="67" t="s">
        <v>22</v>
      </c>
      <c r="AW27" s="67">
        <v>15000</v>
      </c>
      <c r="AX27" s="67">
        <v>92.5</v>
      </c>
      <c r="AY27" s="68">
        <v>0.375</v>
      </c>
      <c r="AZ27" s="67">
        <v>2500</v>
      </c>
      <c r="BB27" s="90"/>
      <c r="BC27" s="105"/>
      <c r="BD27" s="113"/>
      <c r="BE27" s="109"/>
      <c r="BF27" s="109"/>
      <c r="BG27" s="109"/>
      <c r="BH27" s="109"/>
      <c r="BI27" s="109"/>
      <c r="BJ27" s="114"/>
      <c r="BK27" s="105"/>
      <c r="BL27" s="105"/>
      <c r="BM27" s="105"/>
      <c r="BN27" s="105"/>
      <c r="BO27" s="105"/>
      <c r="BP27" s="101"/>
      <c r="BQ27" s="101"/>
      <c r="BR27" s="101"/>
      <c r="BS27" s="101"/>
      <c r="BT27" s="101"/>
      <c r="BU27" s="101"/>
      <c r="BV27" s="101"/>
      <c r="BW27" s="105"/>
      <c r="BX27" s="101"/>
      <c r="BY27" s="107"/>
      <c r="BZ27" s="101"/>
      <c r="CA27" s="101"/>
      <c r="CB27" s="101"/>
      <c r="CC27" s="101"/>
      <c r="CD27" s="101"/>
    </row>
    <row r="28" spans="1:82" ht="15.75" thickBot="1" x14ac:dyDescent="0.3">
      <c r="AF28" s="31"/>
      <c r="AG28" s="32"/>
      <c r="AH28" s="32"/>
      <c r="AI28" s="32" t="s">
        <v>66</v>
      </c>
      <c r="AJ28" s="32">
        <f>SUMIFS(AJ20:AJ24,AH20:AH24,"RED",AI20:AI24,"AP",AG20:AG24,"MOUSE")</f>
        <v>230</v>
      </c>
      <c r="AK28" s="32"/>
      <c r="AL28" s="33"/>
      <c r="AQ28" s="67">
        <v>2</v>
      </c>
      <c r="AR28" s="67" t="s">
        <v>229</v>
      </c>
      <c r="AS28" s="67">
        <v>19</v>
      </c>
      <c r="AT28" s="67">
        <v>78</v>
      </c>
      <c r="AU28" s="67">
        <v>88</v>
      </c>
      <c r="AV28" s="67" t="s">
        <v>21</v>
      </c>
      <c r="AW28" s="67">
        <v>15000</v>
      </c>
      <c r="AX28" s="67">
        <v>89</v>
      </c>
      <c r="AY28" s="68">
        <v>0.38194444444444442</v>
      </c>
      <c r="AZ28" s="67">
        <v>-500</v>
      </c>
      <c r="BB28" s="90"/>
      <c r="BC28" s="105"/>
      <c r="BD28" s="113" t="s">
        <v>294</v>
      </c>
      <c r="BE28" s="109">
        <v>4220.9666666666662</v>
      </c>
      <c r="BF28" s="109">
        <v>29</v>
      </c>
      <c r="BG28" s="109"/>
      <c r="BH28" s="109"/>
      <c r="BI28" s="109"/>
      <c r="BJ28" s="114"/>
      <c r="BK28" s="105"/>
      <c r="BL28" s="105"/>
      <c r="BM28" s="105"/>
      <c r="BN28" s="105"/>
      <c r="BO28" s="105"/>
      <c r="BP28" s="101"/>
      <c r="BQ28" s="101"/>
      <c r="BR28" s="101"/>
      <c r="BS28" s="101"/>
      <c r="BT28" s="101"/>
      <c r="BU28" s="101"/>
      <c r="BV28" s="101"/>
      <c r="BW28" s="105"/>
      <c r="BX28" s="101"/>
      <c r="BY28" s="107"/>
      <c r="BZ28" s="101"/>
      <c r="CA28" s="101"/>
      <c r="CB28" s="101"/>
      <c r="CC28" s="101"/>
      <c r="CD28" s="101"/>
    </row>
    <row r="29" spans="1:82" x14ac:dyDescent="0.25">
      <c r="AQ29" s="67">
        <v>3</v>
      </c>
      <c r="AR29" s="67" t="s">
        <v>230</v>
      </c>
      <c r="AS29" s="67">
        <v>20</v>
      </c>
      <c r="AT29" s="67">
        <v>92</v>
      </c>
      <c r="AU29" s="67">
        <v>95</v>
      </c>
      <c r="AV29" s="67" t="s">
        <v>22</v>
      </c>
      <c r="AW29" s="67">
        <v>16000</v>
      </c>
      <c r="AX29" s="67">
        <v>96</v>
      </c>
      <c r="AY29" s="68">
        <v>0.37847222222222221</v>
      </c>
      <c r="AZ29" s="67">
        <v>0</v>
      </c>
      <c r="BB29" s="90"/>
      <c r="BC29" s="105"/>
      <c r="BD29" s="129"/>
      <c r="BE29" s="118"/>
      <c r="BF29" s="118"/>
      <c r="BG29" s="118"/>
      <c r="BH29" s="118"/>
      <c r="BI29" s="118"/>
      <c r="BJ29" s="125"/>
      <c r="BK29" s="105"/>
      <c r="BL29" s="105"/>
      <c r="BM29" s="105"/>
      <c r="BN29" s="105"/>
      <c r="BO29" s="105"/>
      <c r="BP29" s="105"/>
      <c r="BQ29" s="105"/>
      <c r="BR29" s="105"/>
      <c r="BS29" s="105"/>
      <c r="BT29" s="105"/>
      <c r="BU29" s="105"/>
      <c r="BV29" s="105"/>
      <c r="BW29" s="105"/>
      <c r="BX29" s="101"/>
      <c r="BY29" s="107"/>
      <c r="BZ29" s="101"/>
      <c r="CA29" s="101"/>
      <c r="CB29" s="101"/>
      <c r="CC29" s="101"/>
      <c r="CD29" s="101"/>
    </row>
    <row r="30" spans="1:82" ht="15.75" thickBot="1" x14ac:dyDescent="0.3">
      <c r="AQ30" s="67">
        <v>4</v>
      </c>
      <c r="AR30" s="67" t="s">
        <v>231</v>
      </c>
      <c r="AS30" s="67">
        <v>18</v>
      </c>
      <c r="AT30" s="67">
        <v>81</v>
      </c>
      <c r="AU30" s="67">
        <v>84</v>
      </c>
      <c r="AV30" s="67" t="s">
        <v>21</v>
      </c>
      <c r="AW30" s="67">
        <v>15000</v>
      </c>
      <c r="AX30" s="67">
        <v>91</v>
      </c>
      <c r="AY30" s="68">
        <v>0.38541666666666669</v>
      </c>
      <c r="AZ30" s="67">
        <v>1500</v>
      </c>
      <c r="BB30" s="90"/>
      <c r="BC30" s="105"/>
      <c r="BD30" s="129"/>
      <c r="BE30" s="118"/>
      <c r="BF30" s="118"/>
      <c r="BG30" s="118"/>
      <c r="BH30" s="118"/>
      <c r="BI30" s="118"/>
      <c r="BJ30" s="125"/>
      <c r="BK30" s="105"/>
      <c r="BL30" s="105"/>
      <c r="BM30" s="105"/>
      <c r="BN30" s="105"/>
      <c r="BO30" s="105"/>
      <c r="BP30" s="105"/>
      <c r="BQ30" s="105"/>
      <c r="BR30" s="105"/>
      <c r="BS30" s="105"/>
      <c r="BT30" s="105"/>
      <c r="BU30" s="105"/>
      <c r="BV30" s="105"/>
      <c r="BW30" s="105"/>
      <c r="BX30" s="101"/>
      <c r="BY30" s="107"/>
      <c r="BZ30" s="101"/>
      <c r="CA30" s="101"/>
      <c r="CB30" s="101"/>
      <c r="CC30" s="101"/>
      <c r="CD30" s="101"/>
    </row>
    <row r="31" spans="1:82" ht="18" thickBot="1" x14ac:dyDescent="0.35">
      <c r="AQ31" s="67">
        <v>5</v>
      </c>
      <c r="AR31" s="67" t="s">
        <v>232</v>
      </c>
      <c r="AS31" s="67">
        <v>21</v>
      </c>
      <c r="AT31" s="67">
        <v>75</v>
      </c>
      <c r="AU31" s="67">
        <v>80</v>
      </c>
      <c r="AV31" s="67" t="s">
        <v>22</v>
      </c>
      <c r="AW31" s="67">
        <v>17000</v>
      </c>
      <c r="AX31" s="67">
        <v>85.5</v>
      </c>
      <c r="AY31" s="68">
        <v>0.3888888888888889</v>
      </c>
      <c r="AZ31" s="67">
        <v>-1000</v>
      </c>
      <c r="BB31" s="90"/>
      <c r="BC31" s="105"/>
      <c r="BD31" s="129"/>
      <c r="BE31" s="118"/>
      <c r="BF31" s="118"/>
      <c r="BG31" s="118"/>
      <c r="BH31" s="118"/>
      <c r="BI31" s="118"/>
      <c r="BJ31" s="125"/>
      <c r="BK31" s="105"/>
      <c r="BL31" s="105"/>
      <c r="BM31" s="138" t="s">
        <v>265</v>
      </c>
      <c r="BN31" s="139"/>
      <c r="BO31" s="139"/>
      <c r="BP31" s="139"/>
      <c r="BQ31" s="140"/>
      <c r="BR31" s="105"/>
      <c r="BS31" s="105"/>
      <c r="BT31" s="138" t="s">
        <v>316</v>
      </c>
      <c r="BU31" s="140"/>
      <c r="BV31" s="105"/>
      <c r="BW31" s="105"/>
      <c r="BX31" s="101"/>
      <c r="BY31" s="107"/>
      <c r="BZ31" s="101"/>
      <c r="CA31" s="101"/>
      <c r="CB31" s="101"/>
      <c r="CC31" s="101"/>
      <c r="CD31" s="101"/>
    </row>
    <row r="32" spans="1:82" ht="15.75" thickBot="1" x14ac:dyDescent="0.3">
      <c r="AQ32" s="67">
        <v>6</v>
      </c>
      <c r="AR32" s="67" t="s">
        <v>233</v>
      </c>
      <c r="AS32" s="67">
        <v>19</v>
      </c>
      <c r="AT32" s="67">
        <v>88</v>
      </c>
      <c r="AU32" s="67">
        <v>91</v>
      </c>
      <c r="AV32" s="67" t="s">
        <v>21</v>
      </c>
      <c r="AW32" s="67">
        <v>16000</v>
      </c>
      <c r="AX32" s="67">
        <v>94</v>
      </c>
      <c r="AY32" s="68">
        <v>0.375</v>
      </c>
      <c r="AZ32" s="67">
        <v>3000</v>
      </c>
      <c r="BB32" s="90"/>
      <c r="BC32" s="105"/>
      <c r="BD32" s="129" t="s">
        <v>265</v>
      </c>
      <c r="BE32" s="118"/>
      <c r="BF32" s="118"/>
      <c r="BG32" s="118"/>
      <c r="BH32" s="118"/>
      <c r="BI32" s="118"/>
      <c r="BJ32" s="125"/>
      <c r="BK32" s="105"/>
      <c r="BL32" s="105"/>
      <c r="BM32" s="141"/>
      <c r="BN32" s="142"/>
      <c r="BO32" s="142"/>
      <c r="BP32" s="142"/>
      <c r="BQ32" s="147"/>
      <c r="BR32" s="105"/>
      <c r="BS32" s="105"/>
      <c r="BT32" s="148" t="s">
        <v>257</v>
      </c>
      <c r="BU32" s="149"/>
      <c r="BV32" s="149" t="s">
        <v>258</v>
      </c>
      <c r="BW32" s="149"/>
      <c r="BX32" s="149" t="s">
        <v>259</v>
      </c>
      <c r="BY32" s="150"/>
      <c r="BZ32" s="101"/>
      <c r="CA32" s="101"/>
      <c r="CB32" s="101"/>
      <c r="CC32" s="101"/>
      <c r="CD32" s="101"/>
    </row>
    <row r="33" spans="32:77" x14ac:dyDescent="0.25">
      <c r="AQ33" s="67">
        <v>7</v>
      </c>
      <c r="AR33" s="67" t="s">
        <v>234</v>
      </c>
      <c r="AS33" s="67">
        <v>20</v>
      </c>
      <c r="AT33" s="67">
        <v>67</v>
      </c>
      <c r="AU33" s="67">
        <v>72</v>
      </c>
      <c r="AV33" s="67" t="s">
        <v>22</v>
      </c>
      <c r="AW33" s="67">
        <v>15500</v>
      </c>
      <c r="AX33" s="67">
        <v>82</v>
      </c>
      <c r="AY33" s="68">
        <v>0.3923611111111111</v>
      </c>
      <c r="AZ33" s="67">
        <v>0</v>
      </c>
      <c r="BB33" s="90"/>
      <c r="BC33" s="105"/>
      <c r="BD33" s="129"/>
      <c r="BE33" s="118"/>
      <c r="BF33" s="118"/>
      <c r="BG33" s="118"/>
      <c r="BH33" s="118"/>
      <c r="BI33" s="118"/>
      <c r="BJ33" s="125"/>
      <c r="BK33" s="105"/>
      <c r="BL33" s="105"/>
      <c r="BM33" s="110" t="s">
        <v>266</v>
      </c>
      <c r="BN33" s="111" t="s">
        <v>267</v>
      </c>
      <c r="BO33" s="111" t="s">
        <v>268</v>
      </c>
      <c r="BP33" s="145" t="s">
        <v>166</v>
      </c>
      <c r="BQ33" s="108" t="s">
        <v>269</v>
      </c>
      <c r="BR33" s="105"/>
      <c r="BS33" s="105"/>
      <c r="BT33" s="131"/>
      <c r="BU33" s="132"/>
      <c r="BV33" s="132"/>
      <c r="BW33" s="132"/>
      <c r="BX33" s="132"/>
      <c r="BY33" s="133"/>
    </row>
    <row r="34" spans="32:77" ht="15.75" thickBot="1" x14ac:dyDescent="0.3">
      <c r="AQ34" s="67">
        <v>8</v>
      </c>
      <c r="AR34" s="67" t="s">
        <v>235</v>
      </c>
      <c r="AS34" s="67">
        <v>18</v>
      </c>
      <c r="AT34" s="67">
        <v>95</v>
      </c>
      <c r="AU34" s="67">
        <v>98</v>
      </c>
      <c r="AV34" s="67" t="s">
        <v>21</v>
      </c>
      <c r="AW34" s="67">
        <v>16500</v>
      </c>
      <c r="AX34" s="67">
        <v>98</v>
      </c>
      <c r="AY34" s="68">
        <v>0.37152777777777779</v>
      </c>
      <c r="AZ34" s="67">
        <v>-2000</v>
      </c>
      <c r="BB34" s="90"/>
      <c r="BC34" s="105"/>
      <c r="BD34" s="130" t="s">
        <v>266</v>
      </c>
      <c r="BE34" s="108" t="s">
        <v>267</v>
      </c>
      <c r="BF34" s="108" t="s">
        <v>268</v>
      </c>
      <c r="BG34" s="108" t="s">
        <v>166</v>
      </c>
      <c r="BH34" s="108" t="s">
        <v>269</v>
      </c>
      <c r="BI34" s="118"/>
      <c r="BJ34" s="125"/>
      <c r="BK34" s="105"/>
      <c r="BL34" s="105"/>
      <c r="BM34" s="113" t="s">
        <v>270</v>
      </c>
      <c r="BN34" s="109">
        <v>3</v>
      </c>
      <c r="BO34" s="109">
        <v>249</v>
      </c>
      <c r="BP34" s="109">
        <v>83</v>
      </c>
      <c r="BQ34" s="146">
        <v>73</v>
      </c>
      <c r="BR34" s="105"/>
      <c r="BS34" s="105"/>
      <c r="BT34" s="113" t="s">
        <v>305</v>
      </c>
      <c r="BU34" s="109">
        <v>79.5</v>
      </c>
      <c r="BV34" s="109" t="s">
        <v>305</v>
      </c>
      <c r="BW34" s="109">
        <v>82.3</v>
      </c>
      <c r="BX34" s="109" t="s">
        <v>305</v>
      </c>
      <c r="BY34" s="114">
        <v>79.3</v>
      </c>
    </row>
    <row r="35" spans="32:77" ht="27.75" thickBot="1" x14ac:dyDescent="0.55000000000000004">
      <c r="AF35" s="22" t="s">
        <v>157</v>
      </c>
      <c r="AG35" s="20"/>
      <c r="AH35" s="21"/>
      <c r="AQ35" s="67">
        <v>9</v>
      </c>
      <c r="AR35" s="67" t="s">
        <v>236</v>
      </c>
      <c r="AS35" s="67">
        <v>22</v>
      </c>
      <c r="AT35" s="67">
        <v>73</v>
      </c>
      <c r="AU35" s="67">
        <v>77</v>
      </c>
      <c r="AV35" s="67" t="s">
        <v>22</v>
      </c>
      <c r="AW35" s="67">
        <v>17500</v>
      </c>
      <c r="AX35" s="67">
        <v>87</v>
      </c>
      <c r="AY35" s="68">
        <v>0.39583333333333331</v>
      </c>
      <c r="AZ35" s="67">
        <v>1200</v>
      </c>
      <c r="BB35" s="90"/>
      <c r="BC35" s="105"/>
      <c r="BD35" s="113" t="s">
        <v>270</v>
      </c>
      <c r="BE35" s="109">
        <v>3</v>
      </c>
      <c r="BF35" s="109">
        <v>249</v>
      </c>
      <c r="BG35" s="109">
        <v>83</v>
      </c>
      <c r="BH35" s="109">
        <v>73</v>
      </c>
      <c r="BI35" s="118"/>
      <c r="BJ35" s="125"/>
      <c r="BK35" s="105"/>
      <c r="BL35" s="105"/>
      <c r="BM35" s="113" t="s">
        <v>271</v>
      </c>
      <c r="BN35" s="109">
        <v>3</v>
      </c>
      <c r="BO35" s="109">
        <v>273</v>
      </c>
      <c r="BP35" s="109">
        <v>91</v>
      </c>
      <c r="BQ35" s="114">
        <v>13</v>
      </c>
      <c r="BR35" s="105"/>
      <c r="BS35" s="105"/>
      <c r="BT35" s="113" t="s">
        <v>306</v>
      </c>
      <c r="BU35" s="109">
        <v>4.1372293466360626</v>
      </c>
      <c r="BV35" s="109" t="s">
        <v>306</v>
      </c>
      <c r="BW35" s="109">
        <v>3.7684361625362812</v>
      </c>
      <c r="BX35" s="109" t="s">
        <v>306</v>
      </c>
      <c r="BY35" s="114">
        <v>3.8673849907484836</v>
      </c>
    </row>
    <row r="36" spans="32:77" x14ac:dyDescent="0.25">
      <c r="AQ36" s="67">
        <v>10</v>
      </c>
      <c r="AR36" s="67" t="s">
        <v>237</v>
      </c>
      <c r="AS36" s="67">
        <v>19</v>
      </c>
      <c r="AT36" s="67">
        <v>89</v>
      </c>
      <c r="AU36" s="67">
        <v>93</v>
      </c>
      <c r="AV36" s="67" t="s">
        <v>21</v>
      </c>
      <c r="AW36" s="67">
        <v>16000</v>
      </c>
      <c r="AX36" s="67">
        <v>95</v>
      </c>
      <c r="AY36" s="68">
        <v>0.38194444444444442</v>
      </c>
      <c r="AZ36" s="67">
        <v>0</v>
      </c>
      <c r="BB36" s="90"/>
      <c r="BC36" s="105"/>
      <c r="BD36" s="113" t="s">
        <v>271</v>
      </c>
      <c r="BE36" s="109">
        <v>3</v>
      </c>
      <c r="BF36" s="109">
        <v>273</v>
      </c>
      <c r="BG36" s="109">
        <v>91</v>
      </c>
      <c r="BH36" s="109">
        <v>13</v>
      </c>
      <c r="BI36" s="118"/>
      <c r="BJ36" s="125"/>
      <c r="BK36" s="105"/>
      <c r="BL36" s="105"/>
      <c r="BM36" s="113" t="s">
        <v>272</v>
      </c>
      <c r="BN36" s="109">
        <v>3</v>
      </c>
      <c r="BO36" s="109">
        <v>223</v>
      </c>
      <c r="BP36" s="109">
        <v>74.333333333333329</v>
      </c>
      <c r="BQ36" s="114">
        <v>86.33333333333394</v>
      </c>
      <c r="BR36" s="105"/>
      <c r="BS36" s="105"/>
      <c r="BT36" s="113" t="s">
        <v>307</v>
      </c>
      <c r="BU36" s="109">
        <v>81.5</v>
      </c>
      <c r="BV36" s="109" t="s">
        <v>307</v>
      </c>
      <c r="BW36" s="109">
        <v>83</v>
      </c>
      <c r="BX36" s="109" t="s">
        <v>307</v>
      </c>
      <c r="BY36" s="114">
        <v>80.5</v>
      </c>
    </row>
    <row r="37" spans="32:77" ht="30.75" customHeight="1" x14ac:dyDescent="0.25">
      <c r="AF37" s="11" t="s">
        <v>70</v>
      </c>
      <c r="AG37" s="12" t="s">
        <v>71</v>
      </c>
      <c r="AH37" s="12" t="s">
        <v>72</v>
      </c>
      <c r="AI37" s="12" t="s">
        <v>73</v>
      </c>
      <c r="AJ37" s="12" t="s">
        <v>74</v>
      </c>
      <c r="AK37" s="12" t="s">
        <v>75</v>
      </c>
      <c r="AL37" s="12" t="s">
        <v>76</v>
      </c>
      <c r="AM37" s="12" t="s">
        <v>77</v>
      </c>
      <c r="AN37" s="12" t="s">
        <v>78</v>
      </c>
      <c r="AO37" s="13" t="s">
        <v>79</v>
      </c>
      <c r="BB37" s="90"/>
      <c r="BC37" s="105"/>
      <c r="BD37" s="113" t="s">
        <v>272</v>
      </c>
      <c r="BE37" s="109">
        <v>3</v>
      </c>
      <c r="BF37" s="109">
        <v>223</v>
      </c>
      <c r="BG37" s="109">
        <v>74.333333333333329</v>
      </c>
      <c r="BH37" s="109">
        <v>86.33333333333394</v>
      </c>
      <c r="BI37" s="118"/>
      <c r="BJ37" s="125"/>
      <c r="BK37" s="105"/>
      <c r="BL37" s="105"/>
      <c r="BM37" s="113" t="s">
        <v>273</v>
      </c>
      <c r="BN37" s="109">
        <v>3</v>
      </c>
      <c r="BO37" s="109">
        <v>284</v>
      </c>
      <c r="BP37" s="109">
        <v>94.666666666666671</v>
      </c>
      <c r="BQ37" s="114">
        <v>12.333333333333332</v>
      </c>
      <c r="BR37" s="105"/>
      <c r="BS37" s="105"/>
      <c r="BT37" s="113" t="s">
        <v>308</v>
      </c>
      <c r="BU37" s="109" t="e">
        <v>#N/A</v>
      </c>
      <c r="BV37" s="109" t="s">
        <v>308</v>
      </c>
      <c r="BW37" s="109" t="e">
        <v>#N/A</v>
      </c>
      <c r="BX37" s="109" t="s">
        <v>308</v>
      </c>
      <c r="BY37" s="114" t="e">
        <v>#N/A</v>
      </c>
    </row>
    <row r="38" spans="32:77" ht="15.75" thickBot="1" x14ac:dyDescent="0.3">
      <c r="AF38" s="52" t="s">
        <v>80</v>
      </c>
      <c r="AG38" s="53" t="s">
        <v>81</v>
      </c>
      <c r="AH38" s="53">
        <v>28</v>
      </c>
      <c r="AI38" s="53" t="s">
        <v>22</v>
      </c>
      <c r="AJ38" s="53" t="s">
        <v>82</v>
      </c>
      <c r="AK38" s="53" t="s">
        <v>83</v>
      </c>
      <c r="AL38" s="53">
        <v>55000</v>
      </c>
      <c r="AM38" s="53">
        <v>3</v>
      </c>
      <c r="AN38" s="53">
        <v>4</v>
      </c>
      <c r="AO38" s="54" t="s">
        <v>84</v>
      </c>
      <c r="BB38" s="90"/>
      <c r="BC38" s="105"/>
      <c r="BD38" s="113" t="s">
        <v>273</v>
      </c>
      <c r="BE38" s="109">
        <v>3</v>
      </c>
      <c r="BF38" s="109">
        <v>284</v>
      </c>
      <c r="BG38" s="109">
        <v>94.666666666666671</v>
      </c>
      <c r="BH38" s="109">
        <v>12.333333333333332</v>
      </c>
      <c r="BI38" s="118"/>
      <c r="BJ38" s="125"/>
      <c r="BK38" s="105"/>
      <c r="BL38" s="105"/>
      <c r="BM38" s="113" t="s">
        <v>274</v>
      </c>
      <c r="BN38" s="109">
        <v>3</v>
      </c>
      <c r="BO38" s="109">
        <v>239</v>
      </c>
      <c r="BP38" s="109">
        <v>79.666666666666671</v>
      </c>
      <c r="BQ38" s="114">
        <v>74.333333333333343</v>
      </c>
      <c r="BR38" s="105"/>
      <c r="BS38" s="105"/>
      <c r="BT38" s="113" t="s">
        <v>309</v>
      </c>
      <c r="BU38" s="109">
        <v>13.083067937860243</v>
      </c>
      <c r="BV38" s="109" t="s">
        <v>309</v>
      </c>
      <c r="BW38" s="109">
        <v>11.916841490559138</v>
      </c>
      <c r="BX38" s="109" t="s">
        <v>309</v>
      </c>
      <c r="BY38" s="114">
        <v>12.229745159514424</v>
      </c>
    </row>
    <row r="39" spans="32:77" ht="27.75" thickBot="1" x14ac:dyDescent="0.55000000000000004">
      <c r="AF39" s="52" t="s">
        <v>85</v>
      </c>
      <c r="AG39" s="53" t="s">
        <v>86</v>
      </c>
      <c r="AH39" s="53">
        <v>32</v>
      </c>
      <c r="AI39" s="53" t="s">
        <v>21</v>
      </c>
      <c r="AJ39" s="53" t="s">
        <v>87</v>
      </c>
      <c r="AK39" s="53" t="s">
        <v>88</v>
      </c>
      <c r="AL39" s="53">
        <v>65000</v>
      </c>
      <c r="AM39" s="53">
        <v>7</v>
      </c>
      <c r="AN39" s="53">
        <v>5</v>
      </c>
      <c r="AO39" s="54" t="s">
        <v>89</v>
      </c>
      <c r="AQ39" s="22" t="s">
        <v>238</v>
      </c>
      <c r="AR39" s="20"/>
      <c r="AS39" s="20"/>
      <c r="AT39" s="21"/>
      <c r="BB39" s="90"/>
      <c r="BC39" s="105"/>
      <c r="BD39" s="113" t="s">
        <v>274</v>
      </c>
      <c r="BE39" s="109">
        <v>3</v>
      </c>
      <c r="BF39" s="109">
        <v>239</v>
      </c>
      <c r="BG39" s="109">
        <v>79.666666666666671</v>
      </c>
      <c r="BH39" s="109">
        <v>74.333333333333343</v>
      </c>
      <c r="BI39" s="118"/>
      <c r="BJ39" s="125"/>
      <c r="BK39" s="105"/>
      <c r="BL39" s="105"/>
      <c r="BM39" s="113" t="s">
        <v>275</v>
      </c>
      <c r="BN39" s="109">
        <v>3</v>
      </c>
      <c r="BO39" s="109">
        <v>264</v>
      </c>
      <c r="BP39" s="109">
        <v>88</v>
      </c>
      <c r="BQ39" s="114">
        <v>28</v>
      </c>
      <c r="BR39" s="105"/>
      <c r="BS39" s="105"/>
      <c r="BT39" s="113" t="s">
        <v>310</v>
      </c>
      <c r="BU39" s="109">
        <v>171.16666666666666</v>
      </c>
      <c r="BV39" s="109" t="s">
        <v>310</v>
      </c>
      <c r="BW39" s="109">
        <v>142.01111111111175</v>
      </c>
      <c r="BX39" s="109" t="s">
        <v>310</v>
      </c>
      <c r="BY39" s="114">
        <v>149.56666666666649</v>
      </c>
    </row>
    <row r="40" spans="32:77" x14ac:dyDescent="0.25">
      <c r="AF40" s="52" t="s">
        <v>90</v>
      </c>
      <c r="AG40" s="53" t="s">
        <v>91</v>
      </c>
      <c r="AH40" s="53">
        <v>26</v>
      </c>
      <c r="AI40" s="53" t="s">
        <v>22</v>
      </c>
      <c r="AJ40" s="53" t="s">
        <v>92</v>
      </c>
      <c r="AK40" s="53" t="s">
        <v>93</v>
      </c>
      <c r="AL40" s="53">
        <v>45000</v>
      </c>
      <c r="AM40" s="53">
        <v>2</v>
      </c>
      <c r="AN40" s="53">
        <v>3</v>
      </c>
      <c r="AO40" s="54" t="s">
        <v>94</v>
      </c>
      <c r="BB40" s="90"/>
      <c r="BC40" s="105"/>
      <c r="BD40" s="113" t="s">
        <v>275</v>
      </c>
      <c r="BE40" s="109">
        <v>3</v>
      </c>
      <c r="BF40" s="109">
        <v>264</v>
      </c>
      <c r="BG40" s="109">
        <v>88</v>
      </c>
      <c r="BH40" s="109">
        <v>28</v>
      </c>
      <c r="BI40" s="118"/>
      <c r="BJ40" s="125"/>
      <c r="BK40" s="105"/>
      <c r="BL40" s="105"/>
      <c r="BM40" s="113" t="s">
        <v>276</v>
      </c>
      <c r="BN40" s="109">
        <v>3</v>
      </c>
      <c r="BO40" s="109">
        <v>198</v>
      </c>
      <c r="BP40" s="109">
        <v>66</v>
      </c>
      <c r="BQ40" s="114">
        <v>148</v>
      </c>
      <c r="BR40" s="105"/>
      <c r="BS40" s="105"/>
      <c r="BT40" s="113" t="s">
        <v>311</v>
      </c>
      <c r="BU40" s="109">
        <v>-0.42524721651587472</v>
      </c>
      <c r="BV40" s="109" t="s">
        <v>311</v>
      </c>
      <c r="BW40" s="109">
        <v>-0.2883945810341082</v>
      </c>
      <c r="BX40" s="109" t="s">
        <v>311</v>
      </c>
      <c r="BY40" s="114">
        <v>-1.1956418783352016</v>
      </c>
    </row>
    <row r="41" spans="32:77" x14ac:dyDescent="0.25">
      <c r="AF41" s="52" t="s">
        <v>95</v>
      </c>
      <c r="AG41" s="53" t="s">
        <v>96</v>
      </c>
      <c r="AH41" s="53">
        <v>35</v>
      </c>
      <c r="AI41" s="53" t="s">
        <v>21</v>
      </c>
      <c r="AJ41" s="53" t="s">
        <v>97</v>
      </c>
      <c r="AK41" s="53" t="s">
        <v>98</v>
      </c>
      <c r="AL41" s="53">
        <v>70000</v>
      </c>
      <c r="AM41" s="53">
        <v>9</v>
      </c>
      <c r="AN41" s="53">
        <v>5</v>
      </c>
      <c r="AO41" s="54" t="s">
        <v>99</v>
      </c>
      <c r="AQ41" s="81" t="s">
        <v>168</v>
      </c>
      <c r="AR41" s="81" t="s">
        <v>71</v>
      </c>
      <c r="AS41" s="81" t="s">
        <v>73</v>
      </c>
      <c r="AT41" s="81" t="s">
        <v>72</v>
      </c>
      <c r="AU41" s="81" t="s">
        <v>171</v>
      </c>
      <c r="AV41" s="81" t="s">
        <v>239</v>
      </c>
      <c r="AW41" s="81" t="s">
        <v>240</v>
      </c>
      <c r="AX41" s="81" t="s">
        <v>241</v>
      </c>
      <c r="AY41" s="81" t="s">
        <v>225</v>
      </c>
      <c r="AZ41" s="81" t="s">
        <v>242</v>
      </c>
      <c r="BB41" s="90"/>
      <c r="BC41" s="105"/>
      <c r="BD41" s="113" t="s">
        <v>276</v>
      </c>
      <c r="BE41" s="109">
        <v>3</v>
      </c>
      <c r="BF41" s="109">
        <v>198</v>
      </c>
      <c r="BG41" s="109">
        <v>66</v>
      </c>
      <c r="BH41" s="109">
        <v>148</v>
      </c>
      <c r="BI41" s="118"/>
      <c r="BJ41" s="125"/>
      <c r="BK41" s="105"/>
      <c r="BL41" s="105"/>
      <c r="BM41" s="113" t="s">
        <v>277</v>
      </c>
      <c r="BN41" s="109">
        <v>3</v>
      </c>
      <c r="BO41" s="109">
        <v>279</v>
      </c>
      <c r="BP41" s="109">
        <v>93</v>
      </c>
      <c r="BQ41" s="114">
        <v>16</v>
      </c>
      <c r="BR41" s="105"/>
      <c r="BS41" s="105"/>
      <c r="BT41" s="113" t="s">
        <v>312</v>
      </c>
      <c r="BU41" s="109">
        <v>-0.61791515102410932</v>
      </c>
      <c r="BV41" s="109" t="s">
        <v>312</v>
      </c>
      <c r="BW41" s="109">
        <v>-0.49944142853657314</v>
      </c>
      <c r="BX41" s="109" t="s">
        <v>312</v>
      </c>
      <c r="BY41" s="114">
        <v>-0.39201006508050557</v>
      </c>
    </row>
    <row r="42" spans="32:77" x14ac:dyDescent="0.25">
      <c r="AF42" s="52" t="s">
        <v>100</v>
      </c>
      <c r="AG42" s="53" t="s">
        <v>101</v>
      </c>
      <c r="AH42" s="53">
        <v>30</v>
      </c>
      <c r="AI42" s="53" t="s">
        <v>22</v>
      </c>
      <c r="AJ42" s="53" t="s">
        <v>82</v>
      </c>
      <c r="AK42" s="53" t="s">
        <v>102</v>
      </c>
      <c r="AL42" s="53">
        <v>60000</v>
      </c>
      <c r="AM42" s="53">
        <v>5</v>
      </c>
      <c r="AN42" s="53">
        <v>4</v>
      </c>
      <c r="AO42" s="54" t="s">
        <v>103</v>
      </c>
      <c r="AQ42" s="9">
        <v>1</v>
      </c>
      <c r="AR42" s="9" t="s">
        <v>228</v>
      </c>
      <c r="AS42" s="9" t="s">
        <v>22</v>
      </c>
      <c r="AT42" s="9">
        <v>18</v>
      </c>
      <c r="AU42" s="9" t="s">
        <v>201</v>
      </c>
      <c r="AV42" s="9">
        <v>85</v>
      </c>
      <c r="AW42" s="9">
        <v>90</v>
      </c>
      <c r="AX42" s="9">
        <v>88</v>
      </c>
      <c r="AY42" s="9">
        <v>92</v>
      </c>
      <c r="AZ42" s="9" t="s">
        <v>243</v>
      </c>
      <c r="BB42" s="90"/>
      <c r="BC42" s="105"/>
      <c r="BD42" s="113" t="s">
        <v>277</v>
      </c>
      <c r="BE42" s="109">
        <v>3</v>
      </c>
      <c r="BF42" s="109">
        <v>279</v>
      </c>
      <c r="BG42" s="109">
        <v>93</v>
      </c>
      <c r="BH42" s="109">
        <v>16</v>
      </c>
      <c r="BI42" s="118"/>
      <c r="BJ42" s="125"/>
      <c r="BK42" s="105"/>
      <c r="BL42" s="105"/>
      <c r="BM42" s="113" t="s">
        <v>278</v>
      </c>
      <c r="BN42" s="109">
        <v>3</v>
      </c>
      <c r="BO42" s="109">
        <v>233</v>
      </c>
      <c r="BP42" s="109">
        <v>77.666666666666671</v>
      </c>
      <c r="BQ42" s="114">
        <v>86.333333333333343</v>
      </c>
      <c r="BR42" s="105"/>
      <c r="BS42" s="105"/>
      <c r="BT42" s="113" t="s">
        <v>313</v>
      </c>
      <c r="BU42" s="109">
        <v>41</v>
      </c>
      <c r="BV42" s="109" t="s">
        <v>313</v>
      </c>
      <c r="BW42" s="109">
        <v>38</v>
      </c>
      <c r="BX42" s="109" t="s">
        <v>313</v>
      </c>
      <c r="BY42" s="114">
        <v>36</v>
      </c>
    </row>
    <row r="43" spans="32:77" x14ac:dyDescent="0.25">
      <c r="AF43" s="52" t="s">
        <v>104</v>
      </c>
      <c r="AG43" s="53" t="s">
        <v>105</v>
      </c>
      <c r="AH43" s="53">
        <v>27</v>
      </c>
      <c r="AI43" s="53" t="s">
        <v>21</v>
      </c>
      <c r="AJ43" s="53" t="s">
        <v>106</v>
      </c>
      <c r="AK43" s="53" t="s">
        <v>107</v>
      </c>
      <c r="AL43" s="53">
        <v>50000</v>
      </c>
      <c r="AM43" s="53">
        <v>3</v>
      </c>
      <c r="AN43" s="53">
        <v>4</v>
      </c>
      <c r="AO43" s="54" t="s">
        <v>84</v>
      </c>
      <c r="AQ43" s="9">
        <v>2</v>
      </c>
      <c r="AR43" s="9" t="s">
        <v>229</v>
      </c>
      <c r="AS43" s="9" t="s">
        <v>21</v>
      </c>
      <c r="AT43" s="9">
        <v>19</v>
      </c>
      <c r="AU43" s="9" t="s">
        <v>198</v>
      </c>
      <c r="AV43" s="9">
        <v>78</v>
      </c>
      <c r="AW43" s="9">
        <v>88</v>
      </c>
      <c r="AX43" s="9">
        <v>84</v>
      </c>
      <c r="AY43" s="9">
        <v>89</v>
      </c>
      <c r="AZ43" s="9" t="s">
        <v>244</v>
      </c>
      <c r="BB43" s="90"/>
      <c r="BC43" s="105"/>
      <c r="BD43" s="113" t="s">
        <v>278</v>
      </c>
      <c r="BE43" s="109">
        <v>3</v>
      </c>
      <c r="BF43" s="109">
        <v>233</v>
      </c>
      <c r="BG43" s="109">
        <v>77.666666666666671</v>
      </c>
      <c r="BH43" s="109">
        <v>86.333333333333343</v>
      </c>
      <c r="BI43" s="118"/>
      <c r="BJ43" s="125"/>
      <c r="BK43" s="105"/>
      <c r="BL43" s="105"/>
      <c r="BM43" s="113" t="s">
        <v>279</v>
      </c>
      <c r="BN43" s="109">
        <v>3</v>
      </c>
      <c r="BO43" s="109">
        <v>291</v>
      </c>
      <c r="BP43" s="109">
        <v>97</v>
      </c>
      <c r="BQ43" s="114">
        <v>7</v>
      </c>
      <c r="BR43" s="105"/>
      <c r="BS43" s="105"/>
      <c r="BT43" s="113" t="s">
        <v>314</v>
      </c>
      <c r="BU43" s="109">
        <v>55</v>
      </c>
      <c r="BV43" s="109" t="s">
        <v>314</v>
      </c>
      <c r="BW43" s="109">
        <v>60</v>
      </c>
      <c r="BX43" s="109" t="s">
        <v>314</v>
      </c>
      <c r="BY43" s="114">
        <v>58</v>
      </c>
    </row>
    <row r="44" spans="32:77" x14ac:dyDescent="0.25">
      <c r="AF44" s="52" t="s">
        <v>108</v>
      </c>
      <c r="AG44" s="53" t="s">
        <v>109</v>
      </c>
      <c r="AH44" s="53">
        <v>40</v>
      </c>
      <c r="AI44" s="53" t="s">
        <v>22</v>
      </c>
      <c r="AJ44" s="53" t="s">
        <v>110</v>
      </c>
      <c r="AK44" s="53" t="s">
        <v>111</v>
      </c>
      <c r="AL44" s="53">
        <v>85000</v>
      </c>
      <c r="AM44" s="53">
        <v>15</v>
      </c>
      <c r="AN44" s="53">
        <v>5</v>
      </c>
      <c r="AO44" s="54" t="s">
        <v>112</v>
      </c>
      <c r="AQ44" s="9">
        <v>3</v>
      </c>
      <c r="AR44" s="9" t="s">
        <v>230</v>
      </c>
      <c r="AS44" s="9" t="s">
        <v>22</v>
      </c>
      <c r="AT44" s="9">
        <v>20</v>
      </c>
      <c r="AU44" s="9" t="s">
        <v>84</v>
      </c>
      <c r="AV44" s="9">
        <v>92</v>
      </c>
      <c r="AW44" s="9">
        <v>95</v>
      </c>
      <c r="AX44" s="9">
        <v>91</v>
      </c>
      <c r="AY44" s="9">
        <v>96</v>
      </c>
      <c r="AZ44" s="9" t="s">
        <v>243</v>
      </c>
      <c r="BB44" s="90"/>
      <c r="BC44" s="105"/>
      <c r="BD44" s="113" t="s">
        <v>279</v>
      </c>
      <c r="BE44" s="109">
        <v>3</v>
      </c>
      <c r="BF44" s="109">
        <v>291</v>
      </c>
      <c r="BG44" s="109">
        <v>97</v>
      </c>
      <c r="BH44" s="109">
        <v>7</v>
      </c>
      <c r="BI44" s="118"/>
      <c r="BJ44" s="125"/>
      <c r="BK44" s="105"/>
      <c r="BL44" s="105"/>
      <c r="BM44" s="113"/>
      <c r="BN44" s="109"/>
      <c r="BO44" s="109"/>
      <c r="BP44" s="109"/>
      <c r="BQ44" s="114"/>
      <c r="BR44" s="105"/>
      <c r="BS44" s="105"/>
      <c r="BT44" s="113" t="s">
        <v>315</v>
      </c>
      <c r="BU44" s="109">
        <v>96</v>
      </c>
      <c r="BV44" s="109" t="s">
        <v>315</v>
      </c>
      <c r="BW44" s="109">
        <v>98</v>
      </c>
      <c r="BX44" s="109" t="s">
        <v>315</v>
      </c>
      <c r="BY44" s="114">
        <v>94</v>
      </c>
    </row>
    <row r="45" spans="32:77" x14ac:dyDescent="0.25">
      <c r="AF45" s="52" t="s">
        <v>113</v>
      </c>
      <c r="AG45" s="53" t="s">
        <v>114</v>
      </c>
      <c r="AH45" s="53">
        <v>29</v>
      </c>
      <c r="AI45" s="53" t="s">
        <v>21</v>
      </c>
      <c r="AJ45" s="53" t="s">
        <v>82</v>
      </c>
      <c r="AK45" s="53" t="s">
        <v>115</v>
      </c>
      <c r="AL45" s="53">
        <v>62000</v>
      </c>
      <c r="AM45" s="53">
        <v>4</v>
      </c>
      <c r="AN45" s="53">
        <v>4</v>
      </c>
      <c r="AO45" s="54" t="s">
        <v>89</v>
      </c>
      <c r="AQ45" s="9">
        <v>4</v>
      </c>
      <c r="AR45" s="9" t="s">
        <v>231</v>
      </c>
      <c r="AS45" s="9" t="s">
        <v>21</v>
      </c>
      <c r="AT45" s="9">
        <v>18</v>
      </c>
      <c r="AU45" s="9" t="s">
        <v>201</v>
      </c>
      <c r="AV45" s="9">
        <v>81</v>
      </c>
      <c r="AW45" s="9">
        <v>84</v>
      </c>
      <c r="AX45" s="9">
        <v>79</v>
      </c>
      <c r="AY45" s="9">
        <v>91</v>
      </c>
      <c r="AZ45" s="9" t="s">
        <v>244</v>
      </c>
      <c r="BB45" s="90"/>
      <c r="BC45" s="105"/>
      <c r="BD45" s="113"/>
      <c r="BE45" s="109"/>
      <c r="BF45" s="109"/>
      <c r="BG45" s="109"/>
      <c r="BH45" s="109"/>
      <c r="BI45" s="118"/>
      <c r="BJ45" s="125"/>
      <c r="BK45" s="105"/>
      <c r="BL45" s="105"/>
      <c r="BM45" s="113" t="s">
        <v>280</v>
      </c>
      <c r="BN45" s="109">
        <v>10</v>
      </c>
      <c r="BO45" s="109">
        <v>823</v>
      </c>
      <c r="BP45" s="109">
        <v>82.3</v>
      </c>
      <c r="BQ45" s="114">
        <v>142.01111111111175</v>
      </c>
      <c r="BR45" s="105"/>
      <c r="BS45" s="105"/>
      <c r="BT45" s="151" t="s">
        <v>268</v>
      </c>
      <c r="BU45" s="109">
        <v>795</v>
      </c>
      <c r="BV45" s="109" t="s">
        <v>268</v>
      </c>
      <c r="BW45" s="109">
        <v>823</v>
      </c>
      <c r="BX45" s="109" t="s">
        <v>268</v>
      </c>
      <c r="BY45" s="114">
        <v>793</v>
      </c>
    </row>
    <row r="46" spans="32:77" ht="30.75" thickBot="1" x14ac:dyDescent="0.3">
      <c r="AF46" s="52" t="s">
        <v>116</v>
      </c>
      <c r="AG46" s="53" t="s">
        <v>117</v>
      </c>
      <c r="AH46" s="53">
        <v>31</v>
      </c>
      <c r="AI46" s="53" t="s">
        <v>22</v>
      </c>
      <c r="AJ46" s="53" t="s">
        <v>92</v>
      </c>
      <c r="AK46" s="53" t="s">
        <v>118</v>
      </c>
      <c r="AL46" s="53">
        <v>75000</v>
      </c>
      <c r="AM46" s="53">
        <v>8</v>
      </c>
      <c r="AN46" s="53">
        <v>5</v>
      </c>
      <c r="AO46" s="54" t="s">
        <v>94</v>
      </c>
      <c r="AQ46" s="9">
        <v>5</v>
      </c>
      <c r="AR46" s="9" t="s">
        <v>232</v>
      </c>
      <c r="AS46" s="9" t="s">
        <v>22</v>
      </c>
      <c r="AT46" s="9">
        <v>21</v>
      </c>
      <c r="AU46" s="9" t="s">
        <v>213</v>
      </c>
      <c r="AV46" s="9">
        <v>75</v>
      </c>
      <c r="AW46" s="9">
        <v>80</v>
      </c>
      <c r="AX46" s="9">
        <v>77</v>
      </c>
      <c r="AY46" s="9">
        <v>86</v>
      </c>
      <c r="AZ46" s="9" t="s">
        <v>166</v>
      </c>
      <c r="BB46" s="90"/>
      <c r="BC46" s="105"/>
      <c r="BD46" s="113" t="s">
        <v>280</v>
      </c>
      <c r="BE46" s="109">
        <v>10</v>
      </c>
      <c r="BF46" s="109">
        <v>823</v>
      </c>
      <c r="BG46" s="109">
        <v>82.3</v>
      </c>
      <c r="BH46" s="109">
        <v>142.01111111111175</v>
      </c>
      <c r="BI46" s="118"/>
      <c r="BJ46" s="125"/>
      <c r="BK46" s="105"/>
      <c r="BL46" s="105"/>
      <c r="BM46" s="113" t="s">
        <v>281</v>
      </c>
      <c r="BN46" s="109">
        <v>10</v>
      </c>
      <c r="BO46" s="109">
        <v>793</v>
      </c>
      <c r="BP46" s="109">
        <v>79.3</v>
      </c>
      <c r="BQ46" s="114">
        <v>149.56666666666649</v>
      </c>
      <c r="BR46" s="105"/>
      <c r="BS46" s="105"/>
      <c r="BT46" s="115" t="s">
        <v>267</v>
      </c>
      <c r="BU46" s="152">
        <v>10</v>
      </c>
      <c r="BV46" s="116" t="s">
        <v>267</v>
      </c>
      <c r="BW46" s="116">
        <v>10</v>
      </c>
      <c r="BX46" s="116" t="s">
        <v>267</v>
      </c>
      <c r="BY46" s="117">
        <v>10</v>
      </c>
    </row>
    <row r="47" spans="32:77" ht="15.75" thickBot="1" x14ac:dyDescent="0.3">
      <c r="AF47" s="55" t="s">
        <v>119</v>
      </c>
      <c r="AG47" s="56" t="s">
        <v>120</v>
      </c>
      <c r="AH47" s="56">
        <v>25</v>
      </c>
      <c r="AI47" s="56" t="s">
        <v>21</v>
      </c>
      <c r="AJ47" s="56" t="s">
        <v>121</v>
      </c>
      <c r="AK47" s="56" t="s">
        <v>122</v>
      </c>
      <c r="AL47" s="56">
        <v>40000</v>
      </c>
      <c r="AM47" s="56">
        <v>1</v>
      </c>
      <c r="AN47" s="56">
        <v>3</v>
      </c>
      <c r="AO47" s="57" t="s">
        <v>123</v>
      </c>
      <c r="AQ47" s="9">
        <v>6</v>
      </c>
      <c r="AR47" s="9" t="s">
        <v>233</v>
      </c>
      <c r="AS47" s="9" t="s">
        <v>21</v>
      </c>
      <c r="AT47" s="9">
        <v>19</v>
      </c>
      <c r="AU47" s="9" t="s">
        <v>218</v>
      </c>
      <c r="AV47" s="9">
        <v>88</v>
      </c>
      <c r="AW47" s="9">
        <v>91</v>
      </c>
      <c r="AX47" s="9">
        <v>89</v>
      </c>
      <c r="AY47" s="9">
        <v>94</v>
      </c>
      <c r="AZ47" s="9" t="s">
        <v>243</v>
      </c>
      <c r="BB47" s="90"/>
      <c r="BC47" s="105"/>
      <c r="BD47" s="113" t="s">
        <v>281</v>
      </c>
      <c r="BE47" s="109">
        <v>10</v>
      </c>
      <c r="BF47" s="109">
        <v>793</v>
      </c>
      <c r="BG47" s="109">
        <v>79.3</v>
      </c>
      <c r="BH47" s="109">
        <v>149.56666666666649</v>
      </c>
      <c r="BI47" s="118"/>
      <c r="BJ47" s="125"/>
      <c r="BK47" s="105"/>
      <c r="BL47" s="105"/>
      <c r="BM47" s="115" t="s">
        <v>282</v>
      </c>
      <c r="BN47" s="116">
        <v>10</v>
      </c>
      <c r="BO47" s="116">
        <v>917</v>
      </c>
      <c r="BP47" s="116">
        <v>91.7</v>
      </c>
      <c r="BQ47" s="117">
        <v>37.788888888888884</v>
      </c>
      <c r="BR47" s="105"/>
      <c r="BS47" s="105"/>
      <c r="BT47" s="105"/>
      <c r="BU47" s="105"/>
      <c r="BV47" s="105"/>
      <c r="BW47" s="105"/>
      <c r="BX47" s="105"/>
      <c r="BY47" s="87"/>
    </row>
    <row r="48" spans="32:77" x14ac:dyDescent="0.25">
      <c r="AQ48" s="9">
        <v>7</v>
      </c>
      <c r="AR48" s="9" t="s">
        <v>234</v>
      </c>
      <c r="AS48" s="9" t="s">
        <v>22</v>
      </c>
      <c r="AT48" s="9">
        <v>20</v>
      </c>
      <c r="AU48" s="9" t="s">
        <v>245</v>
      </c>
      <c r="AV48" s="9">
        <v>67</v>
      </c>
      <c r="AW48" s="9">
        <v>72</v>
      </c>
      <c r="AX48" s="9">
        <v>70</v>
      </c>
      <c r="AY48" s="9">
        <v>82</v>
      </c>
      <c r="AZ48" s="9" t="s">
        <v>166</v>
      </c>
      <c r="BB48" s="90"/>
      <c r="BC48" s="105"/>
      <c r="BD48" s="113" t="s">
        <v>282</v>
      </c>
      <c r="BE48" s="109">
        <v>10</v>
      </c>
      <c r="BF48" s="109">
        <v>917</v>
      </c>
      <c r="BG48" s="109">
        <v>91.7</v>
      </c>
      <c r="BH48" s="109">
        <v>37.788888888888884</v>
      </c>
      <c r="BI48" s="118"/>
      <c r="BJ48" s="125"/>
      <c r="BK48" s="105"/>
      <c r="BL48" s="105"/>
      <c r="BM48" s="90"/>
      <c r="BN48" s="105"/>
      <c r="BO48" s="105"/>
      <c r="BP48" s="105"/>
      <c r="BQ48" s="105"/>
      <c r="BR48" s="105"/>
      <c r="BS48" s="105"/>
      <c r="BT48" s="105"/>
      <c r="BU48" s="105"/>
      <c r="BV48" s="105"/>
      <c r="BW48" s="105"/>
      <c r="BX48" s="105"/>
      <c r="BY48" s="87"/>
    </row>
    <row r="49" spans="1:77" x14ac:dyDescent="0.25">
      <c r="AQ49" s="9">
        <v>8</v>
      </c>
      <c r="AR49" s="9" t="s">
        <v>235</v>
      </c>
      <c r="AS49" s="9" t="s">
        <v>21</v>
      </c>
      <c r="AT49" s="9">
        <v>18</v>
      </c>
      <c r="AU49" s="9" t="s">
        <v>246</v>
      </c>
      <c r="AV49" s="9">
        <v>95</v>
      </c>
      <c r="AW49" s="9">
        <v>98</v>
      </c>
      <c r="AX49" s="9">
        <v>96</v>
      </c>
      <c r="AY49" s="9">
        <v>98</v>
      </c>
      <c r="AZ49" s="9" t="s">
        <v>243</v>
      </c>
      <c r="BB49" s="90"/>
      <c r="BC49" s="105"/>
      <c r="BD49" s="129"/>
      <c r="BE49" s="118"/>
      <c r="BF49" s="118"/>
      <c r="BG49" s="118"/>
      <c r="BH49" s="118"/>
      <c r="BI49" s="118"/>
      <c r="BJ49" s="125"/>
      <c r="BK49" s="105"/>
      <c r="BL49" s="105"/>
      <c r="BM49" s="90"/>
      <c r="BN49" s="105"/>
      <c r="BO49" s="105"/>
      <c r="BP49" s="105"/>
      <c r="BQ49" s="105"/>
      <c r="BR49" s="105"/>
      <c r="BS49" s="105"/>
      <c r="BT49" s="105"/>
      <c r="BU49" s="105"/>
      <c r="BV49" s="105"/>
      <c r="BW49" s="105"/>
      <c r="BX49" s="105"/>
      <c r="BY49" s="87"/>
    </row>
    <row r="50" spans="1:77" ht="15.75" thickBot="1" x14ac:dyDescent="0.3">
      <c r="X50" s="1"/>
      <c r="AQ50" s="9">
        <v>9</v>
      </c>
      <c r="AR50" s="9" t="s">
        <v>236</v>
      </c>
      <c r="AS50" s="9" t="s">
        <v>22</v>
      </c>
      <c r="AT50" s="9">
        <v>22</v>
      </c>
      <c r="AU50" s="9" t="s">
        <v>247</v>
      </c>
      <c r="AV50" s="9">
        <v>73</v>
      </c>
      <c r="AW50" s="9">
        <v>77</v>
      </c>
      <c r="AX50" s="9">
        <v>75</v>
      </c>
      <c r="AY50" s="9">
        <v>87</v>
      </c>
      <c r="AZ50" s="9" t="s">
        <v>166</v>
      </c>
      <c r="BB50" s="90"/>
      <c r="BC50" s="105"/>
      <c r="BD50" s="129"/>
      <c r="BE50" s="118"/>
      <c r="BF50" s="118"/>
      <c r="BG50" s="118"/>
      <c r="BH50" s="118"/>
      <c r="BI50" s="118"/>
      <c r="BJ50" s="125"/>
      <c r="BK50" s="105"/>
      <c r="BL50" s="105"/>
      <c r="BM50" s="90" t="s">
        <v>283</v>
      </c>
      <c r="BN50" s="105"/>
      <c r="BO50" s="105"/>
      <c r="BP50" s="105"/>
      <c r="BQ50" s="105"/>
      <c r="BR50" s="105"/>
      <c r="BS50" s="105"/>
      <c r="BT50" s="105"/>
      <c r="BU50" s="105"/>
      <c r="BV50" s="105"/>
      <c r="BW50" s="105"/>
      <c r="BX50" s="105"/>
      <c r="BY50" s="87"/>
    </row>
    <row r="51" spans="1:77" ht="15.75" thickBot="1" x14ac:dyDescent="0.3">
      <c r="X51" s="1"/>
      <c r="AF51" s="11" t="s">
        <v>69</v>
      </c>
      <c r="AG51" s="12" t="s">
        <v>124</v>
      </c>
      <c r="AH51" s="12" t="s">
        <v>150</v>
      </c>
      <c r="AI51" s="12" t="s">
        <v>125</v>
      </c>
      <c r="AJ51" s="12" t="s">
        <v>151</v>
      </c>
      <c r="AK51" s="12" t="s">
        <v>152</v>
      </c>
      <c r="AL51" s="12" t="s">
        <v>126</v>
      </c>
      <c r="AM51" s="12" t="s">
        <v>153</v>
      </c>
      <c r="AN51" s="12" t="s">
        <v>154</v>
      </c>
      <c r="AO51" s="13" t="s">
        <v>127</v>
      </c>
      <c r="AQ51" s="9">
        <v>10</v>
      </c>
      <c r="AR51" s="9" t="s">
        <v>237</v>
      </c>
      <c r="AS51" s="9" t="s">
        <v>21</v>
      </c>
      <c r="AT51" s="9">
        <v>19</v>
      </c>
      <c r="AU51" s="9" t="s">
        <v>248</v>
      </c>
      <c r="AV51" s="9">
        <v>89</v>
      </c>
      <c r="AW51" s="9">
        <v>93</v>
      </c>
      <c r="AX51" s="9">
        <v>90</v>
      </c>
      <c r="AY51" s="9">
        <v>95</v>
      </c>
      <c r="AZ51" s="9" t="s">
        <v>243</v>
      </c>
      <c r="BB51" s="90"/>
      <c r="BC51" s="105"/>
      <c r="BD51" s="129" t="s">
        <v>283</v>
      </c>
      <c r="BE51" s="118"/>
      <c r="BF51" s="118"/>
      <c r="BG51" s="118"/>
      <c r="BH51" s="118"/>
      <c r="BI51" s="118"/>
      <c r="BJ51" s="125"/>
      <c r="BK51" s="105"/>
      <c r="BL51" s="105"/>
      <c r="BM51" s="110" t="s">
        <v>284</v>
      </c>
      <c r="BN51" s="111" t="s">
        <v>285</v>
      </c>
      <c r="BO51" s="111" t="s">
        <v>286</v>
      </c>
      <c r="BP51" s="111" t="s">
        <v>287</v>
      </c>
      <c r="BQ51" s="111" t="s">
        <v>288</v>
      </c>
      <c r="BR51" s="111" t="s">
        <v>289</v>
      </c>
      <c r="BS51" s="112" t="s">
        <v>290</v>
      </c>
      <c r="BT51" s="105"/>
      <c r="BU51" s="105"/>
      <c r="BV51" s="105"/>
      <c r="BW51" s="105"/>
      <c r="BX51" s="105"/>
      <c r="BY51" s="87"/>
    </row>
    <row r="52" spans="1:77" ht="27.75" thickBot="1" x14ac:dyDescent="0.55000000000000004">
      <c r="A52" s="22" t="s">
        <v>156</v>
      </c>
      <c r="B52" s="45"/>
      <c r="C52" s="45"/>
      <c r="D52" s="45"/>
      <c r="E52" s="46"/>
      <c r="X52" s="1"/>
      <c r="AF52" s="52" t="str">
        <f>VLOOKUP(AH42,AH38:AO47,8,0)</f>
        <v>Pune</v>
      </c>
      <c r="AG52" s="53" t="str">
        <f>HLOOKUP(AH61,AF61:AP66,6,0)</f>
        <v>Bangalore</v>
      </c>
      <c r="AH52" s="53"/>
      <c r="AI52" s="53">
        <f>MATCH(AK38,AK38:AK47,0)</f>
        <v>1</v>
      </c>
      <c r="AJ52" s="53"/>
      <c r="AK52" s="53" t="s">
        <v>117</v>
      </c>
      <c r="AL52" s="53">
        <f>INDEX(AG38:AO47,9,6)</f>
        <v>75000</v>
      </c>
      <c r="AM52" s="53"/>
      <c r="AN52" s="53"/>
      <c r="AO52" s="54">
        <f>_xlfn.XLOOKUP(AG38,AG38:AG47,AL38:AL47)</f>
        <v>55000</v>
      </c>
      <c r="BB52" s="90"/>
      <c r="BC52" s="105"/>
      <c r="BD52" s="130" t="s">
        <v>284</v>
      </c>
      <c r="BE52" s="108" t="s">
        <v>285</v>
      </c>
      <c r="BF52" s="108" t="s">
        <v>286</v>
      </c>
      <c r="BG52" s="108" t="s">
        <v>287</v>
      </c>
      <c r="BH52" s="108" t="s">
        <v>288</v>
      </c>
      <c r="BI52" s="108" t="s">
        <v>289</v>
      </c>
      <c r="BJ52" s="127" t="s">
        <v>290</v>
      </c>
      <c r="BK52" s="105"/>
      <c r="BL52" s="105"/>
      <c r="BM52" s="113" t="s">
        <v>291</v>
      </c>
      <c r="BN52" s="109">
        <v>2712.6999999999989</v>
      </c>
      <c r="BO52" s="109">
        <v>9</v>
      </c>
      <c r="BP52" s="109">
        <v>301.41111111111098</v>
      </c>
      <c r="BQ52" s="109">
        <v>21.563593004769395</v>
      </c>
      <c r="BR52" s="109">
        <v>7.0172456427602747E-8</v>
      </c>
      <c r="BS52" s="146">
        <v>2.4562811491592669</v>
      </c>
      <c r="BT52" s="105"/>
      <c r="BU52" s="105"/>
      <c r="BV52" s="105"/>
      <c r="BW52" s="105"/>
      <c r="BX52" s="105"/>
      <c r="BY52" s="87"/>
    </row>
    <row r="53" spans="1:77" x14ac:dyDescent="0.25">
      <c r="X53" s="1"/>
      <c r="AF53" s="52">
        <f>VLOOKUP(AH46,AH37:AM47,6,0)</f>
        <v>8</v>
      </c>
      <c r="AG53" s="53" t="str">
        <f>HLOOKUP(AG62,AF62:AP66,5,0)</f>
        <v>Hyderabad</v>
      </c>
      <c r="AH53" s="53"/>
      <c r="AI53" s="53">
        <f>MATCH(AK42,AK38:AK47,0)</f>
        <v>5</v>
      </c>
      <c r="AJ53" s="53"/>
      <c r="AK53" s="53" t="s">
        <v>86</v>
      </c>
      <c r="AL53" s="53" t="str">
        <f>INDEX(AG38:AO47,2,4)</f>
        <v>HR</v>
      </c>
      <c r="AM53" s="53"/>
      <c r="AN53" s="53"/>
      <c r="AO53" s="54" t="str">
        <f>_xlfn.XLOOKUP(AG39,AG38:AG47,AO38:AO47)</f>
        <v>Bangalore</v>
      </c>
      <c r="BB53" s="90"/>
      <c r="BC53" s="105"/>
      <c r="BD53" s="113" t="s">
        <v>291</v>
      </c>
      <c r="BE53" s="109">
        <v>2712.6999999999989</v>
      </c>
      <c r="BF53" s="109">
        <v>9</v>
      </c>
      <c r="BG53" s="109">
        <v>301.41111111111098</v>
      </c>
      <c r="BH53" s="109">
        <v>21.563593004769395</v>
      </c>
      <c r="BI53" s="109">
        <v>7.0172456427602747E-8</v>
      </c>
      <c r="BJ53" s="114">
        <v>2.4562811491592669</v>
      </c>
      <c r="BK53" s="105"/>
      <c r="BL53" s="105"/>
      <c r="BM53" s="113" t="s">
        <v>292</v>
      </c>
      <c r="BN53" s="109">
        <v>837.06666666666615</v>
      </c>
      <c r="BO53" s="109">
        <v>2</v>
      </c>
      <c r="BP53" s="109">
        <v>418.53333333333308</v>
      </c>
      <c r="BQ53" s="109">
        <v>29.942766295707354</v>
      </c>
      <c r="BR53" s="109">
        <v>1.8807947326322032E-6</v>
      </c>
      <c r="BS53" s="114">
        <v>3.5545571456617879</v>
      </c>
      <c r="BT53" s="105"/>
      <c r="BU53" s="105"/>
      <c r="BV53" s="105"/>
      <c r="BW53" s="105"/>
      <c r="BX53" s="105"/>
      <c r="BY53" s="87"/>
    </row>
    <row r="54" spans="1:77" x14ac:dyDescent="0.25">
      <c r="A54" s="37" t="s">
        <v>70</v>
      </c>
      <c r="B54" s="24" t="s">
        <v>71</v>
      </c>
      <c r="C54" s="24" t="s">
        <v>72</v>
      </c>
      <c r="D54" s="24" t="s">
        <v>73</v>
      </c>
      <c r="E54" s="24" t="s">
        <v>74</v>
      </c>
      <c r="F54" s="24" t="s">
        <v>75</v>
      </c>
      <c r="G54" s="24" t="s">
        <v>76</v>
      </c>
      <c r="H54" s="24" t="s">
        <v>77</v>
      </c>
      <c r="I54" s="24" t="s">
        <v>78</v>
      </c>
      <c r="J54" s="24" t="s">
        <v>79</v>
      </c>
      <c r="K54" s="24" t="s">
        <v>128</v>
      </c>
      <c r="L54" s="24" t="s">
        <v>129</v>
      </c>
      <c r="M54" s="24" t="s">
        <v>130</v>
      </c>
      <c r="N54" s="24" t="s">
        <v>131</v>
      </c>
      <c r="O54" s="24" t="s">
        <v>132</v>
      </c>
      <c r="P54" s="24" t="s">
        <v>134</v>
      </c>
      <c r="Q54" s="24" t="s">
        <v>133</v>
      </c>
      <c r="R54" s="24" t="s">
        <v>135</v>
      </c>
      <c r="S54" s="38" t="s">
        <v>136</v>
      </c>
      <c r="X54" s="1"/>
      <c r="AF54" s="52"/>
      <c r="AG54" s="53" t="str">
        <f>HLOOKUP(AH58,AG58:AP66,3,0)</f>
        <v>Female</v>
      </c>
      <c r="AH54" s="53"/>
      <c r="AI54" s="53">
        <f>MATCH(AJ44,AJ38:AJ47,0)</f>
        <v>7</v>
      </c>
      <c r="AJ54" s="53"/>
      <c r="AK54" s="53" t="s">
        <v>81</v>
      </c>
      <c r="AL54" s="53" t="str">
        <f>INDEX(AG38:AO47,1,4)</f>
        <v>IT</v>
      </c>
      <c r="AM54" s="53"/>
      <c r="AN54" s="53"/>
      <c r="AO54" s="54"/>
      <c r="BB54" s="90"/>
      <c r="BC54" s="105"/>
      <c r="BD54" s="113" t="s">
        <v>292</v>
      </c>
      <c r="BE54" s="109">
        <v>837.06666666666615</v>
      </c>
      <c r="BF54" s="109">
        <v>2</v>
      </c>
      <c r="BG54" s="109">
        <v>418.53333333333308</v>
      </c>
      <c r="BH54" s="109">
        <v>29.942766295707354</v>
      </c>
      <c r="BI54" s="109">
        <v>1.8807947326322032E-6</v>
      </c>
      <c r="BJ54" s="114">
        <v>3.5545571456617879</v>
      </c>
      <c r="BK54" s="105"/>
      <c r="BL54" s="105"/>
      <c r="BM54" s="113" t="s">
        <v>293</v>
      </c>
      <c r="BN54" s="109">
        <v>251.60000000000082</v>
      </c>
      <c r="BO54" s="109">
        <v>18</v>
      </c>
      <c r="BP54" s="109">
        <v>13.977777777777824</v>
      </c>
      <c r="BQ54" s="109"/>
      <c r="BR54" s="109"/>
      <c r="BS54" s="114"/>
      <c r="BT54" s="105"/>
      <c r="BU54" s="105"/>
      <c r="BV54" s="105"/>
      <c r="BW54" s="105"/>
      <c r="BX54" s="105"/>
      <c r="BY54" s="87"/>
    </row>
    <row r="55" spans="1:77" x14ac:dyDescent="0.25">
      <c r="A55" s="39" t="s">
        <v>80</v>
      </c>
      <c r="B55" s="40" t="s">
        <v>81</v>
      </c>
      <c r="C55" s="40">
        <v>28</v>
      </c>
      <c r="D55" s="40" t="s">
        <v>22</v>
      </c>
      <c r="E55" s="40" t="s">
        <v>82</v>
      </c>
      <c r="F55" s="40" t="s">
        <v>83</v>
      </c>
      <c r="G55" s="40">
        <v>55000</v>
      </c>
      <c r="H55" s="40">
        <v>3</v>
      </c>
      <c r="I55" s="40">
        <v>4</v>
      </c>
      <c r="J55" s="40" t="s">
        <v>84</v>
      </c>
      <c r="K55" s="40" t="str">
        <f>IF(C55&gt;25,"ABOVE 25","BELOW 25")</f>
        <v>ABOVE 25</v>
      </c>
      <c r="L55" s="40" t="str">
        <f>IF(G55&lt;=55000,"50000-55000",IF(G55&lt;=40000,"40000-50000",IF(G55&lt;5500,"55000-59000",IF(G55&lt;=60000,"60000-70000",IF(G55&lt;=70000,"70000-86000")))))</f>
        <v>50000-55000</v>
      </c>
      <c r="M55" s="40" t="b">
        <f>AND(C55&gt;25,H55&gt;2)</f>
        <v>1</v>
      </c>
      <c r="N55" s="40" t="b">
        <f>OR(C55&gt;25,H55&gt;2)</f>
        <v>1</v>
      </c>
      <c r="O55" s="40" t="b">
        <f>NOT(G55&gt;60000)</f>
        <v>1</v>
      </c>
      <c r="P55" s="40" t="b">
        <f>_xlfn.XOR(C55&gt;25,G55&gt;50000)</f>
        <v>0</v>
      </c>
      <c r="Q55" s="40" t="e">
        <f>C55/0</f>
        <v>#DIV/0!</v>
      </c>
      <c r="R55" s="40" t="b">
        <f>ISBLANK(I55)</f>
        <v>0</v>
      </c>
      <c r="S55" s="41" t="b">
        <f>ISNUMBER(I55)</f>
        <v>1</v>
      </c>
      <c r="X55" s="1"/>
      <c r="AF55" s="55"/>
      <c r="AG55" s="56" t="str">
        <f>HLOOKUP(AG58,AG58:AP66,4,AD560)</f>
        <v>IT</v>
      </c>
      <c r="AH55" s="56"/>
      <c r="AI55" s="56"/>
      <c r="AJ55" s="56"/>
      <c r="AK55" s="56" t="s">
        <v>114</v>
      </c>
      <c r="AL55" s="56"/>
      <c r="AM55" s="56"/>
      <c r="AN55" s="56"/>
      <c r="AO55" s="57"/>
      <c r="BB55" s="90"/>
      <c r="BC55" s="105"/>
      <c r="BD55" s="113" t="s">
        <v>293</v>
      </c>
      <c r="BE55" s="109">
        <v>251.60000000000082</v>
      </c>
      <c r="BF55" s="109">
        <v>18</v>
      </c>
      <c r="BG55" s="109">
        <v>13.977777777777824</v>
      </c>
      <c r="BH55" s="109"/>
      <c r="BI55" s="109"/>
      <c r="BJ55" s="114"/>
      <c r="BK55" s="105"/>
      <c r="BL55" s="105"/>
      <c r="BM55" s="113"/>
      <c r="BN55" s="109"/>
      <c r="BO55" s="109"/>
      <c r="BP55" s="109"/>
      <c r="BQ55" s="109"/>
      <c r="BR55" s="109"/>
      <c r="BS55" s="114"/>
      <c r="BT55" s="105"/>
      <c r="BU55" s="105"/>
      <c r="BV55" s="105"/>
      <c r="BW55" s="105"/>
      <c r="BX55" s="105"/>
      <c r="BY55" s="87"/>
    </row>
    <row r="56" spans="1:77" ht="15.75" thickBot="1" x14ac:dyDescent="0.3">
      <c r="A56" s="39" t="s">
        <v>85</v>
      </c>
      <c r="B56" s="40" t="s">
        <v>86</v>
      </c>
      <c r="C56" s="40">
        <v>32</v>
      </c>
      <c r="D56" s="40" t="s">
        <v>21</v>
      </c>
      <c r="E56" s="40" t="s">
        <v>87</v>
      </c>
      <c r="F56" s="40" t="s">
        <v>88</v>
      </c>
      <c r="G56" s="40">
        <v>65000</v>
      </c>
      <c r="H56" s="40">
        <v>7</v>
      </c>
      <c r="I56" s="40">
        <v>5</v>
      </c>
      <c r="J56" s="40" t="s">
        <v>89</v>
      </c>
      <c r="K56" s="40" t="str">
        <f>IF(C56&gt;25,"ABOVE 25","BELOW 25")</f>
        <v>ABOVE 25</v>
      </c>
      <c r="L56" s="40" t="str">
        <f>IF(G56&lt;=55000,"50000-55000",IF(G56&lt;=40000,"40000-50000",IF(G56&lt;5500,"55000-59000",IF(G56&lt;=60000,"60000-70000",IF(G56&lt;=70000,"70000-80000",IF(G56&lt;=80000,"80000-90000"))))))</f>
        <v>70000-80000</v>
      </c>
      <c r="M56" s="40" t="b">
        <f>AND(C56&lt;30,H56&lt;6)</f>
        <v>0</v>
      </c>
      <c r="N56" s="40" t="b">
        <f>OR(C56&gt;30,G56&gt;85000)</f>
        <v>1</v>
      </c>
      <c r="O56" s="40" t="b">
        <f>NOT(G56&gt;60000)</f>
        <v>0</v>
      </c>
      <c r="P56" s="40" t="b">
        <f>_xlfn.XOR(C56&gt;30,G56&gt;75000)</f>
        <v>1</v>
      </c>
      <c r="Q56" s="40" t="e">
        <f>D56+10</f>
        <v>#VALUE!</v>
      </c>
      <c r="R56" s="40" t="b">
        <f t="shared" ref="R56:R64" si="17">ISBLANK(I56)</f>
        <v>0</v>
      </c>
      <c r="S56" s="41" t="b">
        <f t="shared" ref="S56:S64" si="18">ISNUMBER(I56)</f>
        <v>1</v>
      </c>
      <c r="X56" s="1"/>
      <c r="BB56" s="90"/>
      <c r="BC56" s="105"/>
      <c r="BD56" s="113"/>
      <c r="BE56" s="109"/>
      <c r="BF56" s="109"/>
      <c r="BG56" s="109"/>
      <c r="BH56" s="109"/>
      <c r="BI56" s="109"/>
      <c r="BJ56" s="114"/>
      <c r="BK56" s="105"/>
      <c r="BL56" s="105"/>
      <c r="BM56" s="115" t="s">
        <v>294</v>
      </c>
      <c r="BN56" s="116">
        <v>3801.3666666666659</v>
      </c>
      <c r="BO56" s="116">
        <v>29</v>
      </c>
      <c r="BP56" s="116"/>
      <c r="BQ56" s="116"/>
      <c r="BR56" s="116"/>
      <c r="BS56" s="117"/>
      <c r="BT56" s="105"/>
      <c r="BU56" s="105"/>
      <c r="BV56" s="105"/>
      <c r="BW56" s="105"/>
      <c r="BX56" s="105"/>
      <c r="BY56" s="87"/>
    </row>
    <row r="57" spans="1:77" ht="15.75" thickBot="1" x14ac:dyDescent="0.3">
      <c r="A57" s="39" t="s">
        <v>90</v>
      </c>
      <c r="B57" s="40" t="s">
        <v>91</v>
      </c>
      <c r="C57" s="40">
        <v>26</v>
      </c>
      <c r="D57" s="40" t="s">
        <v>22</v>
      </c>
      <c r="E57" s="40" t="s">
        <v>92</v>
      </c>
      <c r="F57" s="40" t="s">
        <v>93</v>
      </c>
      <c r="G57" s="40">
        <v>45000</v>
      </c>
      <c r="H57" s="40">
        <v>2</v>
      </c>
      <c r="I57" s="40">
        <v>3</v>
      </c>
      <c r="J57" s="40" t="s">
        <v>94</v>
      </c>
      <c r="K57" s="40" t="str">
        <f t="shared" ref="K57:K64" si="19">IF(C57&gt;25,"ABOVE 25","BELOW 25")</f>
        <v>ABOVE 25</v>
      </c>
      <c r="L57" s="40" t="str">
        <f t="shared" ref="L57:L60" si="20">IF(G57&lt;=55000,"50000-55000",IF(G57&lt;=40000,"40000-50000",IF(G57&lt;5500,"55000-59000",IF(G57&lt;=60000,"60000-70000",IF(G57&lt;=70000,"70000-80000",IF(G57&lt;=80000,"80000-90000"))))))</f>
        <v>50000-55000</v>
      </c>
      <c r="M57" s="40" t="b">
        <f t="shared" ref="M57:M64" si="21">AND(C57&lt;30,H57&lt;6)</f>
        <v>1</v>
      </c>
      <c r="N57" s="40" t="b">
        <f>OR(C57&gt;35,H57&gt;3)</f>
        <v>0</v>
      </c>
      <c r="O57" s="40" t="b">
        <f t="shared" ref="O57:O64" si="22">NOT(G57&gt;60000)</f>
        <v>1</v>
      </c>
      <c r="P57" s="40" t="b">
        <f>_xlfn.XOR(C57&gt;25,G57&gt;40000)</f>
        <v>0</v>
      </c>
      <c r="Q57" s="40" t="e">
        <f>SQRT(-C57)</f>
        <v>#NUM!</v>
      </c>
      <c r="R57" s="40" t="b">
        <f t="shared" si="17"/>
        <v>0</v>
      </c>
      <c r="S57" s="41" t="b">
        <f t="shared" si="18"/>
        <v>1</v>
      </c>
      <c r="X57" s="1"/>
      <c r="AF57" s="11" t="s">
        <v>70</v>
      </c>
      <c r="AG57" s="12" t="s">
        <v>80</v>
      </c>
      <c r="AH57" s="12" t="s">
        <v>85</v>
      </c>
      <c r="AI57" s="12" t="s">
        <v>90</v>
      </c>
      <c r="AJ57" s="12" t="s">
        <v>95</v>
      </c>
      <c r="AK57" s="12" t="s">
        <v>100</v>
      </c>
      <c r="AL57" s="12" t="s">
        <v>104</v>
      </c>
      <c r="AM57" s="12" t="s">
        <v>108</v>
      </c>
      <c r="AN57" s="12" t="s">
        <v>113</v>
      </c>
      <c r="AO57" s="12" t="s">
        <v>116</v>
      </c>
      <c r="AP57" s="13" t="s">
        <v>119</v>
      </c>
      <c r="BB57" s="90"/>
      <c r="BC57" s="105"/>
      <c r="BD57" s="115" t="s">
        <v>294</v>
      </c>
      <c r="BE57" s="116">
        <v>3801.3666666666659</v>
      </c>
      <c r="BF57" s="116">
        <v>29</v>
      </c>
      <c r="BG57" s="116"/>
      <c r="BH57" s="116"/>
      <c r="BI57" s="116"/>
      <c r="BJ57" s="117"/>
      <c r="BK57" s="105"/>
      <c r="BL57" s="105"/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87"/>
    </row>
    <row r="58" spans="1:77" ht="15.75" thickBot="1" x14ac:dyDescent="0.3">
      <c r="A58" s="39" t="s">
        <v>95</v>
      </c>
      <c r="B58" s="40" t="s">
        <v>96</v>
      </c>
      <c r="C58" s="40">
        <v>35</v>
      </c>
      <c r="D58" s="40" t="s">
        <v>21</v>
      </c>
      <c r="E58" s="40" t="s">
        <v>97</v>
      </c>
      <c r="F58" s="40" t="s">
        <v>98</v>
      </c>
      <c r="G58" s="40">
        <v>70000</v>
      </c>
      <c r="H58" s="40">
        <v>9</v>
      </c>
      <c r="I58" s="40">
        <v>5</v>
      </c>
      <c r="J58" s="40" t="s">
        <v>99</v>
      </c>
      <c r="K58" s="40" t="str">
        <f t="shared" si="19"/>
        <v>ABOVE 25</v>
      </c>
      <c r="L58" s="40" t="str">
        <f t="shared" si="20"/>
        <v>70000-80000</v>
      </c>
      <c r="M58" s="40" t="b">
        <f t="shared" si="21"/>
        <v>0</v>
      </c>
      <c r="N58" s="40" t="b">
        <f t="shared" ref="N58:N64" si="23">OR(C58&gt;35,H58&gt;3)</f>
        <v>1</v>
      </c>
      <c r="O58" s="40" t="b">
        <f t="shared" si="22"/>
        <v>0</v>
      </c>
      <c r="P58" s="40" t="b">
        <f>_xlfn.XOR(C58&lt;25,G58&lt;10000)</f>
        <v>0</v>
      </c>
      <c r="Q58" s="40" t="e">
        <f>E58+10</f>
        <v>#VALUE!</v>
      </c>
      <c r="R58" s="40" t="b">
        <f t="shared" si="17"/>
        <v>0</v>
      </c>
      <c r="S58" s="41" t="b">
        <f t="shared" si="18"/>
        <v>1</v>
      </c>
      <c r="X58" s="1"/>
      <c r="AF58" s="52" t="s">
        <v>71</v>
      </c>
      <c r="AG58" s="53" t="s">
        <v>81</v>
      </c>
      <c r="AH58" s="53" t="s">
        <v>86</v>
      </c>
      <c r="AI58" s="53" t="s">
        <v>91</v>
      </c>
      <c r="AJ58" s="53" t="s">
        <v>96</v>
      </c>
      <c r="AK58" s="53" t="s">
        <v>101</v>
      </c>
      <c r="AL58" s="53" t="s">
        <v>105</v>
      </c>
      <c r="AM58" s="53" t="s">
        <v>109</v>
      </c>
      <c r="AN58" s="53" t="s">
        <v>114</v>
      </c>
      <c r="AO58" s="53" t="s">
        <v>117</v>
      </c>
      <c r="AP58" s="54" t="s">
        <v>120</v>
      </c>
      <c r="BB58" s="91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9"/>
    </row>
    <row r="59" spans="1:77" x14ac:dyDescent="0.25">
      <c r="A59" s="39" t="s">
        <v>100</v>
      </c>
      <c r="B59" s="40" t="s">
        <v>101</v>
      </c>
      <c r="C59" s="40">
        <v>30</v>
      </c>
      <c r="D59" s="40" t="s">
        <v>22</v>
      </c>
      <c r="E59" s="40" t="s">
        <v>82</v>
      </c>
      <c r="F59" s="40" t="s">
        <v>102</v>
      </c>
      <c r="G59" s="40">
        <v>60000</v>
      </c>
      <c r="H59" s="40">
        <v>5</v>
      </c>
      <c r="I59" s="40">
        <v>4</v>
      </c>
      <c r="J59" s="40" t="s">
        <v>103</v>
      </c>
      <c r="K59" s="40" t="str">
        <f t="shared" si="19"/>
        <v>ABOVE 25</v>
      </c>
      <c r="L59" s="40" t="str">
        <f t="shared" si="20"/>
        <v>60000-70000</v>
      </c>
      <c r="M59" s="40" t="b">
        <f t="shared" si="21"/>
        <v>0</v>
      </c>
      <c r="N59" s="40" t="b">
        <f t="shared" si="23"/>
        <v>1</v>
      </c>
      <c r="O59" s="40" t="b">
        <f t="shared" si="22"/>
        <v>1</v>
      </c>
      <c r="P59" s="40" t="b">
        <f t="shared" ref="P59:P64" si="24">_xlfn.XOR(C59&lt;25,G59&lt;10000)</f>
        <v>0</v>
      </c>
      <c r="Q59" s="40" t="e" cm="1">
        <f t="array" aca="1" ref="Q59" ca="1">summ(D55:D64)</f>
        <v>#NAME?</v>
      </c>
      <c r="R59" s="40" t="b">
        <f t="shared" si="17"/>
        <v>0</v>
      </c>
      <c r="S59" s="41" t="b">
        <f t="shared" si="18"/>
        <v>1</v>
      </c>
      <c r="X59" s="1"/>
      <c r="AF59" s="52" t="s">
        <v>72</v>
      </c>
      <c r="AG59" s="53">
        <v>28</v>
      </c>
      <c r="AH59" s="53">
        <v>32</v>
      </c>
      <c r="AI59" s="53">
        <v>26</v>
      </c>
      <c r="AJ59" s="53">
        <v>35</v>
      </c>
      <c r="AK59" s="53">
        <v>30</v>
      </c>
      <c r="AL59" s="53">
        <v>27</v>
      </c>
      <c r="AM59" s="53">
        <v>40</v>
      </c>
      <c r="AN59" s="53">
        <v>29</v>
      </c>
      <c r="AO59" s="53">
        <v>31</v>
      </c>
      <c r="AP59" s="54">
        <v>25</v>
      </c>
    </row>
    <row r="60" spans="1:77" x14ac:dyDescent="0.25">
      <c r="A60" s="39" t="s">
        <v>104</v>
      </c>
      <c r="B60" s="40" t="s">
        <v>105</v>
      </c>
      <c r="C60" s="40">
        <v>27</v>
      </c>
      <c r="D60" s="40" t="s">
        <v>21</v>
      </c>
      <c r="E60" s="40" t="s">
        <v>106</v>
      </c>
      <c r="F60" s="40" t="s">
        <v>107</v>
      </c>
      <c r="G60" s="40">
        <v>50000</v>
      </c>
      <c r="H60" s="40">
        <v>3</v>
      </c>
      <c r="I60" s="40">
        <v>4</v>
      </c>
      <c r="J60" s="40" t="s">
        <v>84</v>
      </c>
      <c r="K60" s="40" t="str">
        <f t="shared" si="19"/>
        <v>ABOVE 25</v>
      </c>
      <c r="L60" s="40" t="str">
        <f t="shared" si="20"/>
        <v>50000-55000</v>
      </c>
      <c r="M60" s="40" t="b">
        <f t="shared" si="21"/>
        <v>1</v>
      </c>
      <c r="N60" s="40" t="b">
        <f t="shared" si="23"/>
        <v>0</v>
      </c>
      <c r="O60" s="40" t="b">
        <f t="shared" si="22"/>
        <v>1</v>
      </c>
      <c r="P60" s="40" t="b">
        <f t="shared" si="24"/>
        <v>0</v>
      </c>
      <c r="Q60" s="40" t="e" cm="1">
        <f t="array" aca="1" ref="Q60" ca="1">summ(C55:C64)</f>
        <v>#NAME?</v>
      </c>
      <c r="R60" s="40" t="b">
        <f t="shared" si="17"/>
        <v>0</v>
      </c>
      <c r="S60" s="41" t="b">
        <f t="shared" si="18"/>
        <v>1</v>
      </c>
      <c r="X60" s="1"/>
      <c r="AF60" s="52" t="s">
        <v>73</v>
      </c>
      <c r="AG60" s="53" t="s">
        <v>22</v>
      </c>
      <c r="AH60" s="53" t="s">
        <v>21</v>
      </c>
      <c r="AI60" s="53" t="s">
        <v>22</v>
      </c>
      <c r="AJ60" s="53" t="s">
        <v>21</v>
      </c>
      <c r="AK60" s="53" t="s">
        <v>22</v>
      </c>
      <c r="AL60" s="53" t="s">
        <v>21</v>
      </c>
      <c r="AM60" s="53" t="s">
        <v>22</v>
      </c>
      <c r="AN60" s="53" t="s">
        <v>21</v>
      </c>
      <c r="AO60" s="53" t="s">
        <v>22</v>
      </c>
      <c r="AP60" s="54" t="s">
        <v>21</v>
      </c>
    </row>
    <row r="61" spans="1:77" x14ac:dyDescent="0.25">
      <c r="A61" s="39" t="s">
        <v>108</v>
      </c>
      <c r="B61" s="40" t="s">
        <v>109</v>
      </c>
      <c r="C61" s="40">
        <v>40</v>
      </c>
      <c r="D61" s="40" t="s">
        <v>22</v>
      </c>
      <c r="E61" s="40" t="s">
        <v>110</v>
      </c>
      <c r="F61" s="40" t="s">
        <v>111</v>
      </c>
      <c r="G61" s="40">
        <v>85000</v>
      </c>
      <c r="H61" s="40">
        <v>15</v>
      </c>
      <c r="I61" s="40">
        <v>5</v>
      </c>
      <c r="J61" s="40" t="s">
        <v>112</v>
      </c>
      <c r="K61" s="40" t="str">
        <f t="shared" si="19"/>
        <v>ABOVE 25</v>
      </c>
      <c r="L61" s="40" t="str" cm="1">
        <f t="array" ref="L61">_xlfn.IFS(G60&lt;50000,"40000-50000",G60&lt;60000,"50000-60000",G60&lt;70000,"60000-70000",G60&lt;80000,"70000-80000",G60&lt;90000,"80000-90000")</f>
        <v>50000-60000</v>
      </c>
      <c r="M61" s="40" t="b">
        <f t="shared" si="21"/>
        <v>0</v>
      </c>
      <c r="N61" s="40" t="b">
        <f t="shared" si="23"/>
        <v>1</v>
      </c>
      <c r="O61" s="40" t="b">
        <f t="shared" si="22"/>
        <v>0</v>
      </c>
      <c r="P61" s="40" t="b">
        <f t="shared" si="24"/>
        <v>0</v>
      </c>
      <c r="Q61" s="40"/>
      <c r="R61" s="40" t="b">
        <f t="shared" si="17"/>
        <v>0</v>
      </c>
      <c r="S61" s="41" t="b">
        <f t="shared" si="18"/>
        <v>1</v>
      </c>
      <c r="X61" s="1"/>
      <c r="AF61" s="52" t="s">
        <v>74</v>
      </c>
      <c r="AG61" s="53" t="s">
        <v>82</v>
      </c>
      <c r="AH61" s="53" t="s">
        <v>87</v>
      </c>
      <c r="AI61" s="53" t="s">
        <v>92</v>
      </c>
      <c r="AJ61" s="53" t="s">
        <v>97</v>
      </c>
      <c r="AK61" s="53" t="s">
        <v>82</v>
      </c>
      <c r="AL61" s="53" t="s">
        <v>106</v>
      </c>
      <c r="AM61" s="53" t="s">
        <v>110</v>
      </c>
      <c r="AN61" s="53" t="s">
        <v>82</v>
      </c>
      <c r="AO61" s="53" t="s">
        <v>92</v>
      </c>
      <c r="AP61" s="54" t="s">
        <v>121</v>
      </c>
    </row>
    <row r="62" spans="1:77" ht="30" x14ac:dyDescent="0.25">
      <c r="A62" s="39" t="s">
        <v>113</v>
      </c>
      <c r="B62" s="40" t="s">
        <v>114</v>
      </c>
      <c r="C62" s="40">
        <v>29</v>
      </c>
      <c r="D62" s="40" t="s">
        <v>21</v>
      </c>
      <c r="E62" s="40" t="s">
        <v>82</v>
      </c>
      <c r="F62" s="40" t="s">
        <v>115</v>
      </c>
      <c r="G62" s="40">
        <v>62000</v>
      </c>
      <c r="H62" s="40">
        <v>4</v>
      </c>
      <c r="I62" s="40">
        <v>4</v>
      </c>
      <c r="J62" s="40" t="s">
        <v>89</v>
      </c>
      <c r="K62" s="40" t="str">
        <f t="shared" si="19"/>
        <v>ABOVE 25</v>
      </c>
      <c r="L62" s="40" t="str" cm="1">
        <f t="array" ref="L62">_xlfn.IFS(G61&lt;50000,"40000-50000",G61&lt;60000,"50000-60000",G61&lt;70000,"60000-70000",G61&lt;80000,"70000-80000",G61&lt;90000,"80000-90000")</f>
        <v>80000-90000</v>
      </c>
      <c r="M62" s="40" t="b">
        <f t="shared" si="21"/>
        <v>1</v>
      </c>
      <c r="N62" s="40" t="b">
        <f t="shared" si="23"/>
        <v>1</v>
      </c>
      <c r="O62" s="40" t="b">
        <f t="shared" si="22"/>
        <v>0</v>
      </c>
      <c r="P62" s="40" t="b">
        <f t="shared" si="24"/>
        <v>0</v>
      </c>
      <c r="Q62" s="40"/>
      <c r="R62" s="40" t="b">
        <f t="shared" si="17"/>
        <v>0</v>
      </c>
      <c r="S62" s="41" t="b">
        <f t="shared" si="18"/>
        <v>1</v>
      </c>
      <c r="X62" s="1"/>
      <c r="AF62" s="52" t="s">
        <v>75</v>
      </c>
      <c r="AG62" s="53" t="s">
        <v>83</v>
      </c>
      <c r="AH62" s="53" t="s">
        <v>88</v>
      </c>
      <c r="AI62" s="53" t="s">
        <v>93</v>
      </c>
      <c r="AJ62" s="53" t="s">
        <v>98</v>
      </c>
      <c r="AK62" s="53" t="s">
        <v>102</v>
      </c>
      <c r="AL62" s="53" t="s">
        <v>107</v>
      </c>
      <c r="AM62" s="53" t="s">
        <v>111</v>
      </c>
      <c r="AN62" s="53" t="s">
        <v>115</v>
      </c>
      <c r="AO62" s="53" t="s">
        <v>118</v>
      </c>
      <c r="AP62" s="54" t="s">
        <v>122</v>
      </c>
      <c r="BG62" s="97" t="s">
        <v>317</v>
      </c>
      <c r="BH62" s="97" t="s">
        <v>74</v>
      </c>
      <c r="BI62" s="97" t="s">
        <v>73</v>
      </c>
      <c r="BJ62" s="97" t="s">
        <v>72</v>
      </c>
      <c r="BK62" s="97" t="s">
        <v>318</v>
      </c>
      <c r="BL62" s="97" t="s">
        <v>76</v>
      </c>
      <c r="BM62" s="97" t="s">
        <v>319</v>
      </c>
      <c r="BN62" s="97" t="s">
        <v>320</v>
      </c>
      <c r="BO62" s="97" t="s">
        <v>321</v>
      </c>
      <c r="BP62" s="97" t="s">
        <v>322</v>
      </c>
    </row>
    <row r="63" spans="1:77" x14ac:dyDescent="0.25">
      <c r="A63" s="39" t="s">
        <v>116</v>
      </c>
      <c r="B63" s="40" t="s">
        <v>117</v>
      </c>
      <c r="C63" s="40">
        <v>31</v>
      </c>
      <c r="D63" s="40" t="s">
        <v>22</v>
      </c>
      <c r="E63" s="40" t="s">
        <v>92</v>
      </c>
      <c r="F63" s="40" t="s">
        <v>118</v>
      </c>
      <c r="G63" s="40">
        <v>75000</v>
      </c>
      <c r="H63" s="40">
        <v>8</v>
      </c>
      <c r="I63" s="40">
        <v>5</v>
      </c>
      <c r="J63" s="40" t="s">
        <v>94</v>
      </c>
      <c r="K63" s="40" t="str">
        <f t="shared" si="19"/>
        <v>ABOVE 25</v>
      </c>
      <c r="L63" s="40" t="str" cm="1">
        <f t="array" ref="L63">_xlfn.IFS(G62&lt;50000,"40000-50000",G62&lt;60000,"50000-60000",G62&lt;70000,"60000-70000",G62&lt;80000,"70000-80000",G62&lt;90000,"80000-90000")</f>
        <v>60000-70000</v>
      </c>
      <c r="M63" s="40" t="b">
        <f t="shared" si="21"/>
        <v>0</v>
      </c>
      <c r="N63" s="40" t="b">
        <f t="shared" si="23"/>
        <v>1</v>
      </c>
      <c r="O63" s="40" t="b">
        <f t="shared" si="22"/>
        <v>0</v>
      </c>
      <c r="P63" s="40" t="b">
        <f t="shared" si="24"/>
        <v>0</v>
      </c>
      <c r="Q63" s="40"/>
      <c r="R63" s="40" t="b">
        <f t="shared" si="17"/>
        <v>0</v>
      </c>
      <c r="S63" s="41" t="b">
        <f t="shared" si="18"/>
        <v>1</v>
      </c>
      <c r="X63" s="1"/>
      <c r="AF63" s="52" t="s">
        <v>76</v>
      </c>
      <c r="AG63" s="53">
        <v>55000</v>
      </c>
      <c r="AH63" s="53">
        <v>65000</v>
      </c>
      <c r="AI63" s="53">
        <v>45000</v>
      </c>
      <c r="AJ63" s="53">
        <v>70000</v>
      </c>
      <c r="AK63" s="53">
        <v>60000</v>
      </c>
      <c r="AL63" s="53">
        <v>50000</v>
      </c>
      <c r="AM63" s="53">
        <v>85000</v>
      </c>
      <c r="AN63" s="53">
        <v>62000</v>
      </c>
      <c r="AO63" s="53">
        <v>75000</v>
      </c>
      <c r="AP63" s="54">
        <v>40000</v>
      </c>
      <c r="BG63" s="9">
        <v>1</v>
      </c>
      <c r="BH63" s="9" t="s">
        <v>87</v>
      </c>
      <c r="BI63" s="9" t="s">
        <v>22</v>
      </c>
      <c r="BJ63" s="9">
        <v>24</v>
      </c>
      <c r="BK63" s="9">
        <v>2</v>
      </c>
      <c r="BL63" s="9">
        <v>28000</v>
      </c>
      <c r="BM63" s="9">
        <v>70</v>
      </c>
      <c r="BN63" s="9">
        <v>120</v>
      </c>
      <c r="BO63" s="9">
        <v>130</v>
      </c>
      <c r="BP63" s="9">
        <v>125</v>
      </c>
    </row>
    <row r="64" spans="1:77" x14ac:dyDescent="0.25">
      <c r="A64" s="42" t="s">
        <v>119</v>
      </c>
      <c r="B64" s="43" t="s">
        <v>120</v>
      </c>
      <c r="C64" s="43">
        <v>25</v>
      </c>
      <c r="D64" s="43" t="s">
        <v>21</v>
      </c>
      <c r="E64" s="43" t="s">
        <v>121</v>
      </c>
      <c r="F64" s="43" t="s">
        <v>122</v>
      </c>
      <c r="G64" s="43">
        <v>40000</v>
      </c>
      <c r="H64" s="43">
        <v>1</v>
      </c>
      <c r="I64" s="43">
        <v>3</v>
      </c>
      <c r="J64" s="43" t="s">
        <v>123</v>
      </c>
      <c r="K64" s="43" t="str">
        <f t="shared" si="19"/>
        <v>BELOW 25</v>
      </c>
      <c r="L64" s="43" t="str" cm="1">
        <f t="array" ref="L64">_xlfn.IFS(G63&lt;50000,"40000-50000",G63&lt;60000,"50000-60000",G63&lt;70000,"60000-70000",G63&lt;80000,"70000-80000",G63&lt;90000,"80000-90000")</f>
        <v>70000-80000</v>
      </c>
      <c r="M64" s="43" t="b">
        <f t="shared" si="21"/>
        <v>1</v>
      </c>
      <c r="N64" s="43" t="b">
        <f t="shared" si="23"/>
        <v>0</v>
      </c>
      <c r="O64" s="43" t="b">
        <f t="shared" si="22"/>
        <v>1</v>
      </c>
      <c r="P64" s="43" t="b">
        <f t="shared" si="24"/>
        <v>0</v>
      </c>
      <c r="Q64" s="43"/>
      <c r="R64" s="43" t="b">
        <f t="shared" si="17"/>
        <v>0</v>
      </c>
      <c r="S64" s="44" t="b">
        <f t="shared" si="18"/>
        <v>1</v>
      </c>
      <c r="X64" s="1"/>
      <c r="AF64" s="52" t="s">
        <v>77</v>
      </c>
      <c r="AG64" s="53">
        <v>3</v>
      </c>
      <c r="AH64" s="53">
        <v>7</v>
      </c>
      <c r="AI64" s="53">
        <v>2</v>
      </c>
      <c r="AJ64" s="53">
        <v>9</v>
      </c>
      <c r="AK64" s="53">
        <v>5</v>
      </c>
      <c r="AL64" s="53">
        <v>3</v>
      </c>
      <c r="AM64" s="53">
        <v>15</v>
      </c>
      <c r="AN64" s="53">
        <v>4</v>
      </c>
      <c r="AO64" s="53">
        <v>8</v>
      </c>
      <c r="AP64" s="54">
        <v>1</v>
      </c>
      <c r="BG64" s="9">
        <v>2</v>
      </c>
      <c r="BH64" s="9" t="s">
        <v>87</v>
      </c>
      <c r="BI64" s="9" t="s">
        <v>21</v>
      </c>
      <c r="BJ64" s="9">
        <v>26</v>
      </c>
      <c r="BK64" s="9">
        <v>3</v>
      </c>
      <c r="BL64" s="9">
        <v>32000</v>
      </c>
      <c r="BM64" s="9">
        <v>75</v>
      </c>
      <c r="BN64" s="9">
        <v>135</v>
      </c>
      <c r="BO64" s="9">
        <v>140</v>
      </c>
      <c r="BP64" s="9">
        <v>138</v>
      </c>
    </row>
    <row r="65" spans="1:73" x14ac:dyDescent="0.25">
      <c r="X65" s="1"/>
      <c r="AF65" s="52" t="s">
        <v>78</v>
      </c>
      <c r="AG65" s="53">
        <v>4</v>
      </c>
      <c r="AH65" s="53">
        <v>5</v>
      </c>
      <c r="AI65" s="53">
        <v>3</v>
      </c>
      <c r="AJ65" s="53">
        <v>5</v>
      </c>
      <c r="AK65" s="53">
        <v>4</v>
      </c>
      <c r="AL65" s="53">
        <v>4</v>
      </c>
      <c r="AM65" s="53">
        <v>5</v>
      </c>
      <c r="AN65" s="53">
        <v>4</v>
      </c>
      <c r="AO65" s="53">
        <v>5</v>
      </c>
      <c r="AP65" s="54">
        <v>3</v>
      </c>
      <c r="BG65" s="9">
        <v>3</v>
      </c>
      <c r="BH65" s="9" t="s">
        <v>87</v>
      </c>
      <c r="BI65" s="9" t="s">
        <v>22</v>
      </c>
      <c r="BJ65" s="9">
        <v>28</v>
      </c>
      <c r="BK65" s="9">
        <v>4</v>
      </c>
      <c r="BL65" s="9">
        <v>36000</v>
      </c>
      <c r="BM65" s="9">
        <v>78</v>
      </c>
      <c r="BN65" s="9">
        <v>145</v>
      </c>
      <c r="BO65" s="9">
        <v>150</v>
      </c>
      <c r="BP65" s="9">
        <v>148</v>
      </c>
    </row>
    <row r="66" spans="1:73" x14ac:dyDescent="0.25">
      <c r="X66" s="1"/>
      <c r="AF66" s="55" t="s">
        <v>79</v>
      </c>
      <c r="AG66" s="56" t="s">
        <v>84</v>
      </c>
      <c r="AH66" s="56" t="s">
        <v>89</v>
      </c>
      <c r="AI66" s="56" t="s">
        <v>94</v>
      </c>
      <c r="AJ66" s="56" t="s">
        <v>99</v>
      </c>
      <c r="AK66" s="56" t="s">
        <v>103</v>
      </c>
      <c r="AL66" s="56" t="s">
        <v>84</v>
      </c>
      <c r="AM66" s="56" t="s">
        <v>112</v>
      </c>
      <c r="AN66" s="56" t="s">
        <v>89</v>
      </c>
      <c r="AO66" s="56" t="s">
        <v>94</v>
      </c>
      <c r="AP66" s="57" t="s">
        <v>123</v>
      </c>
      <c r="BG66" s="9">
        <v>4</v>
      </c>
      <c r="BH66" s="9" t="s">
        <v>87</v>
      </c>
      <c r="BI66" s="9" t="s">
        <v>21</v>
      </c>
      <c r="BJ66" s="9">
        <v>30</v>
      </c>
      <c r="BK66" s="9">
        <v>5</v>
      </c>
      <c r="BL66" s="9">
        <v>40000</v>
      </c>
      <c r="BM66" s="9">
        <v>82</v>
      </c>
      <c r="BN66" s="9">
        <v>155</v>
      </c>
      <c r="BO66" s="9">
        <v>160</v>
      </c>
      <c r="BP66" s="9">
        <v>158</v>
      </c>
    </row>
    <row r="67" spans="1:73" ht="15.75" thickBot="1" x14ac:dyDescent="0.3">
      <c r="X67" s="1"/>
      <c r="BG67" s="9">
        <v>5</v>
      </c>
      <c r="BH67" s="9" t="s">
        <v>87</v>
      </c>
      <c r="BI67" s="9" t="s">
        <v>22</v>
      </c>
      <c r="BJ67" s="9">
        <v>32</v>
      </c>
      <c r="BK67" s="9">
        <v>6</v>
      </c>
      <c r="BL67" s="9">
        <v>45000</v>
      </c>
      <c r="BM67" s="9">
        <v>85</v>
      </c>
      <c r="BN67" s="9">
        <v>165</v>
      </c>
      <c r="BO67" s="9">
        <v>170</v>
      </c>
      <c r="BP67" s="9">
        <v>168</v>
      </c>
    </row>
    <row r="68" spans="1:73" ht="35.25" thickBot="1" x14ac:dyDescent="0.6">
      <c r="A68" s="22" t="s">
        <v>137</v>
      </c>
      <c r="B68" s="45"/>
      <c r="C68" s="45"/>
      <c r="D68" s="46"/>
      <c r="J68" s="22" t="s">
        <v>158</v>
      </c>
      <c r="K68" s="20"/>
      <c r="L68" s="21"/>
      <c r="X68" s="1"/>
      <c r="AF68" s="5"/>
      <c r="BG68" s="9">
        <v>6</v>
      </c>
      <c r="BH68" s="9" t="s">
        <v>92</v>
      </c>
      <c r="BI68" s="9" t="s">
        <v>21</v>
      </c>
      <c r="BJ68" s="9">
        <v>25</v>
      </c>
      <c r="BK68" s="9">
        <v>2</v>
      </c>
      <c r="BL68" s="9">
        <v>30000</v>
      </c>
      <c r="BM68" s="9">
        <v>72</v>
      </c>
      <c r="BN68" s="9">
        <v>140</v>
      </c>
      <c r="BO68" s="9">
        <v>145</v>
      </c>
      <c r="BP68" s="9">
        <v>142</v>
      </c>
    </row>
    <row r="69" spans="1:73" x14ac:dyDescent="0.25">
      <c r="A69" s="4" t="s">
        <v>138</v>
      </c>
      <c r="B69" t="s">
        <v>167</v>
      </c>
      <c r="C69" t="s">
        <v>150</v>
      </c>
      <c r="D69" t="s">
        <v>151</v>
      </c>
      <c r="E69" t="s">
        <v>152</v>
      </c>
      <c r="F69" t="s">
        <v>154</v>
      </c>
      <c r="G69" t="s">
        <v>155</v>
      </c>
      <c r="X69" s="1"/>
      <c r="BG69" s="9">
        <v>7</v>
      </c>
      <c r="BH69" s="9" t="s">
        <v>92</v>
      </c>
      <c r="BI69" s="9" t="s">
        <v>22</v>
      </c>
      <c r="BJ69" s="9">
        <v>27</v>
      </c>
      <c r="BK69" s="9">
        <v>3</v>
      </c>
      <c r="BL69" s="9">
        <v>34000</v>
      </c>
      <c r="BM69" s="9">
        <v>76</v>
      </c>
      <c r="BN69" s="9">
        <v>150</v>
      </c>
      <c r="BO69" s="9">
        <v>155</v>
      </c>
      <c r="BP69" s="9">
        <v>152</v>
      </c>
    </row>
    <row r="70" spans="1:73" x14ac:dyDescent="0.25">
      <c r="A70" s="4" t="s">
        <v>139</v>
      </c>
      <c r="B70" t="e">
        <f>MODE(Table824[Salary])</f>
        <v>#N/A</v>
      </c>
      <c r="D70" t="s">
        <v>145</v>
      </c>
      <c r="E70">
        <f>COUNTA(#REF!)</f>
        <v>1</v>
      </c>
      <c r="F70">
        <f>COUNTA(#REF!,#REF!)</f>
        <v>2</v>
      </c>
      <c r="J70" s="48" t="s">
        <v>160</v>
      </c>
      <c r="K70" s="48" t="s">
        <v>161</v>
      </c>
      <c r="L70" s="48" t="s">
        <v>162</v>
      </c>
      <c r="X70" s="1"/>
      <c r="AF70" s="2"/>
      <c r="AG70" s="2"/>
      <c r="AH70" s="2"/>
      <c r="AI70" s="2"/>
      <c r="AJ70" s="2"/>
      <c r="AK70" s="2">
        <v>10</v>
      </c>
      <c r="AL70" s="2"/>
      <c r="AM70" s="2"/>
      <c r="AN70" s="2" t="s">
        <v>251</v>
      </c>
      <c r="AO70" s="2" t="s">
        <v>251</v>
      </c>
      <c r="AP70" s="85">
        <v>44105</v>
      </c>
      <c r="AQ70" s="2"/>
      <c r="AR70" s="2"/>
      <c r="AS70" s="2"/>
      <c r="AT70" s="2"/>
      <c r="AU70" s="2"/>
      <c r="AV70" s="2"/>
      <c r="AW70" s="2"/>
      <c r="AX70" s="2"/>
      <c r="BG70" s="9">
        <v>8</v>
      </c>
      <c r="BH70" s="9" t="s">
        <v>92</v>
      </c>
      <c r="BI70" s="9" t="s">
        <v>21</v>
      </c>
      <c r="BJ70" s="9">
        <v>29</v>
      </c>
      <c r="BK70" s="9">
        <v>4</v>
      </c>
      <c r="BL70" s="9">
        <v>39000</v>
      </c>
      <c r="BM70" s="9">
        <v>80</v>
      </c>
      <c r="BN70" s="9">
        <v>160</v>
      </c>
      <c r="BO70" s="9">
        <v>165</v>
      </c>
      <c r="BP70" s="9">
        <v>162</v>
      </c>
    </row>
    <row r="71" spans="1:73" ht="22.5" customHeight="1" x14ac:dyDescent="0.25">
      <c r="A71" s="4" t="s">
        <v>140</v>
      </c>
      <c r="D71" t="s">
        <v>146</v>
      </c>
      <c r="E71">
        <f>COUNTBLANK(J56:J72)</f>
        <v>4</v>
      </c>
      <c r="F71">
        <f>COUNTBLANK(H56:H67)</f>
        <v>3</v>
      </c>
      <c r="J71" s="19" t="s">
        <v>163</v>
      </c>
      <c r="K71" s="19"/>
      <c r="L71" s="47">
        <v>160000</v>
      </c>
      <c r="X71" s="1"/>
      <c r="AF71" s="3"/>
      <c r="AG71" s="3"/>
      <c r="AH71" s="3"/>
      <c r="AI71" s="3"/>
      <c r="AJ71" s="3"/>
      <c r="AK71" s="3"/>
      <c r="AL71" s="3"/>
      <c r="AM71" s="3"/>
      <c r="AN71" s="84">
        <v>44105</v>
      </c>
      <c r="AO71" s="82" t="s">
        <v>252</v>
      </c>
      <c r="BG71" s="9">
        <v>9</v>
      </c>
      <c r="BH71" s="9" t="s">
        <v>92</v>
      </c>
      <c r="BI71" s="9" t="s">
        <v>22</v>
      </c>
      <c r="BJ71" s="9">
        <v>31</v>
      </c>
      <c r="BK71" s="9">
        <v>5</v>
      </c>
      <c r="BL71" s="9">
        <v>44000</v>
      </c>
      <c r="BM71" s="9">
        <v>84</v>
      </c>
      <c r="BN71" s="9">
        <v>170</v>
      </c>
      <c r="BO71" s="9">
        <v>175</v>
      </c>
      <c r="BP71" s="9">
        <v>172</v>
      </c>
    </row>
    <row r="72" spans="1:73" ht="24" customHeight="1" x14ac:dyDescent="0.25">
      <c r="A72" s="4" t="s">
        <v>141</v>
      </c>
      <c r="B72" t="e">
        <f>MEDIAN(#REF!)</f>
        <v>#REF!</v>
      </c>
      <c r="D72" t="s">
        <v>147</v>
      </c>
      <c r="E72" t="e">
        <f>COUNTIF(#REF!,I63)</f>
        <v>#REF!</v>
      </c>
      <c r="F72" t="e">
        <f>COUNTIF(#REF!,I57)</f>
        <v>#REF!</v>
      </c>
      <c r="G72" t="e">
        <f>COUNTIF(#REF!,"&gt;9")</f>
        <v>#REF!</v>
      </c>
      <c r="J72" s="19" t="s">
        <v>164</v>
      </c>
      <c r="K72" s="19"/>
      <c r="L72" s="47">
        <v>230000</v>
      </c>
      <c r="X72" s="1"/>
      <c r="AF72" s="3"/>
      <c r="AG72" s="3"/>
      <c r="AH72" s="3"/>
      <c r="AI72" s="3"/>
      <c r="AJ72" s="3"/>
      <c r="AK72" s="3"/>
      <c r="AL72" s="3"/>
      <c r="AM72" s="3"/>
      <c r="AN72" s="3"/>
      <c r="AO72" s="83">
        <v>44105</v>
      </c>
      <c r="BG72" s="9">
        <v>10</v>
      </c>
      <c r="BH72" s="9" t="s">
        <v>92</v>
      </c>
      <c r="BI72" s="9" t="s">
        <v>21</v>
      </c>
      <c r="BJ72" s="9">
        <v>33</v>
      </c>
      <c r="BK72" s="9">
        <v>6</v>
      </c>
      <c r="BL72" s="9">
        <v>49000</v>
      </c>
      <c r="BM72" s="9">
        <v>88</v>
      </c>
      <c r="BN72" s="9">
        <v>180</v>
      </c>
      <c r="BO72" s="9">
        <v>185</v>
      </c>
      <c r="BP72" s="9">
        <v>182</v>
      </c>
    </row>
    <row r="73" spans="1:73" x14ac:dyDescent="0.25">
      <c r="A73" s="4" t="s">
        <v>142</v>
      </c>
      <c r="B73" t="e">
        <f>STDEV(#REF!)</f>
        <v>#REF!</v>
      </c>
      <c r="D73" t="s">
        <v>148</v>
      </c>
      <c r="E73" t="e">
        <f>COUNTIFS(#REF!,I63,#REF!,C63,#REF!,D63)</f>
        <v>#REF!</v>
      </c>
      <c r="F73" t="e">
        <f>COUNTIFS(#REF!,"&gt;=70000",#REF!,"Male",#REF!,"Delhi")</f>
        <v>#REF!</v>
      </c>
      <c r="G73" t="e">
        <f>COUNTIFS(#REF!,I61,#REF!,C56)</f>
        <v>#REF!</v>
      </c>
      <c r="J73" s="19" t="s">
        <v>165</v>
      </c>
      <c r="K73" s="19"/>
      <c r="L73" s="47">
        <v>190000</v>
      </c>
      <c r="X73" s="1"/>
      <c r="AF73" s="3"/>
      <c r="AG73" s="3"/>
      <c r="AH73" s="3"/>
      <c r="AI73" s="3"/>
      <c r="AJ73" s="3"/>
      <c r="AK73" s="3"/>
      <c r="AL73" s="3"/>
      <c r="AM73" s="3"/>
      <c r="AN73" s="3"/>
      <c r="AO73" s="3"/>
    </row>
    <row r="74" spans="1:73" x14ac:dyDescent="0.25">
      <c r="A74" s="4" t="s">
        <v>149</v>
      </c>
      <c r="B74" t="e">
        <f>CORREL(#REF!,#REF!)</f>
        <v>#REF!</v>
      </c>
      <c r="X74" s="1"/>
      <c r="AF74" s="3"/>
      <c r="AG74" s="3"/>
      <c r="AH74" s="3"/>
      <c r="AI74" s="3"/>
      <c r="AJ74" s="3"/>
      <c r="AK74" s="3"/>
      <c r="AL74" s="3"/>
      <c r="AM74" s="3"/>
      <c r="AN74" s="3"/>
      <c r="AO74" s="3"/>
    </row>
    <row r="75" spans="1:73" x14ac:dyDescent="0.25">
      <c r="A75" s="4" t="s">
        <v>143</v>
      </c>
      <c r="B75" t="e">
        <f>VAR(#REF!,#REF!)</f>
        <v>#REF!</v>
      </c>
      <c r="X75" s="1"/>
      <c r="AF75" s="3"/>
      <c r="AG75" s="3"/>
      <c r="AH75" s="3"/>
      <c r="AI75" s="3"/>
      <c r="AJ75" s="3"/>
      <c r="AK75" s="3"/>
      <c r="AL75" s="3"/>
      <c r="AM75" s="3"/>
      <c r="AN75" s="3"/>
      <c r="AO75" s="3"/>
      <c r="BG75" t="s">
        <v>295</v>
      </c>
      <c r="BO75" s="97" t="s">
        <v>323</v>
      </c>
      <c r="BP75" s="97" t="s">
        <v>324</v>
      </c>
      <c r="BQ75" s="97" t="s">
        <v>325</v>
      </c>
      <c r="BR75" s="97" t="s">
        <v>326</v>
      </c>
      <c r="BS75" s="97" t="s">
        <v>327</v>
      </c>
      <c r="BT75" s="97" t="s">
        <v>328</v>
      </c>
    </row>
    <row r="76" spans="1:73" x14ac:dyDescent="0.25">
      <c r="A76" s="4" t="s">
        <v>144</v>
      </c>
      <c r="B76" t="e">
        <f>_xlfn.STDEV.S(#REF!,#REF!)</f>
        <v>#REF!</v>
      </c>
      <c r="X76" s="1"/>
      <c r="AF76" s="3"/>
      <c r="AG76" s="3"/>
      <c r="AH76" s="3"/>
      <c r="AI76" s="3"/>
      <c r="AJ76" s="3"/>
      <c r="AK76" s="3"/>
      <c r="AL76" s="3"/>
      <c r="AM76" s="3"/>
      <c r="AN76" s="3"/>
      <c r="AO76" s="3"/>
      <c r="BO76" s="9">
        <v>120</v>
      </c>
      <c r="BP76" s="9">
        <v>130</v>
      </c>
      <c r="BQ76" s="9">
        <v>125</v>
      </c>
      <c r="BR76" s="9">
        <v>140</v>
      </c>
      <c r="BS76" s="9">
        <v>145</v>
      </c>
      <c r="BT76" s="9">
        <v>142</v>
      </c>
      <c r="BU76" s="105"/>
    </row>
    <row r="77" spans="1:73" x14ac:dyDescent="0.25">
      <c r="A77" s="4"/>
      <c r="B77" t="e">
        <f>_xlfn.VAR.S(#REF!)</f>
        <v>#REF!</v>
      </c>
      <c r="X77" s="1"/>
      <c r="AF77" s="3"/>
      <c r="AG77" s="3"/>
      <c r="AH77" s="3"/>
      <c r="AI77" s="3"/>
      <c r="AJ77" s="3"/>
      <c r="AK77" s="3"/>
      <c r="AL77" s="3"/>
      <c r="AM77" s="3"/>
      <c r="AN77" s="3"/>
      <c r="AO77" s="3"/>
      <c r="BG77" t="s">
        <v>266</v>
      </c>
      <c r="BO77" s="9">
        <v>135</v>
      </c>
      <c r="BP77" s="9">
        <v>140</v>
      </c>
      <c r="BQ77" s="9">
        <v>138</v>
      </c>
      <c r="BR77" s="9">
        <v>150</v>
      </c>
      <c r="BS77" s="9">
        <v>155</v>
      </c>
      <c r="BT77" s="9">
        <v>152</v>
      </c>
      <c r="BU77" s="105"/>
    </row>
    <row r="78" spans="1:73" x14ac:dyDescent="0.25">
      <c r="X78" s="1"/>
      <c r="AF78" s="3"/>
      <c r="AG78" s="3"/>
      <c r="AH78" s="3"/>
      <c r="AI78" s="3"/>
      <c r="AJ78" s="3"/>
      <c r="AK78" s="3"/>
      <c r="AL78" s="3"/>
      <c r="AM78" s="3"/>
      <c r="AN78" s="3"/>
      <c r="AO78" s="3"/>
      <c r="BG78" s="108" t="s">
        <v>296</v>
      </c>
      <c r="BH78" s="108" t="s">
        <v>267</v>
      </c>
      <c r="BI78" s="108" t="s">
        <v>268</v>
      </c>
      <c r="BJ78" s="108" t="s">
        <v>166</v>
      </c>
      <c r="BK78" s="108" t="s">
        <v>269</v>
      </c>
      <c r="BO78" s="9">
        <v>145</v>
      </c>
      <c r="BP78" s="9">
        <v>150</v>
      </c>
      <c r="BQ78" s="9">
        <v>148</v>
      </c>
      <c r="BR78" s="9">
        <v>160</v>
      </c>
      <c r="BS78" s="9">
        <v>165</v>
      </c>
      <c r="BT78" s="9">
        <v>162</v>
      </c>
      <c r="BU78" s="105"/>
    </row>
    <row r="79" spans="1:73" x14ac:dyDescent="0.25">
      <c r="X79" s="1"/>
      <c r="AF79" s="3"/>
      <c r="AG79" s="3"/>
      <c r="AH79" s="3"/>
      <c r="AI79" s="3"/>
      <c r="AJ79" s="3"/>
      <c r="AK79" s="3"/>
      <c r="AL79" s="3"/>
      <c r="AM79" s="3"/>
      <c r="AN79" s="3"/>
      <c r="AO79" s="3"/>
      <c r="BG79" s="109" t="s">
        <v>280</v>
      </c>
      <c r="BH79" s="109">
        <v>10</v>
      </c>
      <c r="BI79" s="109">
        <v>795</v>
      </c>
      <c r="BJ79" s="109">
        <v>79.5</v>
      </c>
      <c r="BK79" s="109">
        <v>171.16666666666666</v>
      </c>
      <c r="BO79" s="9">
        <v>155</v>
      </c>
      <c r="BP79" s="9">
        <v>160</v>
      </c>
      <c r="BQ79" s="9">
        <v>158</v>
      </c>
      <c r="BR79" s="9">
        <v>170</v>
      </c>
      <c r="BS79" s="9">
        <v>175</v>
      </c>
      <c r="BT79" s="9">
        <v>172</v>
      </c>
      <c r="BU79" s="105"/>
    </row>
    <row r="80" spans="1:73" x14ac:dyDescent="0.25">
      <c r="X80" s="1"/>
      <c r="AF80" s="3"/>
      <c r="AG80" s="3"/>
      <c r="AH80" s="3"/>
      <c r="AI80" s="3"/>
      <c r="AJ80" s="3"/>
      <c r="AK80" s="3"/>
      <c r="AL80" s="3"/>
      <c r="AM80" s="3"/>
      <c r="AN80" s="3"/>
      <c r="AO80" s="3"/>
      <c r="BG80" s="109" t="s">
        <v>281</v>
      </c>
      <c r="BH80" s="109">
        <v>10</v>
      </c>
      <c r="BI80" s="109">
        <v>823</v>
      </c>
      <c r="BJ80" s="109">
        <v>82.3</v>
      </c>
      <c r="BK80" s="109">
        <v>142.01111111111175</v>
      </c>
      <c r="BO80" s="9">
        <v>165</v>
      </c>
      <c r="BP80" s="9">
        <v>170</v>
      </c>
      <c r="BQ80" s="9">
        <v>168</v>
      </c>
      <c r="BR80" s="9">
        <v>180</v>
      </c>
      <c r="BS80" s="9">
        <v>185</v>
      </c>
      <c r="BT80" s="9">
        <v>182</v>
      </c>
      <c r="BU80" s="105"/>
    </row>
    <row r="81" spans="24:74" x14ac:dyDescent="0.25">
      <c r="X81" s="1"/>
      <c r="BG81" s="109" t="s">
        <v>282</v>
      </c>
      <c r="BH81" s="109">
        <v>10</v>
      </c>
      <c r="BI81" s="109">
        <v>793</v>
      </c>
      <c r="BJ81" s="109">
        <v>79.3</v>
      </c>
      <c r="BK81" s="109">
        <v>149.56666666666649</v>
      </c>
      <c r="BO81" s="101"/>
      <c r="BP81" s="101"/>
      <c r="BQ81" s="101"/>
      <c r="BR81" s="101"/>
      <c r="BS81" s="105"/>
      <c r="BT81" s="105"/>
      <c r="BU81" s="105"/>
    </row>
    <row r="82" spans="24:74" x14ac:dyDescent="0.25">
      <c r="X82" s="1"/>
      <c r="BO82" s="101"/>
      <c r="BP82" s="101"/>
      <c r="BQ82" s="101"/>
      <c r="BR82" s="101"/>
      <c r="BS82" s="105"/>
      <c r="BT82" s="105"/>
      <c r="BU82" s="105"/>
    </row>
    <row r="83" spans="24:74" x14ac:dyDescent="0.25">
      <c r="X83" s="1"/>
      <c r="BO83" s="101"/>
      <c r="BP83" s="101"/>
      <c r="BQ83" s="101"/>
      <c r="BR83" s="101"/>
      <c r="BS83" s="105"/>
      <c r="BT83" s="105"/>
      <c r="BU83" s="105"/>
    </row>
    <row r="84" spans="24:74" ht="15.75" thickBot="1" x14ac:dyDescent="0.3">
      <c r="X84" s="1"/>
      <c r="BG84" t="s">
        <v>283</v>
      </c>
      <c r="BO84" t="s">
        <v>299</v>
      </c>
    </row>
    <row r="85" spans="24:74" x14ac:dyDescent="0.25">
      <c r="X85" s="1"/>
      <c r="BG85" s="110" t="s">
        <v>284</v>
      </c>
      <c r="BH85" s="111" t="s">
        <v>285</v>
      </c>
      <c r="BI85" s="111" t="s">
        <v>286</v>
      </c>
      <c r="BJ85" s="111" t="s">
        <v>287</v>
      </c>
      <c r="BK85" s="111" t="s">
        <v>288</v>
      </c>
      <c r="BL85" s="111" t="s">
        <v>289</v>
      </c>
      <c r="BM85" s="112" t="s">
        <v>290</v>
      </c>
    </row>
    <row r="86" spans="24:74" x14ac:dyDescent="0.25">
      <c r="X86" s="1"/>
      <c r="BG86" s="113" t="s">
        <v>297</v>
      </c>
      <c r="BH86" s="109">
        <v>56.266666666666424</v>
      </c>
      <c r="BI86" s="109">
        <v>2</v>
      </c>
      <c r="BJ86" s="109">
        <v>28.133333333333212</v>
      </c>
      <c r="BK86" s="109">
        <v>0.1823900881215926</v>
      </c>
      <c r="BL86" s="109">
        <v>0.83429435545806307</v>
      </c>
      <c r="BM86" s="114">
        <v>3.3541308285291991</v>
      </c>
      <c r="BO86" t="s">
        <v>266</v>
      </c>
      <c r="BP86" t="s">
        <v>321</v>
      </c>
      <c r="BQ86" t="s">
        <v>322</v>
      </c>
      <c r="BR86" t="s">
        <v>294</v>
      </c>
    </row>
    <row r="87" spans="24:74" ht="15.75" thickBot="1" x14ac:dyDescent="0.3">
      <c r="X87" s="1"/>
      <c r="BG87" s="113" t="s">
        <v>298</v>
      </c>
      <c r="BH87" s="109">
        <v>4164.7</v>
      </c>
      <c r="BI87" s="109">
        <v>27</v>
      </c>
      <c r="BJ87" s="109">
        <v>154.24814814814815</v>
      </c>
      <c r="BK87" s="109"/>
      <c r="BL87" s="109"/>
      <c r="BM87" s="114"/>
      <c r="BO87" s="104">
        <v>120</v>
      </c>
      <c r="BP87" s="104"/>
      <c r="BQ87" s="104"/>
      <c r="BR87" s="104"/>
    </row>
    <row r="88" spans="24:74" ht="15.75" thickBot="1" x14ac:dyDescent="0.3">
      <c r="X88" s="1"/>
      <c r="BG88" s="113"/>
      <c r="BH88" s="109"/>
      <c r="BI88" s="109"/>
      <c r="BJ88" s="109"/>
      <c r="BK88" s="109"/>
      <c r="BL88" s="109"/>
      <c r="BM88" s="114"/>
      <c r="BO88" s="101" t="s">
        <v>267</v>
      </c>
      <c r="BP88" s="101">
        <v>5</v>
      </c>
      <c r="BQ88" s="101">
        <v>5</v>
      </c>
      <c r="BR88" s="101">
        <v>10</v>
      </c>
    </row>
    <row r="89" spans="24:74" ht="15.75" thickBot="1" x14ac:dyDescent="0.3">
      <c r="X89" s="1"/>
      <c r="BG89" s="115" t="s">
        <v>294</v>
      </c>
      <c r="BH89" s="116">
        <v>4220.9666666666662</v>
      </c>
      <c r="BI89" s="116">
        <v>29</v>
      </c>
      <c r="BJ89" s="116"/>
      <c r="BK89" s="116"/>
      <c r="BL89" s="116"/>
      <c r="BM89" s="117"/>
      <c r="BO89" s="101" t="s">
        <v>268</v>
      </c>
      <c r="BP89" s="101">
        <v>750</v>
      </c>
      <c r="BQ89" s="101">
        <v>737</v>
      </c>
      <c r="BR89" s="101">
        <v>1487</v>
      </c>
      <c r="BT89" s="103"/>
      <c r="BU89" s="103" t="s">
        <v>320</v>
      </c>
      <c r="BV89" s="103" t="s">
        <v>321</v>
      </c>
    </row>
    <row r="90" spans="24:74" x14ac:dyDescent="0.25">
      <c r="X90" s="1"/>
      <c r="BO90" s="101" t="s">
        <v>166</v>
      </c>
      <c r="BP90" s="101">
        <v>150</v>
      </c>
      <c r="BQ90" s="101">
        <v>147.4</v>
      </c>
      <c r="BR90" s="101">
        <v>148.69999999999999</v>
      </c>
      <c r="BT90" s="101" t="s">
        <v>320</v>
      </c>
      <c r="BU90" s="101">
        <v>1</v>
      </c>
      <c r="BV90" s="101"/>
    </row>
    <row r="91" spans="24:74" ht="15.75" thickBot="1" x14ac:dyDescent="0.3">
      <c r="X91" s="1"/>
      <c r="BO91" s="101" t="s">
        <v>269</v>
      </c>
      <c r="BP91" s="101">
        <v>250</v>
      </c>
      <c r="BQ91" s="101">
        <v>281.79999999999927</v>
      </c>
      <c r="BR91" s="101">
        <v>238.23333333333338</v>
      </c>
      <c r="BT91" s="102" t="s">
        <v>321</v>
      </c>
      <c r="BU91" s="102">
        <v>0.99735279839618551</v>
      </c>
      <c r="BV91" s="102">
        <v>1</v>
      </c>
    </row>
    <row r="92" spans="24:74" x14ac:dyDescent="0.25">
      <c r="X92" s="1"/>
      <c r="BO92" s="101"/>
      <c r="BP92" s="101"/>
      <c r="BQ92" s="101"/>
      <c r="BR92" s="101"/>
    </row>
    <row r="93" spans="24:74" ht="15.75" thickBot="1" x14ac:dyDescent="0.3">
      <c r="X93" s="1"/>
      <c r="BO93" s="104">
        <v>140</v>
      </c>
      <c r="BP93" s="104"/>
      <c r="BQ93" s="104"/>
      <c r="BR93" s="104"/>
    </row>
    <row r="94" spans="24:74" x14ac:dyDescent="0.25">
      <c r="X94" s="1"/>
      <c r="BO94" s="101" t="s">
        <v>267</v>
      </c>
      <c r="BP94" s="101">
        <v>5</v>
      </c>
      <c r="BQ94" s="101">
        <v>5</v>
      </c>
      <c r="BR94" s="101">
        <v>10</v>
      </c>
    </row>
    <row r="95" spans="24:74" x14ac:dyDescent="0.25">
      <c r="X95" s="1"/>
      <c r="BG95" t="s">
        <v>265</v>
      </c>
      <c r="BO95" s="101" t="s">
        <v>268</v>
      </c>
      <c r="BP95" s="101">
        <v>825</v>
      </c>
      <c r="BQ95" s="101">
        <v>810</v>
      </c>
      <c r="BR95" s="101">
        <v>1635</v>
      </c>
    </row>
    <row r="96" spans="24:74" ht="39.75" thickBot="1" x14ac:dyDescent="0.65">
      <c r="X96" s="1"/>
      <c r="AG96" s="6"/>
      <c r="BO96" s="101" t="s">
        <v>166</v>
      </c>
      <c r="BP96" s="101">
        <v>165</v>
      </c>
      <c r="BQ96" s="101">
        <v>162</v>
      </c>
      <c r="BR96" s="101">
        <v>163.5</v>
      </c>
    </row>
    <row r="97" spans="24:73" ht="34.5" x14ac:dyDescent="0.55000000000000004">
      <c r="X97" s="1"/>
      <c r="AG97" s="5"/>
      <c r="BG97" s="103" t="s">
        <v>266</v>
      </c>
      <c r="BH97" s="103" t="s">
        <v>267</v>
      </c>
      <c r="BI97" s="103" t="s">
        <v>268</v>
      </c>
      <c r="BJ97" s="103" t="s">
        <v>166</v>
      </c>
      <c r="BK97" s="103" t="s">
        <v>269</v>
      </c>
      <c r="BO97" s="101" t="s">
        <v>269</v>
      </c>
      <c r="BP97" s="101">
        <v>250</v>
      </c>
      <c r="BQ97" s="101">
        <v>250</v>
      </c>
      <c r="BR97" s="101">
        <v>224.72222222222223</v>
      </c>
    </row>
    <row r="98" spans="24:73" x14ac:dyDescent="0.25">
      <c r="X98" s="1"/>
      <c r="BG98" s="101">
        <v>120</v>
      </c>
      <c r="BH98" s="101">
        <v>2</v>
      </c>
      <c r="BI98" s="101">
        <v>255</v>
      </c>
      <c r="BJ98" s="101">
        <v>127.5</v>
      </c>
      <c r="BK98" s="101">
        <v>12.5</v>
      </c>
      <c r="BO98" s="101"/>
      <c r="BP98" s="101"/>
      <c r="BQ98" s="101"/>
      <c r="BR98" s="101"/>
    </row>
    <row r="99" spans="24:73" ht="15.75" thickBot="1" x14ac:dyDescent="0.3">
      <c r="X99" s="1"/>
      <c r="BG99" s="101">
        <v>135</v>
      </c>
      <c r="BH99" s="101">
        <v>2</v>
      </c>
      <c r="BI99" s="101">
        <v>278</v>
      </c>
      <c r="BJ99" s="101">
        <v>139</v>
      </c>
      <c r="BK99" s="101">
        <v>2</v>
      </c>
      <c r="BO99" s="104" t="s">
        <v>294</v>
      </c>
      <c r="BP99" s="104"/>
      <c r="BQ99" s="104"/>
      <c r="BR99" s="104"/>
    </row>
    <row r="100" spans="24:73" ht="29.25" customHeight="1" x14ac:dyDescent="0.25">
      <c r="X100" s="1"/>
      <c r="AI100" s="7"/>
      <c r="BG100" s="101">
        <v>145</v>
      </c>
      <c r="BH100" s="101">
        <v>2</v>
      </c>
      <c r="BI100" s="101">
        <v>298</v>
      </c>
      <c r="BJ100" s="101">
        <v>149</v>
      </c>
      <c r="BK100" s="101">
        <v>2</v>
      </c>
      <c r="BO100" s="101" t="s">
        <v>267</v>
      </c>
      <c r="BP100" s="101">
        <v>10</v>
      </c>
      <c r="BQ100" s="101">
        <v>10</v>
      </c>
      <c r="BR100" s="101"/>
    </row>
    <row r="101" spans="24:73" ht="31.5" customHeight="1" x14ac:dyDescent="0.25">
      <c r="X101" s="1"/>
      <c r="AI101" s="7"/>
      <c r="BG101" s="101">
        <v>155</v>
      </c>
      <c r="BH101" s="101">
        <v>2</v>
      </c>
      <c r="BI101" s="101">
        <v>318</v>
      </c>
      <c r="BJ101" s="101">
        <v>159</v>
      </c>
      <c r="BK101" s="101">
        <v>2</v>
      </c>
      <c r="BO101" s="101" t="s">
        <v>268</v>
      </c>
      <c r="BP101" s="101">
        <v>1575</v>
      </c>
      <c r="BQ101" s="101">
        <v>1547</v>
      </c>
      <c r="BR101" s="101"/>
    </row>
    <row r="102" spans="24:73" ht="29.25" customHeight="1" x14ac:dyDescent="0.25">
      <c r="X102" s="1"/>
      <c r="AI102" s="7"/>
      <c r="BG102" s="101">
        <v>165</v>
      </c>
      <c r="BH102" s="101">
        <v>2</v>
      </c>
      <c r="BI102" s="101">
        <v>338</v>
      </c>
      <c r="BJ102" s="101">
        <v>169</v>
      </c>
      <c r="BK102" s="101">
        <v>2</v>
      </c>
      <c r="BO102" s="101" t="s">
        <v>166</v>
      </c>
      <c r="BP102" s="101">
        <v>157.5</v>
      </c>
      <c r="BQ102" s="101">
        <v>154.69999999999999</v>
      </c>
      <c r="BR102" s="101"/>
    </row>
    <row r="103" spans="24:73" x14ac:dyDescent="0.25">
      <c r="X103" s="1"/>
      <c r="BG103" s="101">
        <v>140</v>
      </c>
      <c r="BH103" s="101">
        <v>2</v>
      </c>
      <c r="BI103" s="101">
        <v>287</v>
      </c>
      <c r="BJ103" s="101">
        <v>143.5</v>
      </c>
      <c r="BK103" s="101">
        <v>4.5</v>
      </c>
      <c r="BO103" s="101" t="s">
        <v>269</v>
      </c>
      <c r="BP103" s="101">
        <v>284.72222222222223</v>
      </c>
      <c r="BQ103" s="101">
        <v>295.56666666666729</v>
      </c>
      <c r="BR103" s="101"/>
    </row>
    <row r="104" spans="24:73" x14ac:dyDescent="0.25">
      <c r="X104" s="1"/>
      <c r="BG104" s="101">
        <v>150</v>
      </c>
      <c r="BH104" s="101">
        <v>2</v>
      </c>
      <c r="BI104" s="101">
        <v>307</v>
      </c>
      <c r="BJ104" s="101">
        <v>153.5</v>
      </c>
      <c r="BK104" s="101">
        <v>4.5</v>
      </c>
      <c r="BO104" s="101"/>
      <c r="BP104" s="101"/>
      <c r="BQ104" s="101"/>
      <c r="BR104" s="101"/>
    </row>
    <row r="105" spans="24:73" x14ac:dyDescent="0.25">
      <c r="X105" s="1"/>
      <c r="BG105" s="101">
        <v>160</v>
      </c>
      <c r="BH105" s="101">
        <v>2</v>
      </c>
      <c r="BI105" s="101">
        <v>327</v>
      </c>
      <c r="BJ105" s="101">
        <v>163.5</v>
      </c>
      <c r="BK105" s="101">
        <v>4.5</v>
      </c>
    </row>
    <row r="106" spans="24:73" ht="15.75" thickBot="1" x14ac:dyDescent="0.3">
      <c r="X106" s="1"/>
      <c r="BG106" s="101">
        <v>170</v>
      </c>
      <c r="BH106" s="101">
        <v>2</v>
      </c>
      <c r="BI106" s="101">
        <v>347</v>
      </c>
      <c r="BJ106" s="101">
        <v>173.5</v>
      </c>
      <c r="BK106" s="101">
        <v>4.5</v>
      </c>
      <c r="BO106" t="s">
        <v>283</v>
      </c>
    </row>
    <row r="107" spans="24:73" x14ac:dyDescent="0.25">
      <c r="X107" s="1"/>
      <c r="BG107" s="101">
        <v>180</v>
      </c>
      <c r="BH107" s="101">
        <v>2</v>
      </c>
      <c r="BI107" s="101">
        <v>367</v>
      </c>
      <c r="BJ107" s="101">
        <v>183.5</v>
      </c>
      <c r="BK107" s="101">
        <v>4.5</v>
      </c>
      <c r="BO107" s="103" t="s">
        <v>284</v>
      </c>
      <c r="BP107" s="103" t="s">
        <v>285</v>
      </c>
      <c r="BQ107" s="103" t="s">
        <v>286</v>
      </c>
      <c r="BR107" s="103" t="s">
        <v>287</v>
      </c>
      <c r="BS107" s="103" t="s">
        <v>288</v>
      </c>
      <c r="BT107" s="103" t="s">
        <v>289</v>
      </c>
      <c r="BU107" s="103" t="s">
        <v>290</v>
      </c>
    </row>
    <row r="108" spans="24:73" x14ac:dyDescent="0.25">
      <c r="X108" s="1"/>
      <c r="BG108" s="101"/>
      <c r="BH108" s="101"/>
      <c r="BI108" s="101"/>
      <c r="BJ108" s="101"/>
      <c r="BK108" s="101"/>
      <c r="BO108" s="101" t="s">
        <v>300</v>
      </c>
      <c r="BP108" s="101">
        <v>1095.1999999999998</v>
      </c>
      <c r="BQ108" s="101">
        <v>1</v>
      </c>
      <c r="BR108" s="101">
        <v>1095.1999999999998</v>
      </c>
      <c r="BS108" s="101">
        <v>4.2457840666795885</v>
      </c>
      <c r="BT108" s="101">
        <v>5.5993814969888013E-2</v>
      </c>
      <c r="BU108" s="101">
        <v>4.4939984776663584</v>
      </c>
    </row>
    <row r="109" spans="24:73" x14ac:dyDescent="0.25">
      <c r="X109" s="1"/>
      <c r="BG109" s="101" t="s">
        <v>321</v>
      </c>
      <c r="BH109" s="101">
        <v>10</v>
      </c>
      <c r="BI109" s="101">
        <v>1575</v>
      </c>
      <c r="BJ109" s="101">
        <v>157.5</v>
      </c>
      <c r="BK109" s="101">
        <v>284.72222222222223</v>
      </c>
      <c r="BO109" s="101" t="s">
        <v>292</v>
      </c>
      <c r="BP109" s="101">
        <v>39.199999999999818</v>
      </c>
      <c r="BQ109" s="101">
        <v>1</v>
      </c>
      <c r="BR109" s="101">
        <v>39.199999999999818</v>
      </c>
      <c r="BS109" s="101">
        <v>0.15196743554952441</v>
      </c>
      <c r="BT109" s="101">
        <v>0.70180255255442159</v>
      </c>
      <c r="BU109" s="101">
        <v>4.4939984776663584</v>
      </c>
    </row>
    <row r="110" spans="24:73" ht="15.75" thickBot="1" x14ac:dyDescent="0.3">
      <c r="X110" s="1"/>
      <c r="BG110" s="102" t="s">
        <v>322</v>
      </c>
      <c r="BH110" s="102">
        <v>10</v>
      </c>
      <c r="BI110" s="102">
        <v>1547</v>
      </c>
      <c r="BJ110" s="102">
        <v>154.69999999999999</v>
      </c>
      <c r="BK110" s="102">
        <v>295.56666666666729</v>
      </c>
      <c r="BO110" s="101" t="s">
        <v>301</v>
      </c>
      <c r="BP110" s="101">
        <v>0.2000000000007276</v>
      </c>
      <c r="BQ110" s="101">
        <v>1</v>
      </c>
      <c r="BR110" s="101">
        <v>0.2000000000007276</v>
      </c>
      <c r="BS110" s="101">
        <v>7.753440589289692E-4</v>
      </c>
      <c r="BT110" s="101">
        <v>0.97813012933859078</v>
      </c>
      <c r="BU110" s="101">
        <v>4.4939984776663584</v>
      </c>
    </row>
    <row r="111" spans="24:73" x14ac:dyDescent="0.25">
      <c r="X111" s="1"/>
      <c r="BO111" s="101" t="s">
        <v>302</v>
      </c>
      <c r="BP111" s="101">
        <v>4127.2</v>
      </c>
      <c r="BQ111" s="101">
        <v>16</v>
      </c>
      <c r="BR111" s="101">
        <v>257.95</v>
      </c>
      <c r="BS111" s="101"/>
      <c r="BT111" s="101"/>
      <c r="BU111" s="101"/>
    </row>
    <row r="112" spans="24:73" x14ac:dyDescent="0.25">
      <c r="X112" s="1"/>
      <c r="BO112" s="101"/>
      <c r="BP112" s="101"/>
      <c r="BQ112" s="101"/>
      <c r="BR112" s="101"/>
      <c r="BS112" s="101"/>
      <c r="BT112" s="101"/>
      <c r="BU112" s="101"/>
    </row>
    <row r="113" spans="24:73" ht="15.75" thickBot="1" x14ac:dyDescent="0.3">
      <c r="X113" s="1"/>
      <c r="BG113" t="s">
        <v>283</v>
      </c>
      <c r="BO113" s="102" t="s">
        <v>294</v>
      </c>
      <c r="BP113" s="102">
        <v>5261.8</v>
      </c>
      <c r="BQ113" s="102">
        <v>19</v>
      </c>
      <c r="BR113" s="102"/>
      <c r="BS113" s="102"/>
      <c r="BT113" s="102"/>
      <c r="BU113" s="102"/>
    </row>
    <row r="114" spans="24:73" x14ac:dyDescent="0.25">
      <c r="X114" s="1"/>
      <c r="BG114" s="103" t="s">
        <v>284</v>
      </c>
      <c r="BH114" s="103" t="s">
        <v>285</v>
      </c>
      <c r="BI114" s="103" t="s">
        <v>286</v>
      </c>
      <c r="BJ114" s="103" t="s">
        <v>287</v>
      </c>
      <c r="BK114" s="103" t="s">
        <v>288</v>
      </c>
      <c r="BL114" s="103" t="s">
        <v>289</v>
      </c>
      <c r="BM114" s="103" t="s">
        <v>290</v>
      </c>
    </row>
    <row r="115" spans="24:73" x14ac:dyDescent="0.25">
      <c r="X115" s="1"/>
      <c r="BG115" s="101" t="s">
        <v>291</v>
      </c>
      <c r="BH115" s="101">
        <v>5218.8</v>
      </c>
      <c r="BI115" s="101">
        <v>9</v>
      </c>
      <c r="BJ115" s="101">
        <v>579.86666666666667</v>
      </c>
      <c r="BK115" s="101">
        <v>1373.368421052566</v>
      </c>
      <c r="BL115" s="101">
        <v>4.9963183899191769E-13</v>
      </c>
      <c r="BM115" s="101">
        <v>3.17889310445827</v>
      </c>
    </row>
    <row r="116" spans="24:73" x14ac:dyDescent="0.25">
      <c r="X116" s="1"/>
      <c r="BG116" s="101" t="s">
        <v>292</v>
      </c>
      <c r="BH116" s="101">
        <v>39.199999999999818</v>
      </c>
      <c r="BI116" s="101">
        <v>1</v>
      </c>
      <c r="BJ116" s="101">
        <v>39.199999999999818</v>
      </c>
      <c r="BK116" s="101">
        <v>92.842105263153016</v>
      </c>
      <c r="BL116" s="101">
        <v>4.8699928082357057E-6</v>
      </c>
      <c r="BM116" s="101">
        <v>5.1173550291992269</v>
      </c>
    </row>
    <row r="117" spans="24:73" x14ac:dyDescent="0.25">
      <c r="X117" s="1"/>
      <c r="BG117" s="101" t="s">
        <v>293</v>
      </c>
      <c r="BH117" s="101">
        <v>3.8000000000001819</v>
      </c>
      <c r="BI117" s="101">
        <v>9</v>
      </c>
      <c r="BJ117" s="101">
        <v>0.42222222222224243</v>
      </c>
      <c r="BK117" s="101"/>
      <c r="BL117" s="101"/>
      <c r="BM117" s="101"/>
    </row>
    <row r="118" spans="24:73" x14ac:dyDescent="0.25">
      <c r="X118" s="1"/>
      <c r="BG118" s="101"/>
      <c r="BH118" s="101"/>
      <c r="BI118" s="101"/>
      <c r="BJ118" s="101"/>
      <c r="BK118" s="101"/>
      <c r="BL118" s="101"/>
      <c r="BM118" s="101"/>
    </row>
    <row r="119" spans="24:73" ht="15.75" thickBot="1" x14ac:dyDescent="0.3">
      <c r="X119" s="1"/>
      <c r="BG119" s="102" t="s">
        <v>294</v>
      </c>
      <c r="BH119" s="102">
        <v>5261.8</v>
      </c>
      <c r="BI119" s="102">
        <v>19</v>
      </c>
      <c r="BJ119" s="102"/>
      <c r="BK119" s="102"/>
      <c r="BL119" s="102"/>
      <c r="BM119" s="102"/>
    </row>
    <row r="120" spans="24:73" x14ac:dyDescent="0.25">
      <c r="X120" s="1"/>
    </row>
    <row r="121" spans="24:73" x14ac:dyDescent="0.25">
      <c r="X121" s="1"/>
    </row>
    <row r="122" spans="24:73" x14ac:dyDescent="0.25">
      <c r="X122" s="1"/>
    </row>
    <row r="123" spans="24:73" x14ac:dyDescent="0.25">
      <c r="X123" s="1"/>
    </row>
    <row r="124" spans="24:73" x14ac:dyDescent="0.25">
      <c r="X124" s="1"/>
    </row>
    <row r="125" spans="24:73" x14ac:dyDescent="0.25">
      <c r="X125" s="1"/>
    </row>
    <row r="126" spans="24:73" x14ac:dyDescent="0.25">
      <c r="X126" s="1"/>
    </row>
    <row r="127" spans="24:73" x14ac:dyDescent="0.25">
      <c r="X127" s="1"/>
    </row>
    <row r="128" spans="24:73" x14ac:dyDescent="0.25">
      <c r="X128" s="1"/>
    </row>
    <row r="129" spans="24:24" x14ac:dyDescent="0.25">
      <c r="X129" s="1"/>
    </row>
    <row r="130" spans="24:24" x14ac:dyDescent="0.25">
      <c r="X130" s="1"/>
    </row>
    <row r="131" spans="24:24" x14ac:dyDescent="0.25">
      <c r="X131" s="1"/>
    </row>
    <row r="132" spans="24:24" x14ac:dyDescent="0.25">
      <c r="X132" s="1"/>
    </row>
    <row r="133" spans="24:24" x14ac:dyDescent="0.25">
      <c r="X133" s="1"/>
    </row>
    <row r="134" spans="24:24" x14ac:dyDescent="0.25">
      <c r="X134" s="1"/>
    </row>
    <row r="135" spans="24:24" x14ac:dyDescent="0.25">
      <c r="X135" s="1"/>
    </row>
    <row r="136" spans="24:24" x14ac:dyDescent="0.25">
      <c r="X136" s="1"/>
    </row>
    <row r="137" spans="24:24" x14ac:dyDescent="0.25">
      <c r="X137" s="1"/>
    </row>
    <row r="138" spans="24:24" x14ac:dyDescent="0.25">
      <c r="X138" s="1"/>
    </row>
    <row r="139" spans="24:24" x14ac:dyDescent="0.25">
      <c r="X139" s="1"/>
    </row>
    <row r="140" spans="24:24" x14ac:dyDescent="0.25">
      <c r="X140" s="1"/>
    </row>
    <row r="141" spans="24:24" x14ac:dyDescent="0.25">
      <c r="X141" s="1"/>
    </row>
    <row r="142" spans="24:24" x14ac:dyDescent="0.25">
      <c r="X142" s="1"/>
    </row>
    <row r="143" spans="24:24" x14ac:dyDescent="0.25">
      <c r="X143" s="1"/>
    </row>
    <row r="144" spans="24:24" x14ac:dyDescent="0.25">
      <c r="X144" s="1"/>
    </row>
    <row r="145" spans="24:24" x14ac:dyDescent="0.25">
      <c r="X145" s="1"/>
    </row>
    <row r="146" spans="24:24" x14ac:dyDescent="0.25">
      <c r="X146" s="1"/>
    </row>
    <row r="147" spans="24:24" x14ac:dyDescent="0.25">
      <c r="X147" s="1"/>
    </row>
    <row r="148" spans="24:24" x14ac:dyDescent="0.25">
      <c r="X148" s="1"/>
    </row>
    <row r="149" spans="24:24" x14ac:dyDescent="0.25">
      <c r="X149" s="1"/>
    </row>
    <row r="150" spans="24:24" x14ac:dyDescent="0.25">
      <c r="X150" s="1"/>
    </row>
    <row r="151" spans="24:24" x14ac:dyDescent="0.25">
      <c r="X151" s="1"/>
    </row>
    <row r="152" spans="24:24" x14ac:dyDescent="0.25">
      <c r="X152" s="1"/>
    </row>
    <row r="153" spans="24:24" x14ac:dyDescent="0.25">
      <c r="X153" s="1"/>
    </row>
    <row r="154" spans="24:24" x14ac:dyDescent="0.25">
      <c r="X154" s="1"/>
    </row>
  </sheetData>
  <phoneticPr fontId="21" type="noConversion"/>
  <conditionalFormatting sqref="AR3:AR22">
    <cfRule type="top10" dxfId="12" priority="6" rank="10"/>
  </conditionalFormatting>
  <conditionalFormatting sqref="AS3:AS22">
    <cfRule type="containsText" dxfId="11" priority="1" operator="containsText" text="Female">
      <formula>NOT(ISERROR(SEARCH("Female",AS3)))</formula>
    </cfRule>
    <cfRule type="containsText" dxfId="10" priority="2" operator="containsText" text="Male">
      <formula>NOT(ISERROR(SEARCH("Male",AS3)))</formula>
    </cfRule>
    <cfRule type="containsText" dxfId="9" priority="3" stopIfTrue="1" operator="containsText" text="Male">
      <formula>NOT(ISERROR(SEARCH("Male",AS3)))</formula>
    </cfRule>
    <cfRule type="containsText" dxfId="8" priority="4" stopIfTrue="1" operator="containsText" text="Male">
      <formula>NOT(ISERROR(SEARCH("Male",AS3)))</formula>
    </cfRule>
  </conditionalFormatting>
  <conditionalFormatting sqref="AU2:AU22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{70A9203B-3070-4D6E-AD4E-44A7CDC79F53}</x14:id>
        </ext>
      </extLst>
    </cfRule>
  </conditionalFormatting>
  <conditionalFormatting sqref="AU3:AU22">
    <cfRule type="top10" dxfId="7" priority="5" bottom="1" rank="10"/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AU3:AU23">
    <cfRule type="top10" dxfId="6" priority="24" rank="10"/>
  </conditionalFormatting>
  <conditionalFormatting sqref="AV6">
    <cfRule type="top10" dxfId="5" priority="11" rank="10"/>
    <cfRule type="top10" dxfId="4" priority="12" rank="10"/>
    <cfRule type="top10" dxfId="3" priority="13" rank="10"/>
  </conditionalFormatting>
  <conditionalFormatting sqref="AW3:AW22">
    <cfRule type="top10" dxfId="2" priority="7" rank="10"/>
  </conditionalFormatting>
  <conditionalFormatting sqref="AZ15">
    <cfRule type="cellIs" dxfId="1" priority="21" operator="greaterThan">
      <formula>$BA$18</formula>
    </cfRule>
  </conditionalFormatting>
  <conditionalFormatting sqref="BA6">
    <cfRule type="top10" dxfId="0" priority="14" rank="10"/>
  </conditionalFormatting>
  <pageMargins left="0.7" right="0.7" top="0.75" bottom="0.75" header="0.3" footer="0.3"/>
  <pageSetup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A9203B-3070-4D6E-AD4E-44A7CDC79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AU2:AU22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Sheet1</vt:lpstr>
      <vt:lpstr>Sheet2</vt:lpstr>
      <vt:lpstr>Sheet3</vt:lpstr>
      <vt:lpstr>telecom_churn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23691A32E1</dc:creator>
  <cp:lastModifiedBy>23691A32E1@mits.com</cp:lastModifiedBy>
  <dcterms:created xsi:type="dcterms:W3CDTF">2026-06-01T05:31:05Z</dcterms:created>
  <dcterms:modified xsi:type="dcterms:W3CDTF">2026-06-05T07:15:48Z</dcterms:modified>
</cp:coreProperties>
</file>