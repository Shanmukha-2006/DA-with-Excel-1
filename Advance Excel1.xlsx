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A\"/>
    </mc:Choice>
  </mc:AlternateContent>
  <xr:revisionPtr revIDLastSave="0" documentId="8_{CB50B8BB-82B5-4232-B8B1-C97BCAFEF0E0}" xr6:coauthVersionLast="47" xr6:coauthVersionMax="47" xr10:uidLastSave="{00000000-0000-0000-0000-000000000000}"/>
  <bookViews>
    <workbookView xWindow="-120" yWindow="-120" windowWidth="29040" windowHeight="15720" xr2:uid="{788101B2-CD41-4C7A-B0AE-4D06B57E7344}"/>
  </bookViews>
  <sheets>
    <sheet name="telecom_chur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7" i="1" l="1"/>
  <c r="B76" i="1"/>
  <c r="B75" i="1"/>
  <c r="B74" i="1"/>
  <c r="G73" i="1"/>
  <c r="F73" i="1"/>
  <c r="E73" i="1"/>
  <c r="B73" i="1"/>
  <c r="G72" i="1"/>
  <c r="F72" i="1"/>
  <c r="E72" i="1"/>
  <c r="B72" i="1"/>
  <c r="F71" i="1"/>
  <c r="E71" i="1"/>
  <c r="B71" i="1"/>
  <c r="F70" i="1"/>
  <c r="E70" i="1"/>
  <c r="B70" i="1"/>
  <c r="T31" i="1" s="1"/>
  <c r="S64" i="1"/>
  <c r="R64" i="1"/>
  <c r="P64" i="1"/>
  <c r="O64" i="1"/>
  <c r="N64" i="1"/>
  <c r="M64" i="1"/>
  <c r="L64" i="1" a="1"/>
  <c r="L64" i="1" s="1"/>
  <c r="K64" i="1"/>
  <c r="S63" i="1"/>
  <c r="R63" i="1"/>
  <c r="P63" i="1"/>
  <c r="O63" i="1"/>
  <c r="N63" i="1"/>
  <c r="M63" i="1"/>
  <c r="L63" i="1" a="1"/>
  <c r="L63" i="1" s="1"/>
  <c r="K63" i="1"/>
  <c r="S62" i="1"/>
  <c r="R62" i="1"/>
  <c r="P62" i="1"/>
  <c r="O62" i="1"/>
  <c r="N62" i="1"/>
  <c r="M62" i="1"/>
  <c r="L62" i="1"/>
  <c r="L62" i="1" a="1"/>
  <c r="K62" i="1"/>
  <c r="S61" i="1"/>
  <c r="R61" i="1"/>
  <c r="P61" i="1"/>
  <c r="O61" i="1"/>
  <c r="N61" i="1"/>
  <c r="M61" i="1"/>
  <c r="L61" i="1" a="1"/>
  <c r="L61" i="1" s="1"/>
  <c r="K61" i="1"/>
  <c r="S60" i="1"/>
  <c r="R60" i="1"/>
  <c r="Q60" i="1" a="1"/>
  <c r="Q60" i="1" s="1"/>
  <c r="P60" i="1"/>
  <c r="O60" i="1"/>
  <c r="N60" i="1"/>
  <c r="M60" i="1"/>
  <c r="L60" i="1"/>
  <c r="K60" i="1"/>
  <c r="S59" i="1"/>
  <c r="R59" i="1"/>
  <c r="Q59" i="1" a="1"/>
  <c r="Q59" i="1" s="1"/>
  <c r="P59" i="1"/>
  <c r="O59" i="1"/>
  <c r="N59" i="1"/>
  <c r="M59" i="1"/>
  <c r="L59" i="1"/>
  <c r="K59" i="1"/>
  <c r="S58" i="1"/>
  <c r="R58" i="1"/>
  <c r="Q58" i="1"/>
  <c r="P58" i="1"/>
  <c r="O58" i="1"/>
  <c r="N58" i="1"/>
  <c r="M58" i="1"/>
  <c r="L58" i="1"/>
  <c r="K58" i="1"/>
  <c r="S57" i="1"/>
  <c r="R57" i="1"/>
  <c r="Q57" i="1"/>
  <c r="P57" i="1"/>
  <c r="O57" i="1"/>
  <c r="N57" i="1"/>
  <c r="M57" i="1"/>
  <c r="L57" i="1"/>
  <c r="K57" i="1"/>
  <c r="S56" i="1"/>
  <c r="R56" i="1"/>
  <c r="Q56" i="1"/>
  <c r="P56" i="1"/>
  <c r="O56" i="1"/>
  <c r="N56" i="1"/>
  <c r="M56" i="1"/>
  <c r="L56" i="1"/>
  <c r="K56" i="1"/>
  <c r="S55" i="1"/>
  <c r="R55" i="1"/>
  <c r="Q55" i="1"/>
  <c r="P55" i="1"/>
  <c r="O55" i="1"/>
  <c r="N55" i="1"/>
  <c r="M55" i="1"/>
  <c r="L55" i="1"/>
  <c r="K55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M2" i="1"/>
  <c r="N2" i="1" s="1"/>
  <c r="O2" i="1"/>
  <c r="P2" i="1"/>
  <c r="Q2" i="1"/>
  <c r="R2" i="1"/>
  <c r="S2" i="1"/>
  <c r="U2" i="1"/>
  <c r="V2" i="1"/>
  <c r="W2" i="1"/>
  <c r="Y2" i="1"/>
  <c r="M3" i="1"/>
  <c r="N3" i="1"/>
  <c r="O3" i="1"/>
  <c r="P3" i="1"/>
  <c r="Q3" i="1"/>
  <c r="R3" i="1"/>
  <c r="S3" i="1"/>
  <c r="U3" i="1"/>
  <c r="V3" i="1"/>
  <c r="W3" i="1"/>
  <c r="Y3" i="1"/>
  <c r="M4" i="1"/>
  <c r="N4" i="1" s="1"/>
  <c r="O4" i="1"/>
  <c r="P4" i="1"/>
  <c r="Q4" i="1"/>
  <c r="R4" i="1"/>
  <c r="S4" i="1"/>
  <c r="U4" i="1"/>
  <c r="V4" i="1"/>
  <c r="W4" i="1"/>
  <c r="Y4" i="1"/>
  <c r="M5" i="1"/>
  <c r="N5" i="1"/>
  <c r="O5" i="1"/>
  <c r="P5" i="1"/>
  <c r="Q5" i="1"/>
  <c r="R5" i="1"/>
  <c r="S5" i="1"/>
  <c r="U5" i="1"/>
  <c r="V5" i="1"/>
  <c r="W5" i="1"/>
  <c r="Y5" i="1"/>
  <c r="M6" i="1"/>
  <c r="N6" i="1" s="1"/>
  <c r="O6" i="1"/>
  <c r="P6" i="1"/>
  <c r="Q6" i="1"/>
  <c r="R6" i="1"/>
  <c r="S6" i="1"/>
  <c r="U6" i="1"/>
  <c r="V6" i="1"/>
  <c r="W6" i="1"/>
  <c r="Y6" i="1"/>
  <c r="M7" i="1"/>
  <c r="N7" i="1"/>
  <c r="O7" i="1"/>
  <c r="P7" i="1"/>
  <c r="Q7" i="1"/>
  <c r="R7" i="1"/>
  <c r="S7" i="1"/>
  <c r="U7" i="1"/>
  <c r="V7" i="1"/>
  <c r="W7" i="1"/>
  <c r="Y7" i="1"/>
  <c r="M8" i="1"/>
  <c r="N8" i="1" s="1"/>
  <c r="O8" i="1"/>
  <c r="P8" i="1"/>
  <c r="Q8" i="1"/>
  <c r="R8" i="1"/>
  <c r="S8" i="1"/>
  <c r="U8" i="1"/>
  <c r="V8" i="1"/>
  <c r="W8" i="1"/>
  <c r="Y8" i="1"/>
  <c r="M9" i="1"/>
  <c r="N9" i="1" s="1"/>
  <c r="O9" i="1"/>
  <c r="P9" i="1"/>
  <c r="Q9" i="1"/>
  <c r="R9" i="1"/>
  <c r="S9" i="1"/>
  <c r="U9" i="1"/>
  <c r="V9" i="1"/>
  <c r="W9" i="1"/>
  <c r="Y9" i="1"/>
  <c r="M10" i="1"/>
  <c r="N10" i="1" s="1"/>
  <c r="O10" i="1"/>
  <c r="P10" i="1"/>
  <c r="Q10" i="1"/>
  <c r="R10" i="1"/>
  <c r="S10" i="1"/>
  <c r="U10" i="1"/>
  <c r="V10" i="1"/>
  <c r="W10" i="1"/>
  <c r="Y10" i="1"/>
  <c r="M11" i="1"/>
  <c r="N11" i="1" s="1"/>
  <c r="O11" i="1"/>
  <c r="P11" i="1"/>
  <c r="Q11" i="1"/>
  <c r="R11" i="1"/>
  <c r="S11" i="1"/>
  <c r="U11" i="1"/>
  <c r="V11" i="1"/>
  <c r="W11" i="1"/>
  <c r="Y11" i="1"/>
  <c r="M12" i="1"/>
  <c r="N12" i="1" s="1"/>
  <c r="O12" i="1"/>
  <c r="P12" i="1"/>
  <c r="Q12" i="1"/>
  <c r="R12" i="1"/>
  <c r="S12" i="1"/>
  <c r="U12" i="1"/>
  <c r="V12" i="1"/>
  <c r="W12" i="1"/>
  <c r="Y12" i="1"/>
  <c r="M13" i="1"/>
  <c r="N13" i="1" s="1"/>
  <c r="O13" i="1"/>
  <c r="P13" i="1"/>
  <c r="Q13" i="1"/>
  <c r="R13" i="1"/>
  <c r="S13" i="1"/>
  <c r="U13" i="1"/>
  <c r="V13" i="1"/>
  <c r="W13" i="1"/>
  <c r="Y13" i="1"/>
  <c r="M14" i="1"/>
  <c r="N14" i="1" s="1"/>
  <c r="O14" i="1"/>
  <c r="P14" i="1"/>
  <c r="Q14" i="1"/>
  <c r="R14" i="1"/>
  <c r="S14" i="1"/>
  <c r="U14" i="1"/>
  <c r="V14" i="1"/>
  <c r="W14" i="1"/>
  <c r="Y14" i="1"/>
  <c r="M15" i="1"/>
  <c r="N15" i="1"/>
  <c r="O15" i="1"/>
  <c r="P15" i="1"/>
  <c r="Q15" i="1"/>
  <c r="R15" i="1"/>
  <c r="S15" i="1"/>
  <c r="U15" i="1"/>
  <c r="V15" i="1"/>
  <c r="W15" i="1"/>
  <c r="Y15" i="1"/>
  <c r="M16" i="1"/>
  <c r="N16" i="1" s="1"/>
  <c r="O16" i="1"/>
  <c r="P16" i="1"/>
  <c r="Q16" i="1"/>
  <c r="R16" i="1"/>
  <c r="S16" i="1"/>
  <c r="U16" i="1"/>
  <c r="V16" i="1"/>
  <c r="W16" i="1"/>
  <c r="Y16" i="1"/>
  <c r="M17" i="1"/>
  <c r="N17" i="1" s="1"/>
  <c r="O17" i="1"/>
  <c r="P17" i="1"/>
  <c r="Q17" i="1"/>
  <c r="R17" i="1"/>
  <c r="S17" i="1"/>
  <c r="U17" i="1"/>
  <c r="V17" i="1"/>
  <c r="W17" i="1"/>
  <c r="Y17" i="1"/>
  <c r="M18" i="1"/>
  <c r="N18" i="1" s="1"/>
  <c r="O18" i="1"/>
  <c r="P18" i="1"/>
  <c r="Q18" i="1"/>
  <c r="R18" i="1"/>
  <c r="S18" i="1"/>
  <c r="U18" i="1"/>
  <c r="V18" i="1"/>
  <c r="W18" i="1"/>
  <c r="Y18" i="1"/>
  <c r="M19" i="1"/>
  <c r="N19" i="1" s="1"/>
  <c r="O19" i="1"/>
  <c r="P19" i="1"/>
  <c r="Q19" i="1"/>
  <c r="R19" i="1"/>
  <c r="S19" i="1"/>
  <c r="U19" i="1"/>
  <c r="V19" i="1"/>
  <c r="W19" i="1"/>
  <c r="Y19" i="1"/>
  <c r="M20" i="1"/>
  <c r="N20" i="1" s="1"/>
  <c r="O20" i="1"/>
  <c r="P20" i="1"/>
  <c r="Q20" i="1"/>
  <c r="R20" i="1"/>
  <c r="S20" i="1"/>
  <c r="U20" i="1"/>
  <c r="V20" i="1"/>
  <c r="W20" i="1"/>
  <c r="Y20" i="1"/>
  <c r="M21" i="1"/>
  <c r="N21" i="1"/>
  <c r="O21" i="1"/>
  <c r="P21" i="1"/>
  <c r="Q21" i="1"/>
  <c r="R21" i="1"/>
  <c r="S21" i="1"/>
  <c r="U21" i="1"/>
  <c r="V21" i="1"/>
  <c r="W21" i="1"/>
  <c r="Y21" i="1"/>
  <c r="M22" i="1"/>
  <c r="N22" i="1" s="1"/>
  <c r="O22" i="1"/>
  <c r="P22" i="1"/>
  <c r="Q22" i="1"/>
  <c r="R22" i="1"/>
  <c r="S22" i="1"/>
  <c r="U22" i="1"/>
  <c r="V22" i="1"/>
  <c r="W22" i="1"/>
  <c r="Y22" i="1"/>
  <c r="M23" i="1"/>
  <c r="N23" i="1" s="1"/>
  <c r="O23" i="1"/>
  <c r="P23" i="1"/>
  <c r="Q23" i="1"/>
  <c r="R23" i="1"/>
  <c r="S23" i="1"/>
  <c r="U23" i="1"/>
  <c r="V23" i="1"/>
  <c r="W23" i="1"/>
  <c r="Y23" i="1"/>
  <c r="M24" i="1"/>
  <c r="N24" i="1" s="1"/>
  <c r="O24" i="1"/>
  <c r="P24" i="1"/>
  <c r="Q24" i="1"/>
  <c r="R24" i="1"/>
  <c r="S24" i="1"/>
  <c r="U24" i="1"/>
  <c r="V24" i="1"/>
  <c r="W24" i="1"/>
  <c r="Y24" i="1"/>
  <c r="M25" i="1"/>
  <c r="N25" i="1"/>
  <c r="O25" i="1"/>
  <c r="P25" i="1"/>
  <c r="Q25" i="1"/>
  <c r="R25" i="1"/>
  <c r="S25" i="1"/>
  <c r="U25" i="1"/>
  <c r="V25" i="1"/>
  <c r="W25" i="1"/>
  <c r="Y25" i="1"/>
  <c r="M26" i="1"/>
  <c r="N26" i="1" s="1"/>
  <c r="O26" i="1"/>
  <c r="P26" i="1"/>
  <c r="Q26" i="1"/>
  <c r="R26" i="1"/>
  <c r="S26" i="1"/>
  <c r="U26" i="1"/>
  <c r="V26" i="1"/>
  <c r="W26" i="1"/>
  <c r="Y26" i="1"/>
  <c r="M27" i="1"/>
  <c r="N27" i="1" s="1"/>
  <c r="O27" i="1"/>
  <c r="P27" i="1"/>
  <c r="Q27" i="1"/>
  <c r="R27" i="1"/>
  <c r="S27" i="1"/>
  <c r="U27" i="1"/>
  <c r="V27" i="1"/>
  <c r="W27" i="1"/>
  <c r="Y27" i="1"/>
  <c r="M28" i="1"/>
  <c r="N28" i="1" s="1"/>
  <c r="O28" i="1"/>
  <c r="P28" i="1"/>
  <c r="Q28" i="1"/>
  <c r="R28" i="1"/>
  <c r="S28" i="1"/>
  <c r="U28" i="1"/>
  <c r="V28" i="1"/>
  <c r="W28" i="1"/>
  <c r="Y28" i="1"/>
  <c r="M29" i="1"/>
  <c r="N29" i="1" s="1"/>
  <c r="O29" i="1"/>
  <c r="P29" i="1"/>
  <c r="Q29" i="1"/>
  <c r="R29" i="1"/>
  <c r="S29" i="1"/>
  <c r="U29" i="1"/>
  <c r="V29" i="1"/>
  <c r="W29" i="1"/>
  <c r="Y29" i="1"/>
  <c r="M30" i="1"/>
  <c r="N30" i="1" s="1"/>
  <c r="O30" i="1"/>
  <c r="P30" i="1"/>
  <c r="Q30" i="1"/>
  <c r="R30" i="1"/>
  <c r="S30" i="1"/>
  <c r="U30" i="1"/>
  <c r="V30" i="1"/>
  <c r="W30" i="1"/>
  <c r="Y30" i="1"/>
  <c r="M31" i="1"/>
  <c r="N31" i="1"/>
  <c r="O31" i="1"/>
  <c r="P31" i="1"/>
  <c r="Q31" i="1"/>
  <c r="R31" i="1"/>
  <c r="S31" i="1"/>
  <c r="U31" i="1"/>
  <c r="V31" i="1"/>
  <c r="W31" i="1"/>
  <c r="Y31" i="1"/>
  <c r="M32" i="1"/>
  <c r="N32" i="1" s="1"/>
  <c r="O32" i="1"/>
  <c r="P32" i="1"/>
  <c r="Q32" i="1"/>
  <c r="R32" i="1"/>
  <c r="S32" i="1"/>
  <c r="U32" i="1"/>
  <c r="V32" i="1"/>
  <c r="W32" i="1"/>
  <c r="Y32" i="1"/>
  <c r="M33" i="1"/>
  <c r="N33" i="1" s="1"/>
  <c r="O33" i="1"/>
  <c r="P33" i="1"/>
  <c r="Q33" i="1"/>
  <c r="R33" i="1"/>
  <c r="S33" i="1"/>
  <c r="T33" i="1"/>
  <c r="U33" i="1"/>
  <c r="V33" i="1"/>
  <c r="W33" i="1"/>
  <c r="Y33" i="1"/>
  <c r="M34" i="1"/>
  <c r="N34" i="1" s="1"/>
  <c r="O34" i="1"/>
  <c r="P34" i="1"/>
  <c r="Q34" i="1"/>
  <c r="R34" i="1"/>
  <c r="S34" i="1"/>
  <c r="U34" i="1"/>
  <c r="V34" i="1"/>
  <c r="W34" i="1"/>
  <c r="Y34" i="1"/>
  <c r="M35" i="1"/>
  <c r="N35" i="1"/>
  <c r="O35" i="1"/>
  <c r="P35" i="1"/>
  <c r="Q35" i="1"/>
  <c r="R35" i="1"/>
  <c r="S35" i="1"/>
  <c r="T35" i="1"/>
  <c r="U35" i="1"/>
  <c r="V35" i="1"/>
  <c r="W35" i="1"/>
  <c r="Y35" i="1"/>
  <c r="M36" i="1"/>
  <c r="N36" i="1" s="1"/>
  <c r="O36" i="1"/>
  <c r="P36" i="1"/>
  <c r="Q36" i="1"/>
  <c r="R36" i="1"/>
  <c r="S36" i="1"/>
  <c r="U36" i="1"/>
  <c r="V36" i="1"/>
  <c r="W36" i="1"/>
  <c r="Y36" i="1"/>
  <c r="M37" i="1"/>
  <c r="N37" i="1" s="1"/>
  <c r="O37" i="1"/>
  <c r="P37" i="1"/>
  <c r="Q37" i="1"/>
  <c r="R37" i="1"/>
  <c r="S37" i="1"/>
  <c r="U37" i="1"/>
  <c r="V37" i="1"/>
  <c r="W37" i="1"/>
  <c r="Y37" i="1"/>
  <c r="M38" i="1"/>
  <c r="N38" i="1" s="1"/>
  <c r="O38" i="1"/>
  <c r="P38" i="1"/>
  <c r="Q38" i="1"/>
  <c r="R38" i="1"/>
  <c r="S38" i="1"/>
  <c r="U38" i="1"/>
  <c r="V38" i="1"/>
  <c r="W38" i="1"/>
  <c r="Y38" i="1"/>
  <c r="M39" i="1"/>
  <c r="N39" i="1" s="1"/>
  <c r="O39" i="1"/>
  <c r="P39" i="1"/>
  <c r="Q39" i="1"/>
  <c r="R39" i="1"/>
  <c r="S39" i="1"/>
  <c r="U39" i="1"/>
  <c r="V39" i="1"/>
  <c r="W39" i="1"/>
  <c r="Y39" i="1"/>
  <c r="M40" i="1"/>
  <c r="N40" i="1" s="1"/>
  <c r="O40" i="1"/>
  <c r="P40" i="1"/>
  <c r="Q40" i="1"/>
  <c r="R40" i="1"/>
  <c r="S40" i="1"/>
  <c r="U40" i="1"/>
  <c r="V40" i="1"/>
  <c r="W40" i="1"/>
  <c r="Y40" i="1"/>
  <c r="M41" i="1"/>
  <c r="N41" i="1"/>
  <c r="O41" i="1"/>
  <c r="P41" i="1"/>
  <c r="Q41" i="1"/>
  <c r="R41" i="1"/>
  <c r="S41" i="1"/>
  <c r="U41" i="1"/>
  <c r="V41" i="1"/>
  <c r="W41" i="1"/>
  <c r="Y41" i="1"/>
  <c r="M42" i="1"/>
  <c r="N42" i="1" s="1"/>
  <c r="O42" i="1"/>
  <c r="P42" i="1"/>
  <c r="Q42" i="1"/>
  <c r="R42" i="1"/>
  <c r="S42" i="1"/>
  <c r="U42" i="1"/>
  <c r="V42" i="1"/>
  <c r="W42" i="1"/>
  <c r="Y42" i="1"/>
  <c r="M43" i="1"/>
  <c r="N43" i="1"/>
  <c r="O43" i="1"/>
  <c r="P43" i="1"/>
  <c r="Q43" i="1"/>
  <c r="R43" i="1"/>
  <c r="S43" i="1"/>
  <c r="U43" i="1"/>
  <c r="V43" i="1"/>
  <c r="W43" i="1"/>
  <c r="Y43" i="1"/>
  <c r="M44" i="1"/>
  <c r="N44" i="1" s="1"/>
  <c r="O44" i="1"/>
  <c r="P44" i="1"/>
  <c r="Q44" i="1"/>
  <c r="R44" i="1"/>
  <c r="S44" i="1"/>
  <c r="U44" i="1"/>
  <c r="V44" i="1"/>
  <c r="W44" i="1"/>
  <c r="Y44" i="1"/>
  <c r="M45" i="1"/>
  <c r="N45" i="1" s="1"/>
  <c r="O45" i="1"/>
  <c r="P45" i="1"/>
  <c r="Q45" i="1"/>
  <c r="R45" i="1"/>
  <c r="S45" i="1"/>
  <c r="U45" i="1"/>
  <c r="V45" i="1"/>
  <c r="W45" i="1"/>
  <c r="Y45" i="1"/>
  <c r="M46" i="1"/>
  <c r="N46" i="1" s="1"/>
  <c r="O46" i="1"/>
  <c r="P46" i="1"/>
  <c r="Q46" i="1"/>
  <c r="R46" i="1"/>
  <c r="S46" i="1"/>
  <c r="U46" i="1"/>
  <c r="V46" i="1"/>
  <c r="W46" i="1"/>
  <c r="Y46" i="1"/>
  <c r="M47" i="1"/>
  <c r="N47" i="1" s="1"/>
  <c r="O47" i="1"/>
  <c r="P47" i="1"/>
  <c r="Q47" i="1"/>
  <c r="R47" i="1"/>
  <c r="S47" i="1"/>
  <c r="U47" i="1"/>
  <c r="V47" i="1"/>
  <c r="W47" i="1"/>
  <c r="Y47" i="1"/>
  <c r="M48" i="1"/>
  <c r="N48" i="1" s="1"/>
  <c r="O48" i="1"/>
  <c r="P48" i="1"/>
  <c r="Q48" i="1"/>
  <c r="R48" i="1"/>
  <c r="S48" i="1"/>
  <c r="U48" i="1"/>
  <c r="V48" i="1"/>
  <c r="W48" i="1"/>
  <c r="Y48" i="1"/>
  <c r="M49" i="1"/>
  <c r="N49" i="1" s="1"/>
  <c r="O49" i="1"/>
  <c r="P49" i="1"/>
  <c r="Q49" i="1"/>
  <c r="R49" i="1"/>
  <c r="S49" i="1"/>
  <c r="U49" i="1"/>
  <c r="V49" i="1"/>
  <c r="W49" i="1"/>
  <c r="Y49" i="1"/>
  <c r="AL20" i="1"/>
  <c r="AL21" i="1"/>
  <c r="AL22" i="1"/>
  <c r="AJ25" i="1"/>
  <c r="AJ26" i="1"/>
  <c r="AJ27" i="1"/>
  <c r="AJ28" i="1"/>
  <c r="AK16" i="1"/>
  <c r="AJ16" i="1"/>
  <c r="AI16" i="1"/>
  <c r="AH16" i="1"/>
  <c r="AG16" i="1"/>
  <c r="AF16" i="1"/>
  <c r="AK15" i="1"/>
  <c r="AJ15" i="1"/>
  <c r="AI15" i="1"/>
  <c r="AH15" i="1"/>
  <c r="AG15" i="1"/>
  <c r="AF15" i="1"/>
  <c r="AH7" i="1"/>
  <c r="AH6" i="1"/>
  <c r="AL5" i="1"/>
  <c r="AH5" i="1"/>
  <c r="AM4" i="1"/>
  <c r="AL4" i="1"/>
  <c r="AK4" i="1"/>
  <c r="AJ4" i="1"/>
  <c r="AH4" i="1"/>
  <c r="AN3" i="1"/>
  <c r="AM3" i="1"/>
  <c r="AL3" i="1"/>
  <c r="AK3" i="1"/>
  <c r="AJ3" i="1"/>
  <c r="AH3" i="1"/>
  <c r="AG55" i="1"/>
  <c r="AG54" i="1"/>
  <c r="AG53" i="1"/>
  <c r="AG52" i="1"/>
  <c r="AO53" i="1"/>
  <c r="AO52" i="1"/>
  <c r="AI52" i="1"/>
  <c r="AL54" i="1"/>
  <c r="AL53" i="1"/>
  <c r="AL52" i="1"/>
  <c r="AI54" i="1"/>
  <c r="AI53" i="1"/>
  <c r="AF53" i="1"/>
  <c r="AF52" i="1"/>
  <c r="AC4" i="1"/>
  <c r="AD4" i="1" s="1"/>
  <c r="AC5" i="1"/>
  <c r="AD5" i="1" s="1"/>
  <c r="AC6" i="1"/>
  <c r="AD6" i="1" s="1"/>
  <c r="AC7" i="1"/>
  <c r="AD7" i="1" s="1"/>
  <c r="AC8" i="1"/>
  <c r="AD8" i="1" s="1"/>
  <c r="AC9" i="1"/>
  <c r="AD9" i="1" s="1"/>
  <c r="AC10" i="1"/>
  <c r="AD10" i="1" s="1"/>
  <c r="AC11" i="1"/>
  <c r="AD11" i="1" s="1"/>
  <c r="AC12" i="1"/>
  <c r="AD12" i="1" s="1"/>
  <c r="AC13" i="1"/>
  <c r="AD13" i="1" s="1"/>
  <c r="AC14" i="1"/>
  <c r="AD14" i="1" s="1"/>
  <c r="AC15" i="1"/>
  <c r="AD15" i="1" s="1"/>
  <c r="AC16" i="1"/>
  <c r="AD16" i="1" s="1"/>
  <c r="AC17" i="1"/>
  <c r="AD17" i="1" s="1"/>
  <c r="AC18" i="1"/>
  <c r="AD18" i="1" s="1"/>
  <c r="AC19" i="1"/>
  <c r="AD19" i="1" s="1"/>
  <c r="AC20" i="1"/>
  <c r="AD20" i="1" s="1"/>
  <c r="AC21" i="1"/>
  <c r="AD21" i="1" s="1"/>
  <c r="AC22" i="1"/>
  <c r="AD22" i="1" s="1"/>
  <c r="AC23" i="1"/>
  <c r="AD23" i="1" s="1"/>
  <c r="AC24" i="1"/>
  <c r="AD24" i="1" s="1"/>
  <c r="AC25" i="1"/>
  <c r="AD25" i="1" s="1"/>
  <c r="AC26" i="1"/>
  <c r="AD26" i="1" s="1"/>
  <c r="AC27" i="1"/>
  <c r="AD27" i="1" s="1"/>
  <c r="AC28" i="1"/>
  <c r="AD28" i="1" s="1"/>
  <c r="AC29" i="1"/>
  <c r="AD29" i="1" s="1"/>
  <c r="AC30" i="1"/>
  <c r="AD30" i="1" s="1"/>
  <c r="AC31" i="1"/>
  <c r="AD31" i="1" s="1"/>
  <c r="AC32" i="1"/>
  <c r="AD32" i="1" s="1"/>
  <c r="AC33" i="1"/>
  <c r="AD33" i="1" s="1"/>
  <c r="AC34" i="1"/>
  <c r="AD34" i="1" s="1"/>
  <c r="AC35" i="1"/>
  <c r="AD35" i="1" s="1"/>
  <c r="AC36" i="1"/>
  <c r="AD36" i="1" s="1"/>
  <c r="AC37" i="1"/>
  <c r="AD37" i="1" s="1"/>
  <c r="AC38" i="1"/>
  <c r="AD38" i="1" s="1"/>
  <c r="AC39" i="1"/>
  <c r="AD39" i="1" s="1"/>
  <c r="AC40" i="1"/>
  <c r="AD40" i="1" s="1"/>
  <c r="AC41" i="1"/>
  <c r="AD41" i="1" s="1"/>
  <c r="AC42" i="1"/>
  <c r="AD42" i="1" s="1"/>
  <c r="AC43" i="1"/>
  <c r="AD43" i="1" s="1"/>
  <c r="AC44" i="1"/>
  <c r="AD44" i="1" s="1"/>
  <c r="AC45" i="1"/>
  <c r="AD45" i="1" s="1"/>
  <c r="AC46" i="1"/>
  <c r="AD46" i="1" s="1"/>
  <c r="AC47" i="1"/>
  <c r="AD47" i="1" s="1"/>
  <c r="AC48" i="1"/>
  <c r="AD48" i="1" s="1"/>
  <c r="AC49" i="1"/>
  <c r="AD49" i="1" s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AA2" i="1"/>
  <c r="AC3" i="1"/>
  <c r="AD3" i="1" s="1"/>
  <c r="AC2" i="1"/>
  <c r="AD2" i="1" s="1"/>
  <c r="Z2" i="1"/>
  <c r="T3" i="1" l="1"/>
  <c r="T18" i="1"/>
  <c r="T5" i="1"/>
  <c r="T37" i="1"/>
  <c r="T14" i="1"/>
  <c r="T7" i="1"/>
  <c r="T46" i="1"/>
  <c r="T16" i="1"/>
  <c r="T48" i="1"/>
  <c r="T20" i="1"/>
  <c r="T22" i="1"/>
  <c r="T39" i="1"/>
  <c r="T41" i="1"/>
  <c r="T13" i="1"/>
  <c r="T47" i="1"/>
  <c r="T2" i="1"/>
  <c r="T36" i="1"/>
  <c r="T21" i="1"/>
  <c r="T6" i="1"/>
  <c r="T8" i="1"/>
  <c r="T26" i="1"/>
  <c r="T11" i="1"/>
  <c r="T28" i="1"/>
  <c r="T43" i="1"/>
  <c r="T45" i="1"/>
  <c r="T15" i="1"/>
  <c r="T30" i="1"/>
  <c r="T32" i="1"/>
  <c r="T17" i="1"/>
  <c r="T49" i="1"/>
  <c r="T34" i="1"/>
  <c r="T19" i="1"/>
  <c r="T4" i="1"/>
  <c r="T38" i="1"/>
  <c r="T23" i="1"/>
  <c r="T25" i="1"/>
  <c r="T10" i="1"/>
  <c r="T40" i="1"/>
  <c r="T24" i="1"/>
  <c r="T12" i="1"/>
  <c r="T9" i="1"/>
  <c r="T42" i="1"/>
  <c r="T27" i="1"/>
  <c r="T44" i="1"/>
  <c r="T2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<sst xmlns="http://schemas.openxmlformats.org/spreadsheetml/2006/main" count="398" uniqueCount="167">
  <si>
    <t>Churn</t>
  </si>
  <si>
    <t>AccountWeeks</t>
  </si>
  <si>
    <t>ContractRenewal</t>
  </si>
  <si>
    <t>DataPlan</t>
  </si>
  <si>
    <t>DataUsage</t>
  </si>
  <si>
    <t>CustServCalls</t>
  </si>
  <si>
    <t>DayMins</t>
  </si>
  <si>
    <t>DayCalls</t>
  </si>
  <si>
    <t>MonthlyCharge</t>
  </si>
  <si>
    <t>OverageFee</t>
  </si>
  <si>
    <t>RoamMins</t>
  </si>
  <si>
    <t>SQRT</t>
  </si>
  <si>
    <t>ROUND</t>
  </si>
  <si>
    <t>MIN</t>
  </si>
  <si>
    <t>MAX</t>
  </si>
  <si>
    <t>AVERAGE</t>
  </si>
  <si>
    <t>SUM</t>
  </si>
  <si>
    <t>MEDAIN</t>
  </si>
  <si>
    <t>RANK</t>
  </si>
  <si>
    <t>LEFT</t>
  </si>
  <si>
    <t>GENDER</t>
  </si>
  <si>
    <t>Female</t>
  </si>
  <si>
    <t>Male</t>
  </si>
  <si>
    <t>Right</t>
  </si>
  <si>
    <t>Length</t>
  </si>
  <si>
    <t>Date</t>
  </si>
  <si>
    <t>Year</t>
  </si>
  <si>
    <t>Month</t>
  </si>
  <si>
    <t>FIND</t>
  </si>
  <si>
    <t>A</t>
  </si>
  <si>
    <t>E</t>
  </si>
  <si>
    <t>P</t>
  </si>
  <si>
    <t>L</t>
  </si>
  <si>
    <t>APPLE</t>
  </si>
  <si>
    <t>REPLACE</t>
  </si>
  <si>
    <t>INPUT</t>
  </si>
  <si>
    <t>ABC-2026-011</t>
  </si>
  <si>
    <t>SUBSTITUTE</t>
  </si>
  <si>
    <t>MID</t>
  </si>
  <si>
    <t>SEARCH</t>
  </si>
  <si>
    <t>CONCAT</t>
  </si>
  <si>
    <t>MANGO</t>
  </si>
  <si>
    <t>EOMONTH</t>
  </si>
  <si>
    <t>NETWORK DAYS</t>
  </si>
  <si>
    <t>WEEKDAYS</t>
  </si>
  <si>
    <t>DAY</t>
  </si>
  <si>
    <t>INPUT2</t>
  </si>
  <si>
    <t>INPUT3</t>
  </si>
  <si>
    <t>PRODUCT</t>
  </si>
  <si>
    <t>MOD</t>
  </si>
  <si>
    <t>FACT</t>
  </si>
  <si>
    <t>ROUNDUP</t>
  </si>
  <si>
    <t>ROUNDDOWN</t>
  </si>
  <si>
    <t>DATE</t>
  </si>
  <si>
    <t>COLOR</t>
  </si>
  <si>
    <t>REGION</t>
  </si>
  <si>
    <t>VALUE</t>
  </si>
  <si>
    <t>MOUSE</t>
  </si>
  <si>
    <t>KEYBOARD</t>
  </si>
  <si>
    <t>RED</t>
  </si>
  <si>
    <t>BLUE</t>
  </si>
  <si>
    <t>YELLOW</t>
  </si>
  <si>
    <t>AP</t>
  </si>
  <si>
    <t>MH</t>
  </si>
  <si>
    <t>TOTAL</t>
  </si>
  <si>
    <t>RED+AP</t>
  </si>
  <si>
    <t>RED+AP+MOUSE</t>
  </si>
  <si>
    <t>AVG</t>
  </si>
  <si>
    <t>MATHEMATICAL FUNCTIONS</t>
  </si>
  <si>
    <t>VLOOKUP</t>
  </si>
  <si>
    <t>Employee_ID</t>
  </si>
  <si>
    <t>Name</t>
  </si>
  <si>
    <t>Age</t>
  </si>
  <si>
    <t>Gender</t>
  </si>
  <si>
    <t>Department</t>
  </si>
  <si>
    <t>Job_Role</t>
  </si>
  <si>
    <t>Salary</t>
  </si>
  <si>
    <t>Experience_Years</t>
  </si>
  <si>
    <t>Performance_Rating</t>
  </si>
  <si>
    <t>Location</t>
  </si>
  <si>
    <t>EMP001</t>
  </si>
  <si>
    <t>Rahul Sharma</t>
  </si>
  <si>
    <t>IT</t>
  </si>
  <si>
    <t>Data Analyst</t>
  </si>
  <si>
    <t>Hyderabad</t>
  </si>
  <si>
    <t>EMP002</t>
  </si>
  <si>
    <t>Priya Reddy</t>
  </si>
  <si>
    <t>HR</t>
  </si>
  <si>
    <t>HR Manager</t>
  </si>
  <si>
    <t>Bangalore</t>
  </si>
  <si>
    <t>EMP003</t>
  </si>
  <si>
    <t>Arjun Kumar</t>
  </si>
  <si>
    <t>Sales</t>
  </si>
  <si>
    <t>Sales Executive</t>
  </si>
  <si>
    <t>Chennai</t>
  </si>
  <si>
    <t>EMP004</t>
  </si>
  <si>
    <t>Sneha Patel</t>
  </si>
  <si>
    <t>Finance</t>
  </si>
  <si>
    <t>Financial Analyst</t>
  </si>
  <si>
    <t>Mumbai</t>
  </si>
  <si>
    <t>EMP005</t>
  </si>
  <si>
    <t>Vikram Singh</t>
  </si>
  <si>
    <t>Software Engineer</t>
  </si>
  <si>
    <t>Pune</t>
  </si>
  <si>
    <t>EMP006</t>
  </si>
  <si>
    <t>Ananya Rao</t>
  </si>
  <si>
    <t>Marketing</t>
  </si>
  <si>
    <t>Marketing Specialist</t>
  </si>
  <si>
    <t>EMP007</t>
  </si>
  <si>
    <t>Kiran Verma</t>
  </si>
  <si>
    <t>Operations</t>
  </si>
  <si>
    <t>Operations Manager</t>
  </si>
  <si>
    <t>Delhi</t>
  </si>
  <si>
    <t>EMP008</t>
  </si>
  <si>
    <t>Neha Gupta</t>
  </si>
  <si>
    <t>Data Engineer</t>
  </si>
  <si>
    <t>EMP009</t>
  </si>
  <si>
    <t>Rohit Mehta</t>
  </si>
  <si>
    <t>Sales Manager</t>
  </si>
  <si>
    <t>EMP010</t>
  </si>
  <si>
    <t>Pooja Nair</t>
  </si>
  <si>
    <t>Customer Support</t>
  </si>
  <si>
    <t>Support Executive</t>
  </si>
  <si>
    <t>Kochi</t>
  </si>
  <si>
    <t>HLOOKUP</t>
  </si>
  <si>
    <t>MATCH</t>
  </si>
  <si>
    <t>INDEX</t>
  </si>
  <si>
    <t>XLOOKUP</t>
  </si>
  <si>
    <t>Age status</t>
  </si>
  <si>
    <t>age_bins</t>
  </si>
  <si>
    <t>AND</t>
  </si>
  <si>
    <t>OR</t>
  </si>
  <si>
    <t>NOT</t>
  </si>
  <si>
    <t>ERROR</t>
  </si>
  <si>
    <t>XOR</t>
  </si>
  <si>
    <t>ISBLANK</t>
  </si>
  <si>
    <t>ISNUMBER</t>
  </si>
  <si>
    <t>STATISTICAL FUNCTIONS</t>
  </si>
  <si>
    <t>MEAN</t>
  </si>
  <si>
    <t>MODE</t>
  </si>
  <si>
    <t>MEDIAN</t>
  </si>
  <si>
    <t>STD DEVATION</t>
  </si>
  <si>
    <t>CORRELATION</t>
  </si>
  <si>
    <t>STD DEV.S</t>
  </si>
  <si>
    <t>VAR.S</t>
  </si>
  <si>
    <t>COUNT A</t>
  </si>
  <si>
    <t>COUNT BLANK</t>
  </si>
  <si>
    <t>COUNT IF</t>
  </si>
  <si>
    <t>COUNT IFS</t>
  </si>
  <si>
    <t>VARIANCE</t>
  </si>
  <si>
    <t>Column1</t>
  </si>
  <si>
    <t>Column2</t>
  </si>
  <si>
    <t>Column3</t>
  </si>
  <si>
    <t>Column4</t>
  </si>
  <si>
    <t>Column5</t>
  </si>
  <si>
    <t>Column6</t>
  </si>
  <si>
    <t>LOGICAL AND ERROR FUNCTIONS</t>
  </si>
  <si>
    <t>LOOKUP FUNCTIONS</t>
  </si>
  <si>
    <t>MODE OF TEXT</t>
  </si>
  <si>
    <t>IMAGES IN EXCEL</t>
  </si>
  <si>
    <t>TEXT FUNCTIONS</t>
  </si>
  <si>
    <t>COMPANY</t>
  </si>
  <si>
    <t>LOGO</t>
  </si>
  <si>
    <t>SALES</t>
  </si>
  <si>
    <t>AMAZON</t>
  </si>
  <si>
    <t>NETFLIX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</si>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</sst>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24"/>
      <color rgb="FFFF0000"/>
      <name val="Algerian"/>
      <family val="5"/>
    </font>
    <font>
      <sz val="8"/>
      <name val="Calibri"/>
      <family val="2"/>
      <scheme val="minor"/>
    </font>
    <font>
      <sz val="28"/>
      <color rgb="FFFF0000"/>
      <name val="Algerian"/>
      <family val="5"/>
    </font>
    <font>
      <sz val="26"/>
      <color rgb="FFFF0000"/>
      <name val="Algerian"/>
      <family val="5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/>
      <right/>
      <top/>
      <bottom style="medium">
        <color theme="1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0" fontId="17" fillId="9" borderId="5" xfId="18" applyBorder="1"/>
    <xf numFmtId="0" fontId="1" fillId="20" borderId="0" xfId="29"/>
    <xf numFmtId="0" fontId="17" fillId="9" borderId="11" xfId="18" applyBorder="1"/>
    <xf numFmtId="0" fontId="17" fillId="9" borderId="10" xfId="18" applyBorder="1"/>
    <xf numFmtId="0" fontId="0" fillId="0" borderId="0" xfId="0" applyAlignment="1">
      <alignment horizontal="right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0" fillId="33" borderId="0" xfId="0" applyFont="1" applyFill="1"/>
    <xf numFmtId="0" fontId="0" fillId="0" borderId="0" xfId="0" applyFont="1"/>
    <xf numFmtId="0" fontId="0" fillId="33" borderId="12" xfId="0" applyFont="1" applyFill="1" applyBorder="1"/>
    <xf numFmtId="0" fontId="6" fillId="2" borderId="0" xfId="6"/>
    <xf numFmtId="0" fontId="20" fillId="0" borderId="0" xfId="0" applyFont="1"/>
    <xf numFmtId="0" fontId="22" fillId="0" borderId="0" xfId="0" applyFont="1"/>
    <xf numFmtId="0" fontId="23" fillId="0" borderId="0" xfId="0" applyFont="1"/>
    <xf numFmtId="0" fontId="11" fillId="6" borderId="4" xfId="11" applyFont="1" applyFill="1" applyBorder="1"/>
    <xf numFmtId="14" fontId="0" fillId="33" borderId="0" xfId="0" applyNumberFormat="1" applyFont="1" applyFill="1"/>
    <xf numFmtId="14" fontId="0" fillId="0" borderId="0" xfId="0" applyNumberFormat="1" applyFont="1"/>
    <xf numFmtId="3" fontId="0" fillId="0" borderId="0" xfId="0" applyNumberFormat="1"/>
    <xf numFmtId="0" fontId="9" fillId="5" borderId="13" xfId="9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diagonalUp="0" diagonalDown="0" outline="0">
        <left style="thin">
          <color rgb="FF7F7F7F"/>
        </left>
        <right style="thin">
          <color rgb="FF7F7F7F"/>
        </right>
        <top/>
        <bottom/>
      </border>
    </dxf>
    <dxf>
      <border outline="0">
        <bottom style="thin">
          <color rgb="FF7F7F7F"/>
        </bottom>
      </border>
    </dxf>
    <dxf>
      <border outline="0">
        <top style="thin">
          <color rgb="FF7F7F7F"/>
        </top>
      </border>
    </dxf>
    <dxf>
      <border diagonalUp="0" diagonalDown="0" outline="0">
        <left style="thin">
          <color rgb="FF3F3F3F"/>
        </left>
        <right style="thin">
          <color rgb="FF3F3F3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46307</xdr:colOff>
      <xdr:row>70</xdr:row>
      <xdr:rowOff>47628</xdr:rowOff>
    </xdr:from>
    <xdr:ext cx="585575" cy="308846"/>
    <xdr:pic>
      <xdr:nvPicPr>
        <xdr:cNvPr id="12" name="Picture 11" descr="Amazon Logo and symbol, meaning, history, PNG, brand">
          <a:extLst>
            <a:ext uri="{FF2B5EF4-FFF2-40B4-BE49-F238E27FC236}">
              <a16:creationId xmlns:a16="http://schemas.microsoft.com/office/drawing/2014/main" id="{55363D9B-BCCA-4647-AB2B-C31D02FEC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628" y="20063735"/>
          <a:ext cx="585575" cy="3088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23813</xdr:colOff>
      <xdr:row>71</xdr:row>
      <xdr:rowOff>53580</xdr:rowOff>
    </xdr:from>
    <xdr:ext cx="589359" cy="323356"/>
    <xdr:pic>
      <xdr:nvPicPr>
        <xdr:cNvPr id="13" name="Picture 12" descr="Netflix | Brand Assets | Logos">
          <a:extLst>
            <a:ext uri="{FF2B5EF4-FFF2-40B4-BE49-F238E27FC236}">
              <a16:creationId xmlns:a16="http://schemas.microsoft.com/office/drawing/2014/main" id="{291B68B7-08B7-407B-BFF7-156D6A064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134" y="20260187"/>
          <a:ext cx="589359" cy="3233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41672</xdr:colOff>
      <xdr:row>72</xdr:row>
      <xdr:rowOff>59533</xdr:rowOff>
    </xdr:from>
    <xdr:ext cx="529828" cy="304145"/>
    <xdr:pic>
      <xdr:nvPicPr>
        <xdr:cNvPr id="14" name="Picture 13" descr="Google Logo and symbol, meaning, history, PNG, brand">
          <a:extLst>
            <a:ext uri="{FF2B5EF4-FFF2-40B4-BE49-F238E27FC236}">
              <a16:creationId xmlns:a16="http://schemas.microsoft.com/office/drawing/2014/main" id="{97187D5F-16B2-46EA-B9B2-3D601A237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993" y="20456640"/>
          <a:ext cx="529828" cy="304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0B6018-6DCD-48ED-966B-7C2018214CE3}" name="Table1" displayName="Table1" ref="M1:AD49" totalsRowShown="0" headerRowCellStyle="Normal" dataCellStyle="Normal">
  <autoFilter ref="M1:AD49" xr:uid="{670B6018-6DCD-48ED-966B-7C2018214CE3}"/>
  <tableColumns count="18">
    <tableColumn id="1" xr3:uid="{8D8F8B7C-2628-4BD7-8A45-6FA8F55872E0}" name="SQRT" dataCellStyle="Normal">
      <calculatedColumnFormula>SQRT(B2)</calculatedColumnFormula>
    </tableColumn>
    <tableColumn id="2" xr3:uid="{5391718E-A3BE-4DF6-BA33-9EFA5DDA6CF0}" name="ROUND" dataCellStyle="Normal">
      <calculatedColumnFormula>ROUND(Table1[[#This Row],[SQRT]],2)</calculatedColumnFormula>
    </tableColumn>
    <tableColumn id="3" xr3:uid="{C2C92D76-0C33-48C4-A9B1-B2D7716E1DB7}" name="MIN" dataCellStyle="Normal">
      <calculatedColumnFormula>MIN(H2,I2)</calculatedColumnFormula>
    </tableColumn>
    <tableColumn id="4" xr3:uid="{8D5352A2-6DA3-4E02-8D80-4889DF47339F}" name="MAX" dataCellStyle="Normal">
      <calculatedColumnFormula>MAX(H2,I2)</calculatedColumnFormula>
    </tableColumn>
    <tableColumn id="5" xr3:uid="{812BDAE0-8F42-4C7B-AE6F-4D63E1F3DC05}" name="AVERAGE" dataCellStyle="Normal">
      <calculatedColumnFormula>AVERAGE(H2,I2)</calculatedColumnFormula>
    </tableColumn>
    <tableColumn id="6" xr3:uid="{748C8A15-B838-49DE-89D4-FD223B38275D}" name="SUM" dataCellStyle="Normal">
      <calculatedColumnFormula>SUM(H2,I2)</calculatedColumnFormula>
    </tableColumn>
    <tableColumn id="7" xr3:uid="{9D6C922D-4B83-4608-8622-45BCE2EFDA88}" name="MEDAIN" dataCellStyle="Normal">
      <calculatedColumnFormula>MEDIAN(D2,G2)</calculatedColumnFormula>
    </tableColumn>
    <tableColumn id="8" xr3:uid="{283625A0-5037-4DAB-BD33-9EA5EE95868C}" name="RANK" dataCellStyle="Normal">
      <calculatedColumnFormula>RANK(B2,B:B)</calculatedColumnFormula>
    </tableColumn>
    <tableColumn id="9" xr3:uid="{04DA1A55-44CE-4533-8C35-3E4B0C3765AB}" name="LEFT" dataCellStyle="Normal">
      <calculatedColumnFormula>LEFT(C2,1)</calculatedColumnFormula>
    </tableColumn>
    <tableColumn id="10" xr3:uid="{E6936125-73F4-4635-A992-7EBC0D5A8B41}" name="Right" dataCellStyle="Normal">
      <calculatedColumnFormula>RIGHT(C2,2)</calculatedColumnFormula>
    </tableColumn>
    <tableColumn id="11" xr3:uid="{F057A775-426A-4E5E-BBC6-C30141B93D27}" name="Length" dataCellStyle="Normal">
      <calculatedColumnFormula>LEN(C2)</calculatedColumnFormula>
    </tableColumn>
    <tableColumn id="12" xr3:uid="{097A98F5-D5C3-4337-B02A-65005EA454AD}" name="Date" dataCellStyle="Normal"/>
    <tableColumn id="13" xr3:uid="{57C3675E-344E-49F8-B57D-3E6B0DF05BC6}" name="Year" dataCellStyle="Normal">
      <calculatedColumnFormula>YEAR(X2)</calculatedColumnFormula>
    </tableColumn>
    <tableColumn id="14" xr3:uid="{9F71330E-7924-472D-B476-6BBEE1B9AD9F}" name="Month" dataCellStyle="Normal">
      <calculatedColumnFormula>MONTH(X2)</calculatedColumnFormula>
    </tableColumn>
    <tableColumn id="15" xr3:uid="{C2CDCCC6-9370-40C9-BE7B-8FD678BEAFDD}" name="DAY" dataCellStyle="Normal">
      <calculatedColumnFormula>DAY(X2)</calculatedColumnFormula>
    </tableColumn>
    <tableColumn id="16" xr3:uid="{448FA3BF-A112-48EC-B090-5528D9E73F38}" name="WEEKDAYS" dataCellStyle="Normal">
      <calculatedColumnFormula>WEEKDAY(X2)</calculatedColumnFormula>
    </tableColumn>
    <tableColumn id="17" xr3:uid="{338FD27A-AB98-4603-A5B2-B466367DCA97}" name="EOMONTH" dataCellStyle="Normal">
      <calculatedColumnFormula>EOMONTH(X2,4)</calculatedColumnFormula>
    </tableColumn>
    <tableColumn id="18" xr3:uid="{4BC2FFB8-2583-41C9-B9E3-F952E4BC6126}" name="NETWORK DAYS" dataCellStyle="Normal">
      <calculatedColumnFormula>NETWORKDAYS(X2,AC2)</calculatedColumnFormula>
    </tableColumn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EF5ED0-8D37-47BF-82E0-FDC18D6DE740}" name="Table3" displayName="Table3" ref="AF37:AO47" totalsRowShown="0">
  <autoFilter ref="AF37:AO47" xr:uid="{30EF5ED0-8D37-47BF-82E0-FDC18D6DE740}"/>
  <tableColumns count="10">
    <tableColumn id="1" xr3:uid="{15CB019F-D95B-4211-9F64-81153EC311DC}" name="Employee_ID"/>
    <tableColumn id="2" xr3:uid="{AE9B01AB-5013-4D70-9F0D-4A1B31D94F9D}" name="Name"/>
    <tableColumn id="3" xr3:uid="{DDAD7903-D81E-4CEB-9CEE-A3F13D88D971}" name="Age"/>
    <tableColumn id="4" xr3:uid="{514183FC-3ADB-47F7-B36D-8526F55211D8}" name="Gender"/>
    <tableColumn id="5" xr3:uid="{2ED04623-0D48-4E1C-8D05-7E66BF31B0D3}" name="Department"/>
    <tableColumn id="6" xr3:uid="{21C13B09-C99E-40F7-ADA0-BD02A5020478}" name="Job_Role"/>
    <tableColumn id="7" xr3:uid="{25AF5C36-A9B7-481B-BD91-272DE5DF5E3B}" name="Salary"/>
    <tableColumn id="8" xr3:uid="{08E6F58A-B896-4BC6-92CD-FDFF0DC352F8}" name="Experience_Years"/>
    <tableColumn id="9" xr3:uid="{E968437C-0E1D-430B-B631-90BE09BCEF01}" name="Performance_Rating"/>
    <tableColumn id="10" xr3:uid="{A8A35C7D-DA1E-4B1E-97F0-8B5B316528FC}" name="Loc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4FF464-2BBC-4E72-82C2-8B87DDB0BEF7}" name="Table7" displayName="Table7" ref="AF57:AP66" totalsRowShown="0">
  <autoFilter ref="AF57:AP66" xr:uid="{384FF464-2BBC-4E72-82C2-8B87DDB0BEF7}"/>
  <tableColumns count="11">
    <tableColumn id="1" xr3:uid="{D265E801-4D30-4B73-BD53-68A3AA730A8E}" name="Employee_ID"/>
    <tableColumn id="2" xr3:uid="{8B0E6018-EB0A-40D1-A5F2-96B8C42B04FC}" name="EMP001"/>
    <tableColumn id="3" xr3:uid="{7AD5C290-C582-47C5-9FD6-0745ACA8501C}" name="EMP002"/>
    <tableColumn id="4" xr3:uid="{2AD8EED1-692E-4ACF-8F16-F5B1E1A239F8}" name="EMP003"/>
    <tableColumn id="5" xr3:uid="{46B916F2-1325-4E82-9071-913DFB34C8EC}" name="EMP004"/>
    <tableColumn id="6" xr3:uid="{49E72441-5E2F-4292-B251-446B2D381AD1}" name="EMP005"/>
    <tableColumn id="7" xr3:uid="{DFD02BA4-4F9A-451F-A238-6CF5A4ECA1D9}" name="EMP006"/>
    <tableColumn id="8" xr3:uid="{B71141D0-4AC4-4BD2-96B5-2187CFBD3339}" name="EMP007"/>
    <tableColumn id="9" xr3:uid="{3CEDCF8B-5F2D-4016-A654-486F1DE62CFD}" name="EMP008"/>
    <tableColumn id="10" xr3:uid="{E58BD38C-8E08-4865-B7C5-A98AC5F0976D}" name="EMP009"/>
    <tableColumn id="11" xr3:uid="{D38BBF14-917E-4B05-B93B-0952014A0E80}" name="EMP010"/>
  </tableColumns>
  <tableStyleInfo name="TableStyleLight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8456E-2534-4A18-A9C6-C1D69B5F06EE}" name="Table9" displayName="Table9" ref="AF51:AO55" totalsRowShown="0">
  <autoFilter ref="AF51:AO55" xr:uid="{9918456E-2534-4A18-A9C6-C1D69B5F06EE}"/>
  <tableColumns count="10">
    <tableColumn id="1" xr3:uid="{5449DB61-E1B0-460A-A312-05ED4E162A5C}" name="VLOOKUP"/>
    <tableColumn id="2" xr3:uid="{635A292C-8CED-49B2-8FE5-E72197B32DF5}" name="HLOOKUP"/>
    <tableColumn id="3" xr3:uid="{A7AE5EEB-2F94-4772-9893-14193696E49D}" name="Column1"/>
    <tableColumn id="4" xr3:uid="{0481CD77-AAD2-40E4-818F-A30AD830FEE3}" name="MATCH"/>
    <tableColumn id="5" xr3:uid="{705079EC-EDA7-4A6C-905A-8CE71E4CC04A}" name="Column2"/>
    <tableColumn id="6" xr3:uid="{37337138-D067-4BA2-81BB-BEECE00F6D83}" name="Column3"/>
    <tableColumn id="7" xr3:uid="{F44C6938-E265-42D7-A63F-456FBCFBD295}" name="INDEX"/>
    <tableColumn id="8" xr3:uid="{80A448C8-5964-4391-A4E9-0E1ECD0C547F}" name="Column4"/>
    <tableColumn id="9" xr3:uid="{91FAC03D-F6FA-40F4-AF8E-F6FBBFFFA8E4}" name="Column5"/>
    <tableColumn id="10" xr3:uid="{3BD89289-261B-470E-9504-B5F202057080}" name="XLOOKUP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297F6E1-FB9C-4CA7-AAFF-F7CE93AFE420}" name="Table21112" displayName="Table21112" ref="AF2:AN10" totalsRowShown="0" headerRowDxfId="14" headerRowCellStyle="Accent1" dataCellStyle="60% - Accent3">
  <autoFilter ref="AF2:AN10" xr:uid="{2297F6E1-FB9C-4CA7-AAFF-F7CE93AFE420}"/>
  <tableColumns count="9">
    <tableColumn id="1" xr3:uid="{D78AC097-4F82-4E04-B9D6-9AB89990D678}" name="INPUT" dataCellStyle="60% - Accent3"/>
    <tableColumn id="2" xr3:uid="{067A5CB2-4452-4E85-A43A-44DE95A4295C}" name="INPUT2" dataCellStyle="60% - Accent3"/>
    <tableColumn id="3" xr3:uid="{252FEFD2-A737-4F96-B6D8-E173777785ED}" name="FIND" dataCellStyle="60% - Accent3"/>
    <tableColumn id="4" xr3:uid="{8A3126C8-9EA8-4E5B-B07D-996737B02784}" name="INPUT3" dataCellStyle="60% - Accent3"/>
    <tableColumn id="5" xr3:uid="{6CAC6DB1-1E9E-4ACA-94A0-D371E1BEE515}" name="REPLACE" dataCellStyle="60% - Accent3"/>
    <tableColumn id="6" xr3:uid="{6F2E7DB6-D9B0-4BD9-903F-FD3A7ADD5AE4}" name="SUBSTITUTE" dataCellStyle="60% - Accent3"/>
    <tableColumn id="7" xr3:uid="{F744E111-2CE1-4E77-BFFB-D8710C17F30D}" name="MID" dataCellStyle="60% - Accent3"/>
    <tableColumn id="8" xr3:uid="{7333CFF9-B2BF-407E-B369-190585560457}" name="SEARCH" dataCellStyle="60% - Accent3"/>
    <tableColumn id="9" xr3:uid="{78F2319E-A157-4456-8AD1-0CF42B7A5CCD}" name="CONCAT" dataCellStyle="60% - Accent3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FE1771F-A4DB-4118-9504-DF5B4DEEF4D2}" name="Table4131415" displayName="Table4131415" ref="AF14:AK16" totalsRowShown="0">
  <autoFilter ref="AF14:AK16" xr:uid="{6FE1771F-A4DB-4118-9504-DF5B4DEEF4D2}"/>
  <tableColumns count="6">
    <tableColumn id="1" xr3:uid="{209EE404-9709-45B9-B1E4-B88899F9B6AE}" name="PRODUCT">
      <calculatedColumnFormula>PRODUCT(10,5)</calculatedColumnFormula>
    </tableColumn>
    <tableColumn id="2" xr3:uid="{BBBD4DB9-3C92-4909-B942-3A80EE4C30E0}" name="MOD">
      <calculatedColumnFormula>MOD(100,5)</calculatedColumnFormula>
    </tableColumn>
    <tableColumn id="3" xr3:uid="{054C240B-94BF-495E-9979-664C377B61B3}" name="FACT">
      <calculatedColumnFormula>FACT(10)</calculatedColumnFormula>
    </tableColumn>
    <tableColumn id="4" xr3:uid="{8BFD7A6C-7CE2-4057-87C0-5E329C85C636}" name="ROUND">
      <calculatedColumnFormula>ROUND(SQRT(26),2)</calculatedColumnFormula>
    </tableColumn>
    <tableColumn id="5" xr3:uid="{6816E502-42E3-4C85-8F00-DDDD397D190A}" name="ROUNDDOWN">
      <calculatedColumnFormula>ROUNDDOWN(SQRT(42),2)</calculatedColumnFormula>
    </tableColumn>
    <tableColumn id="6" xr3:uid="{9C8A07B2-64D3-43CD-BD7E-9FAD202BD463}" name="ROUNDUP">
      <calculatedColumnFormula>ROUNDUP(SQRT(28),2)</calculatedColumnFormula>
    </tableColumn>
  </tableColumns>
  <tableStyleInfo name="TableStyleDark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BCECC95-5FC5-478D-96E6-3FCED96D9835}" name="Table22" displayName="Table22" ref="A1:L49" totalsRowShown="0" headerRowDxfId="11" headerRowBorderDxfId="12" tableBorderDxfId="13" headerRowCellStyle="Input">
  <autoFilter ref="A1:L49" xr:uid="{8BCECC95-5FC5-478D-96E6-3FCED96D9835}"/>
  <tableColumns count="12">
    <tableColumn id="1" xr3:uid="{9D6533EE-978A-4571-B1D2-92933057A55A}" name="Churn"/>
    <tableColumn id="2" xr3:uid="{5796BE1A-E044-4F62-B9C3-986F946C43AA}" name="AccountWeeks"/>
    <tableColumn id="3" xr3:uid="{4A6AE5D0-C754-49ED-96FF-397DD5933128}" name="GENDER"/>
    <tableColumn id="4" xr3:uid="{B2FEBD4C-64E7-4664-B438-A4CAF3594CF6}" name="ContractRenewal"/>
    <tableColumn id="5" xr3:uid="{E6A9B70E-D226-4A4F-B7C9-73F0ADFF27D4}" name="DataPlan"/>
    <tableColumn id="6" xr3:uid="{BF3407A2-BB75-4687-8B7D-D6307F570B83}" name="DataUsage"/>
    <tableColumn id="7" xr3:uid="{14A7C599-212B-4678-86D9-F74717E2B236}" name="CustServCalls"/>
    <tableColumn id="8" xr3:uid="{29BF34D8-65E0-451C-858E-8A9BEFA4453F}" name="DayMins"/>
    <tableColumn id="9" xr3:uid="{96CB0A94-6820-4A8D-A7B1-CD945D472FB6}" name="DayCalls"/>
    <tableColumn id="10" xr3:uid="{957F5951-BE1B-4D80-9B26-6AE8DE8B1CD7}" name="MonthlyCharge"/>
    <tableColumn id="11" xr3:uid="{CB355857-EAA1-41D2-B043-C578CE112B8D}" name="OverageFee"/>
    <tableColumn id="12" xr3:uid="{E90017EC-7646-4E0F-AAAE-79FB47AD6488}" name="RoamMins"/>
  </tableColumns>
  <tableStyleInfo name="TableStyleMedium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814FCB9-7401-470C-8EFF-A4A377DFA646}" name="Table824" displayName="Table824" ref="A54:S64" totalsRowShown="0" headerRowDxfId="10">
  <autoFilter ref="A54:S64" xr:uid="{E814FCB9-7401-470C-8EFF-A4A377DFA646}"/>
  <tableColumns count="19">
    <tableColumn id="1" xr3:uid="{DC768F44-58D2-4691-95D4-FF02C1322054}" name="Employee_ID" dataDxfId="9"/>
    <tableColumn id="2" xr3:uid="{FA4CF11A-9B39-451D-AEA7-49E9DCA92D97}" name="Name" dataDxfId="8"/>
    <tableColumn id="3" xr3:uid="{4623D732-AD9E-4241-BECD-AB3F0955C131}" name="Age" dataDxfId="7"/>
    <tableColumn id="4" xr3:uid="{8BD08CEC-27E0-4C61-9B30-D1EE8620A41D}" name="Gender" dataDxfId="6"/>
    <tableColumn id="5" xr3:uid="{E82478F9-FBAC-4D8B-B6D7-B0EAA58C77D7}" name="Department" dataDxfId="5"/>
    <tableColumn id="6" xr3:uid="{3EDC41A5-C902-455D-A64A-144D980F7EDE}" name="Job_Role" dataDxfId="4"/>
    <tableColumn id="7" xr3:uid="{560B5C66-8356-47F4-B80D-3F0DDB21758B}" name="Salary" dataDxfId="3"/>
    <tableColumn id="8" xr3:uid="{3A9D3797-2239-4718-83E6-6B112BE88CD6}" name="Experience_Years" dataDxfId="2"/>
    <tableColumn id="9" xr3:uid="{C8741490-7CA4-4098-B3E3-4CC55B5CEA72}" name="Performance_Rating" dataDxfId="1"/>
    <tableColumn id="10" xr3:uid="{5426CD62-9C37-4BE6-8E40-C1F4C9F38AEB}" name="Location" dataDxfId="0"/>
    <tableColumn id="11" xr3:uid="{FD197567-4F4B-403E-93C8-DC16890AE88E}" name="Age status">
      <calculatedColumnFormula>IF(C55&gt;25,"ABOVE 25","BELOW 25")</calculatedColumnFormula>
    </tableColumn>
    <tableColumn id="12" xr3:uid="{30F6689A-7AB7-47F9-8E84-2B6345F194E8}" name="age_bins">
      <calculatedColumnFormula array="1">_xlfn.IFS(G54&lt;50000,"40000-50000",G54&lt;60000,"50000-60000",G54&lt;70000,"60000-70000",G54&lt;80000,"70000-80000",G54&lt;90000,"80000-90000")</calculatedColumnFormula>
    </tableColumn>
    <tableColumn id="13" xr3:uid="{8F3090E8-CAA3-4078-8567-36041DD9CDF7}" name="AND">
      <calculatedColumnFormula>AND(C55&lt;30,H55&lt;6)</calculatedColumnFormula>
    </tableColumn>
    <tableColumn id="14" xr3:uid="{B771FE2A-C3A4-4E86-A326-416A54B9E392}" name="OR">
      <calculatedColumnFormula>OR(C55&gt;35,H55&gt;3)</calculatedColumnFormula>
    </tableColumn>
    <tableColumn id="15" xr3:uid="{FA444B40-BED1-4CA9-8F13-FD1E0E8FEFFA}" name="NOT">
      <calculatedColumnFormula>NOT(G55&gt;60000)</calculatedColumnFormula>
    </tableColumn>
    <tableColumn id="16" xr3:uid="{13B5A8F9-0A49-4ABF-AB85-71058AA7580C}" name="XOR">
      <calculatedColumnFormula>_xlfn.XOR(C55&lt;25,G55&lt;10000)</calculatedColumnFormula>
    </tableColumn>
    <tableColumn id="17" xr3:uid="{1EF96D1F-B185-4844-8AA4-90C7294477F7}" name="ERROR"/>
    <tableColumn id="18" xr3:uid="{1D0F59EC-4EC4-4CE1-8240-4DE16AAE94EC}" name="ISBLANK">
      <calculatedColumnFormula>ISBLANK(I55)</calculatedColumnFormula>
    </tableColumn>
    <tableColumn id="19" xr3:uid="{3D3C072E-F7EE-44AB-BABD-548CCD307F52}" name="ISNUMBER">
      <calculatedColumnFormula>ISNUMBER(I55)</calculatedColumnFormula>
    </tableColumn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095A568-4950-468C-88F3-03890ADB02EF}" name="Table6192026" displayName="Table6192026" ref="B69:G77" totalsRowShown="0">
  <autoFilter ref="B69:G77" xr:uid="{F095A568-4950-468C-88F3-03890ADB02EF}"/>
  <tableColumns count="6">
    <tableColumn id="1" xr3:uid="{710A532F-F5F2-4234-B6CC-83E6B415B1F0}" name="Column1"/>
    <tableColumn id="2" xr3:uid="{A1719AD3-F00C-4D99-A8B9-518C9C7C1B9B}" name="Column2"/>
    <tableColumn id="3" xr3:uid="{0B131C8D-0E72-4366-AA7A-8DE12A5534B4}" name="Column3"/>
    <tableColumn id="4" xr3:uid="{DED4170B-AD09-4B7F-B90C-CC5036844329}" name="Column4"/>
    <tableColumn id="5" xr3:uid="{CD6A5A86-A2DA-493A-BA5E-70F704F47383}" name="Column5"/>
    <tableColumn id="6" xr3:uid="{2A4A64FC-10D1-4D02-9A83-6B95BD8764DC}" name="Column6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F1321-4A1E-4089-BD50-19DD412397C8}">
  <dimension ref="A1:AX154"/>
  <sheetViews>
    <sheetView tabSelected="1" topLeftCell="A31" zoomScale="55" zoomScaleNormal="55" workbookViewId="0">
      <selection activeCell="Z70" sqref="Z70"/>
    </sheetView>
  </sheetViews>
  <sheetFormatPr defaultRowHeight="15" x14ac:dyDescent="0.25"/>
  <cols>
    <col min="2" max="2" width="17.7109375" customWidth="1"/>
    <col min="3" max="3" width="14.42578125" customWidth="1"/>
    <col min="4" max="4" width="19.5703125" customWidth="1"/>
    <col min="5" max="5" width="12.28515625" customWidth="1"/>
    <col min="6" max="6" width="13.85546875" customWidth="1"/>
    <col min="7" max="7" width="16.28515625" customWidth="1"/>
    <col min="8" max="8" width="12.140625" customWidth="1"/>
    <col min="9" max="9" width="11.42578125" customWidth="1"/>
    <col min="10" max="10" width="17.5703125" customWidth="1"/>
    <col min="11" max="11" width="15.140625" customWidth="1"/>
    <col min="12" max="12" width="13" customWidth="1"/>
    <col min="14" max="14" width="9.7109375" customWidth="1"/>
    <col min="17" max="17" width="11.42578125" customWidth="1"/>
    <col min="19" max="19" width="10.42578125" customWidth="1"/>
    <col min="24" max="24" width="10.42578125" bestFit="1" customWidth="1"/>
    <col min="28" max="28" width="12.7109375" customWidth="1"/>
    <col min="29" max="29" width="12.42578125" customWidth="1"/>
    <col min="30" max="30" width="17.140625" customWidth="1"/>
    <col min="31" max="31" width="12.85546875" customWidth="1"/>
    <col min="32" max="32" width="17.140625" customWidth="1"/>
    <col min="33" max="33" width="14.42578125" customWidth="1"/>
    <col min="34" max="34" width="9.42578125" customWidth="1"/>
    <col min="35" max="35" width="15.7109375" customWidth="1"/>
    <col min="36" max="36" width="16.28515625" customWidth="1"/>
    <col min="37" max="37" width="16.7109375" customWidth="1"/>
    <col min="38" max="38" width="11" customWidth="1"/>
    <col min="39" max="39" width="22" customWidth="1"/>
    <col min="40" max="40" width="26" customWidth="1"/>
    <col min="41" max="41" width="14.85546875" customWidth="1"/>
    <col min="42" max="42" width="19.140625" customWidth="1"/>
    <col min="43" max="43" width="12.28515625" customWidth="1"/>
    <col min="48" max="48" width="11" customWidth="1"/>
    <col min="49" max="49" width="12.42578125" customWidth="1"/>
    <col min="50" max="50" width="14.7109375" customWidth="1"/>
  </cols>
  <sheetData>
    <row r="1" spans="1:40" ht="37.5" x14ac:dyDescent="0.6">
      <c r="A1" s="20" t="s">
        <v>0</v>
      </c>
      <c r="B1" s="20" t="s">
        <v>1</v>
      </c>
      <c r="C1" s="20" t="s">
        <v>20</v>
      </c>
      <c r="D1" s="20" t="s">
        <v>2</v>
      </c>
      <c r="E1" s="20" t="s">
        <v>3</v>
      </c>
      <c r="F1" s="20" t="s">
        <v>4</v>
      </c>
      <c r="G1" s="20" t="s">
        <v>5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45</v>
      </c>
      <c r="AB1" t="s">
        <v>44</v>
      </c>
      <c r="AC1" t="s">
        <v>42</v>
      </c>
      <c r="AD1" t="s">
        <v>43</v>
      </c>
      <c r="AF1" s="15" t="s">
        <v>160</v>
      </c>
    </row>
    <row r="2" spans="1:40" x14ac:dyDescent="0.25">
      <c r="A2">
        <v>0</v>
      </c>
      <c r="B2">
        <v>128</v>
      </c>
      <c r="C2" t="s">
        <v>22</v>
      </c>
      <c r="D2">
        <v>1</v>
      </c>
      <c r="E2">
        <v>1</v>
      </c>
      <c r="F2">
        <v>2.7</v>
      </c>
      <c r="G2">
        <v>1</v>
      </c>
      <c r="H2">
        <v>265.10000000000002</v>
      </c>
      <c r="I2">
        <v>110</v>
      </c>
      <c r="J2">
        <v>89</v>
      </c>
      <c r="K2">
        <v>9.8699999999999992</v>
      </c>
      <c r="L2">
        <v>10</v>
      </c>
      <c r="M2">
        <f>SQRT(B2)</f>
        <v>11.313708498984761</v>
      </c>
      <c r="N2">
        <f>ROUND(Table1[[#This Row],[SQRT]],2)</f>
        <v>11.31</v>
      </c>
      <c r="O2">
        <f>MIN(H2,I2)</f>
        <v>110</v>
      </c>
      <c r="P2">
        <f>MAX(H2,I2)</f>
        <v>265.10000000000002</v>
      </c>
      <c r="Q2">
        <f>AVERAGE(H2,I2)</f>
        <v>187.55</v>
      </c>
      <c r="R2">
        <f>SUM(H2,I2)</f>
        <v>375.1</v>
      </c>
      <c r="S2">
        <f>MEDIAN(D2,G2)</f>
        <v>1</v>
      </c>
      <c r="T2" t="e">
        <f>RANK(B2,B:B)</f>
        <v>#REF!</v>
      </c>
      <c r="U2" t="str">
        <f>LEFT(C2,1)</f>
        <v>M</v>
      </c>
      <c r="V2" t="str">
        <f>RIGHT(C2,2)</f>
        <v>le</v>
      </c>
      <c r="W2">
        <f>LEN(C2)</f>
        <v>4</v>
      </c>
      <c r="X2">
        <v>46113</v>
      </c>
      <c r="Y2">
        <f>YEAR(X2)</f>
        <v>2026</v>
      </c>
      <c r="Z2">
        <f>MONTH(X2)</f>
        <v>4</v>
      </c>
      <c r="AA2">
        <f>DAY(X2)</f>
        <v>1</v>
      </c>
      <c r="AB2">
        <f>WEEKDAY(X2)</f>
        <v>4</v>
      </c>
      <c r="AC2">
        <f>EOMONTH(X2,2)</f>
        <v>46203</v>
      </c>
      <c r="AD2">
        <f>NETWORKDAYS(X2,AC2)</f>
        <v>65</v>
      </c>
      <c r="AF2" s="4" t="s">
        <v>35</v>
      </c>
      <c r="AG2" s="5" t="s">
        <v>46</v>
      </c>
      <c r="AH2" s="5" t="s">
        <v>28</v>
      </c>
      <c r="AI2" s="2" t="s">
        <v>47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</row>
    <row r="3" spans="1:40" x14ac:dyDescent="0.25">
      <c r="A3">
        <v>0</v>
      </c>
      <c r="B3">
        <v>107</v>
      </c>
      <c r="C3" t="s">
        <v>22</v>
      </c>
      <c r="D3">
        <v>1</v>
      </c>
      <c r="E3">
        <v>1</v>
      </c>
      <c r="F3">
        <v>3.7</v>
      </c>
      <c r="G3">
        <v>1</v>
      </c>
      <c r="H3">
        <v>161.6</v>
      </c>
      <c r="I3">
        <v>123</v>
      </c>
      <c r="J3">
        <v>82</v>
      </c>
      <c r="K3">
        <v>9.7799999999999994</v>
      </c>
      <c r="L3">
        <v>13.7</v>
      </c>
      <c r="M3">
        <f>SQRT(B3)</f>
        <v>10.344080432788601</v>
      </c>
      <c r="N3">
        <f>ROUND(Table1[[#This Row],[SQRT]],2)</f>
        <v>10.34</v>
      </c>
      <c r="O3">
        <f>MIN(H3,I3)</f>
        <v>123</v>
      </c>
      <c r="P3">
        <f>MAX(H3,I3)</f>
        <v>161.6</v>
      </c>
      <c r="Q3">
        <f>AVERAGE(H3,I3)</f>
        <v>142.30000000000001</v>
      </c>
      <c r="R3">
        <f>SUM(H3,I3)</f>
        <v>284.60000000000002</v>
      </c>
      <c r="S3">
        <f>MEDIAN(D3,G3)</f>
        <v>1</v>
      </c>
      <c r="T3" t="e">
        <f>RANK(B3,B:B)</f>
        <v>#REF!</v>
      </c>
      <c r="U3" t="str">
        <f>LEFT(C3,1)</f>
        <v>M</v>
      </c>
      <c r="V3" t="str">
        <f>RIGHT(C3,2)</f>
        <v>le</v>
      </c>
      <c r="W3">
        <f>LEN(C3)</f>
        <v>4</v>
      </c>
      <c r="X3">
        <v>46114</v>
      </c>
      <c r="Y3">
        <f t="shared" ref="Y3:Y49" si="0">YEAR(X3)</f>
        <v>2026</v>
      </c>
      <c r="Z3">
        <f>MONTH(X3)</f>
        <v>4</v>
      </c>
      <c r="AA3">
        <f>DAY(X3)</f>
        <v>2</v>
      </c>
      <c r="AB3">
        <f t="shared" ref="AB3:AB49" si="1">WEEKDAY(X3)</f>
        <v>5</v>
      </c>
      <c r="AC3">
        <f>EOMONTH(X3,4)</f>
        <v>46265</v>
      </c>
      <c r="AD3">
        <f>NETWORKDAYS(X3,AC3)</f>
        <v>108</v>
      </c>
      <c r="AF3" s="3" t="s">
        <v>29</v>
      </c>
      <c r="AG3" s="3" t="s">
        <v>33</v>
      </c>
      <c r="AH3" s="3">
        <f>FIND(AF3,AG3)</f>
        <v>1</v>
      </c>
      <c r="AI3" s="3" t="s">
        <v>36</v>
      </c>
      <c r="AJ3" s="3" t="str">
        <f>REPLACE(AI3,1,3,"EFG")</f>
        <v>EFG-2026-011</v>
      </c>
      <c r="AK3" s="3" t="str">
        <f>SUBSTITUTE(AI3,"ABC","ZZZ")</f>
        <v>ZZZ-2026-011</v>
      </c>
      <c r="AL3" s="3" t="str">
        <f>MID(AG3,2,3)</f>
        <v>PPL</v>
      </c>
      <c r="AM3" s="3">
        <f>SEARCH("L",AG3,1)</f>
        <v>4</v>
      </c>
      <c r="AN3" s="3" t="str">
        <f>_xlfn.CONCAT(AG3,AG9)</f>
        <v>APPLEMANGO</v>
      </c>
    </row>
    <row r="4" spans="1:40" x14ac:dyDescent="0.25">
      <c r="A4">
        <v>0</v>
      </c>
      <c r="B4">
        <v>137</v>
      </c>
      <c r="C4" t="s">
        <v>22</v>
      </c>
      <c r="D4">
        <v>1</v>
      </c>
      <c r="E4">
        <v>0</v>
      </c>
      <c r="F4">
        <v>0</v>
      </c>
      <c r="G4">
        <v>0</v>
      </c>
      <c r="H4">
        <v>243.4</v>
      </c>
      <c r="I4">
        <v>114</v>
      </c>
      <c r="J4">
        <v>52</v>
      </c>
      <c r="K4">
        <v>6.06</v>
      </c>
      <c r="L4">
        <v>12.2</v>
      </c>
      <c r="M4">
        <f>SQRT(B4)</f>
        <v>11.704699910719626</v>
      </c>
      <c r="N4">
        <f>ROUND(Table1[[#This Row],[SQRT]],2)</f>
        <v>11.7</v>
      </c>
      <c r="O4">
        <f>MIN(H4,I4)</f>
        <v>114</v>
      </c>
      <c r="P4">
        <f>MAX(H4,I4)</f>
        <v>243.4</v>
      </c>
      <c r="Q4">
        <f>AVERAGE(H4,I4)</f>
        <v>178.7</v>
      </c>
      <c r="R4">
        <f>SUM(H4,I4)</f>
        <v>357.4</v>
      </c>
      <c r="S4">
        <f>MEDIAN(D4,G4)</f>
        <v>0.5</v>
      </c>
      <c r="T4" t="e">
        <f>RANK(B4,B:B)</f>
        <v>#REF!</v>
      </c>
      <c r="U4" t="str">
        <f>LEFT(C4,1)</f>
        <v>M</v>
      </c>
      <c r="V4" t="str">
        <f>RIGHT(C4,2)</f>
        <v>le</v>
      </c>
      <c r="W4">
        <f>LEN(C4)</f>
        <v>4</v>
      </c>
      <c r="X4">
        <v>46115</v>
      </c>
      <c r="Y4">
        <f t="shared" si="0"/>
        <v>2026</v>
      </c>
      <c r="Z4">
        <f>MONTH(X4)</f>
        <v>4</v>
      </c>
      <c r="AA4">
        <f>DAY(X4)</f>
        <v>3</v>
      </c>
      <c r="AB4">
        <f t="shared" si="1"/>
        <v>6</v>
      </c>
      <c r="AC4">
        <f>EOMONTH(X4,4)</f>
        <v>46265</v>
      </c>
      <c r="AD4">
        <f>NETWORKDAYS(X4,AC4)</f>
        <v>107</v>
      </c>
      <c r="AF4" s="3" t="s">
        <v>31</v>
      </c>
      <c r="AG4" s="3" t="s">
        <v>33</v>
      </c>
      <c r="AH4" s="3">
        <f t="shared" ref="AH4:AH7" si="2">FIND(AF4,AG4)</f>
        <v>2</v>
      </c>
      <c r="AI4" s="3"/>
      <c r="AJ4" s="3" t="str">
        <f>REPLACE(AI3,5,4,"2027")</f>
        <v>ABC-2027-011</v>
      </c>
      <c r="AK4" s="3" t="str">
        <f>SUBSTITUTE(AI3,"011","022")</f>
        <v>ABC-2026-022</v>
      </c>
      <c r="AL4" s="3" t="str">
        <f>MID(AG4,1,5)</f>
        <v>APPLE</v>
      </c>
      <c r="AM4" s="3">
        <f>SEARCH("E",AG4,1)</f>
        <v>5</v>
      </c>
      <c r="AN4" s="3"/>
    </row>
    <row r="5" spans="1:40" x14ac:dyDescent="0.25">
      <c r="A5">
        <v>0</v>
      </c>
      <c r="B5">
        <v>84</v>
      </c>
      <c r="C5" t="s">
        <v>22</v>
      </c>
      <c r="D5">
        <v>0</v>
      </c>
      <c r="E5">
        <v>0</v>
      </c>
      <c r="F5">
        <v>0</v>
      </c>
      <c r="G5">
        <v>2</v>
      </c>
      <c r="H5">
        <v>299.39999999999998</v>
      </c>
      <c r="I5">
        <v>71</v>
      </c>
      <c r="J5">
        <v>57</v>
      </c>
      <c r="K5">
        <v>3.1</v>
      </c>
      <c r="L5">
        <v>6.6</v>
      </c>
      <c r="M5">
        <f>SQRT(B5)</f>
        <v>9.1651513899116797</v>
      </c>
      <c r="N5">
        <f>ROUND(Table1[[#This Row],[SQRT]],2)</f>
        <v>9.17</v>
      </c>
      <c r="O5">
        <f>MIN(H5,I5)</f>
        <v>71</v>
      </c>
      <c r="P5">
        <f>MAX(H5,I5)</f>
        <v>299.39999999999998</v>
      </c>
      <c r="Q5">
        <f>AVERAGE(H5,I5)</f>
        <v>185.2</v>
      </c>
      <c r="R5">
        <f>SUM(H5,I5)</f>
        <v>370.4</v>
      </c>
      <c r="S5">
        <f>MEDIAN(D5,G5)</f>
        <v>1</v>
      </c>
      <c r="T5" t="e">
        <f>RANK(B5,B:B)</f>
        <v>#REF!</v>
      </c>
      <c r="U5" t="str">
        <f>LEFT(C5,1)</f>
        <v>M</v>
      </c>
      <c r="V5" t="str">
        <f>RIGHT(C5,2)</f>
        <v>le</v>
      </c>
      <c r="W5">
        <f>LEN(C5)</f>
        <v>4</v>
      </c>
      <c r="X5">
        <v>46116</v>
      </c>
      <c r="Y5">
        <f t="shared" si="0"/>
        <v>2026</v>
      </c>
      <c r="Z5">
        <f>MONTH(X5)</f>
        <v>4</v>
      </c>
      <c r="AA5">
        <f>DAY(X5)</f>
        <v>4</v>
      </c>
      <c r="AB5">
        <f t="shared" si="1"/>
        <v>7</v>
      </c>
      <c r="AC5">
        <f>EOMONTH(X5,4)</f>
        <v>46265</v>
      </c>
      <c r="AD5">
        <f>NETWORKDAYS(X5,AC5)</f>
        <v>106</v>
      </c>
      <c r="AF5" s="3" t="s">
        <v>31</v>
      </c>
      <c r="AG5" s="3" t="s">
        <v>33</v>
      </c>
      <c r="AH5" s="3">
        <f t="shared" si="2"/>
        <v>2</v>
      </c>
      <c r="AI5" s="3"/>
      <c r="AJ5" s="3"/>
      <c r="AK5" s="3"/>
      <c r="AL5" s="3" t="str">
        <f>MID(AG5,3,5)</f>
        <v>PLE</v>
      </c>
      <c r="AM5" s="3"/>
      <c r="AN5" s="3"/>
    </row>
    <row r="6" spans="1:40" x14ac:dyDescent="0.25">
      <c r="A6">
        <v>0</v>
      </c>
      <c r="B6">
        <v>75</v>
      </c>
      <c r="C6" t="s">
        <v>22</v>
      </c>
      <c r="D6">
        <v>0</v>
      </c>
      <c r="E6">
        <v>0</v>
      </c>
      <c r="F6">
        <v>0</v>
      </c>
      <c r="G6">
        <v>3</v>
      </c>
      <c r="H6">
        <v>166.7</v>
      </c>
      <c r="I6">
        <v>113</v>
      </c>
      <c r="J6">
        <v>41</v>
      </c>
      <c r="K6">
        <v>7.42</v>
      </c>
      <c r="L6">
        <v>10.1</v>
      </c>
      <c r="M6">
        <f>SQRT(B6)</f>
        <v>8.6602540378443873</v>
      </c>
      <c r="N6">
        <f>ROUND(Table1[[#This Row],[SQRT]],2)</f>
        <v>8.66</v>
      </c>
      <c r="O6">
        <f>MIN(H6,I6)</f>
        <v>113</v>
      </c>
      <c r="P6">
        <f>MAX(H6,I6)</f>
        <v>166.7</v>
      </c>
      <c r="Q6">
        <f>AVERAGE(H6,I6)</f>
        <v>139.85</v>
      </c>
      <c r="R6">
        <f>SUM(H6,I6)</f>
        <v>279.7</v>
      </c>
      <c r="S6">
        <f>MEDIAN(D6,G6)</f>
        <v>1.5</v>
      </c>
      <c r="T6" t="e">
        <f>RANK(B6,B:B)</f>
        <v>#REF!</v>
      </c>
      <c r="U6" t="str">
        <f>LEFT(C6,1)</f>
        <v>M</v>
      </c>
      <c r="V6" t="str">
        <f>RIGHT(C6,2)</f>
        <v>le</v>
      </c>
      <c r="W6">
        <f>LEN(C6)</f>
        <v>4</v>
      </c>
      <c r="X6">
        <v>46117</v>
      </c>
      <c r="Y6">
        <f t="shared" si="0"/>
        <v>2026</v>
      </c>
      <c r="Z6">
        <f>MONTH(X6)</f>
        <v>4</v>
      </c>
      <c r="AA6">
        <f>DAY(X6)</f>
        <v>5</v>
      </c>
      <c r="AB6">
        <f t="shared" si="1"/>
        <v>1</v>
      </c>
      <c r="AC6">
        <f>EOMONTH(X6,4)</f>
        <v>46265</v>
      </c>
      <c r="AD6">
        <f>NETWORKDAYS(X6,AC6)</f>
        <v>106</v>
      </c>
      <c r="AF6" s="3" t="s">
        <v>32</v>
      </c>
      <c r="AG6" s="3" t="s">
        <v>33</v>
      </c>
      <c r="AH6" s="3">
        <f t="shared" si="2"/>
        <v>4</v>
      </c>
      <c r="AI6" s="3"/>
      <c r="AJ6" s="3"/>
      <c r="AK6" s="3"/>
      <c r="AL6" s="3"/>
      <c r="AM6" s="3"/>
      <c r="AN6" s="3"/>
    </row>
    <row r="7" spans="1:40" x14ac:dyDescent="0.25">
      <c r="A7">
        <v>0</v>
      </c>
      <c r="B7">
        <v>118</v>
      </c>
      <c r="C7" t="s">
        <v>22</v>
      </c>
      <c r="D7">
        <v>0</v>
      </c>
      <c r="E7">
        <v>0</v>
      </c>
      <c r="F7">
        <v>0</v>
      </c>
      <c r="G7">
        <v>0</v>
      </c>
      <c r="H7">
        <v>223.4</v>
      </c>
      <c r="I7">
        <v>98</v>
      </c>
      <c r="J7">
        <v>57</v>
      </c>
      <c r="K7">
        <v>11.03</v>
      </c>
      <c r="L7">
        <v>6.3</v>
      </c>
      <c r="M7">
        <f>SQRT(B7)</f>
        <v>10.862780491200215</v>
      </c>
      <c r="N7">
        <f>ROUND(Table1[[#This Row],[SQRT]],2)</f>
        <v>10.86</v>
      </c>
      <c r="O7">
        <f>MIN(H7,I7)</f>
        <v>98</v>
      </c>
      <c r="P7">
        <f>MAX(H7,I7)</f>
        <v>223.4</v>
      </c>
      <c r="Q7">
        <f>AVERAGE(H7,I7)</f>
        <v>160.69999999999999</v>
      </c>
      <c r="R7">
        <f>SUM(H7,I7)</f>
        <v>321.39999999999998</v>
      </c>
      <c r="S7">
        <f>MEDIAN(D7,G7)</f>
        <v>0</v>
      </c>
      <c r="T7" t="e">
        <f>RANK(B7,B:B)</f>
        <v>#REF!</v>
      </c>
      <c r="U7" t="str">
        <f>LEFT(C7,1)</f>
        <v>M</v>
      </c>
      <c r="V7" t="str">
        <f>RIGHT(C7,2)</f>
        <v>le</v>
      </c>
      <c r="W7">
        <f>LEN(C7)</f>
        <v>4</v>
      </c>
      <c r="X7">
        <v>46118</v>
      </c>
      <c r="Y7">
        <f t="shared" si="0"/>
        <v>2026</v>
      </c>
      <c r="Z7">
        <f>MONTH(X7)</f>
        <v>4</v>
      </c>
      <c r="AA7">
        <f>DAY(X7)</f>
        <v>6</v>
      </c>
      <c r="AB7">
        <f t="shared" si="1"/>
        <v>2</v>
      </c>
      <c r="AC7">
        <f>EOMONTH(X7,4)</f>
        <v>46265</v>
      </c>
      <c r="AD7">
        <f>NETWORKDAYS(X7,AC7)</f>
        <v>106</v>
      </c>
      <c r="AF7" s="3" t="s">
        <v>30</v>
      </c>
      <c r="AG7" s="3" t="s">
        <v>33</v>
      </c>
      <c r="AH7" s="3">
        <f t="shared" si="2"/>
        <v>5</v>
      </c>
      <c r="AI7" s="3"/>
      <c r="AJ7" s="3"/>
      <c r="AK7" s="3"/>
      <c r="AL7" s="3"/>
      <c r="AM7" s="3"/>
      <c r="AN7" s="3"/>
    </row>
    <row r="8" spans="1:40" x14ac:dyDescent="0.25">
      <c r="A8">
        <v>0</v>
      </c>
      <c r="B8">
        <v>121</v>
      </c>
      <c r="C8" t="s">
        <v>22</v>
      </c>
      <c r="D8">
        <v>1</v>
      </c>
      <c r="E8">
        <v>1</v>
      </c>
      <c r="F8">
        <v>2.0299999999999998</v>
      </c>
      <c r="G8">
        <v>3</v>
      </c>
      <c r="H8">
        <v>218.2</v>
      </c>
      <c r="I8">
        <v>88</v>
      </c>
      <c r="J8">
        <v>87.3</v>
      </c>
      <c r="K8">
        <v>17.43</v>
      </c>
      <c r="L8">
        <v>7.5</v>
      </c>
      <c r="M8">
        <f>SQRT(B8)</f>
        <v>11</v>
      </c>
      <c r="N8">
        <f>ROUND(Table1[[#This Row],[SQRT]],2)</f>
        <v>11</v>
      </c>
      <c r="O8">
        <f>MIN(H8,I8)</f>
        <v>88</v>
      </c>
      <c r="P8">
        <f>MAX(H8,I8)</f>
        <v>218.2</v>
      </c>
      <c r="Q8">
        <f>AVERAGE(H8,I8)</f>
        <v>153.1</v>
      </c>
      <c r="R8">
        <f>SUM(H8,I8)</f>
        <v>306.2</v>
      </c>
      <c r="S8">
        <f>MEDIAN(D8,G8)</f>
        <v>2</v>
      </c>
      <c r="T8" t="e">
        <f>RANK(B8,B:B)</f>
        <v>#REF!</v>
      </c>
      <c r="U8" t="str">
        <f>LEFT(C8,1)</f>
        <v>M</v>
      </c>
      <c r="V8" t="str">
        <f>RIGHT(C8,2)</f>
        <v>le</v>
      </c>
      <c r="W8">
        <f>LEN(C8)</f>
        <v>4</v>
      </c>
      <c r="X8">
        <v>46119</v>
      </c>
      <c r="Y8">
        <f t="shared" si="0"/>
        <v>2026</v>
      </c>
      <c r="Z8">
        <f>MONTH(X8)</f>
        <v>4</v>
      </c>
      <c r="AA8">
        <f>DAY(X8)</f>
        <v>7</v>
      </c>
      <c r="AB8">
        <f t="shared" si="1"/>
        <v>3</v>
      </c>
      <c r="AC8">
        <f>EOMONTH(X8,4)</f>
        <v>46265</v>
      </c>
      <c r="AD8">
        <f>NETWORKDAYS(X8,AC8)</f>
        <v>105</v>
      </c>
      <c r="AF8" s="3"/>
      <c r="AG8" s="3"/>
      <c r="AH8" s="3"/>
      <c r="AI8" s="3"/>
      <c r="AJ8" s="3"/>
      <c r="AK8" s="3"/>
      <c r="AL8" s="3"/>
      <c r="AM8" s="3"/>
      <c r="AN8" s="3"/>
    </row>
    <row r="9" spans="1:40" x14ac:dyDescent="0.25">
      <c r="A9">
        <v>0</v>
      </c>
      <c r="B9">
        <v>147</v>
      </c>
      <c r="C9" t="s">
        <v>22</v>
      </c>
      <c r="D9">
        <v>0</v>
      </c>
      <c r="E9">
        <v>0</v>
      </c>
      <c r="F9">
        <v>0</v>
      </c>
      <c r="G9">
        <v>0</v>
      </c>
      <c r="H9">
        <v>157</v>
      </c>
      <c r="I9">
        <v>79</v>
      </c>
      <c r="J9">
        <v>36</v>
      </c>
      <c r="K9">
        <v>5.16</v>
      </c>
      <c r="L9">
        <v>7.1</v>
      </c>
      <c r="M9">
        <f>SQRT(B9)</f>
        <v>12.124355652982141</v>
      </c>
      <c r="N9">
        <f>ROUND(Table1[[#This Row],[SQRT]],2)</f>
        <v>12.12</v>
      </c>
      <c r="O9">
        <f>MIN(H9,I9)</f>
        <v>79</v>
      </c>
      <c r="P9">
        <f>MAX(H9,I9)</f>
        <v>157</v>
      </c>
      <c r="Q9">
        <f>AVERAGE(H9,I9)</f>
        <v>118</v>
      </c>
      <c r="R9">
        <f>SUM(H9,I9)</f>
        <v>236</v>
      </c>
      <c r="S9">
        <f>MEDIAN(D9,G9)</f>
        <v>0</v>
      </c>
      <c r="T9" t="e">
        <f>RANK(B9,B:B)</f>
        <v>#REF!</v>
      </c>
      <c r="U9" t="str">
        <f>LEFT(C9,1)</f>
        <v>M</v>
      </c>
      <c r="V9" t="str">
        <f>RIGHT(C9,2)</f>
        <v>le</v>
      </c>
      <c r="W9">
        <f>LEN(C9)</f>
        <v>4</v>
      </c>
      <c r="X9">
        <v>46120</v>
      </c>
      <c r="Y9">
        <f t="shared" si="0"/>
        <v>2026</v>
      </c>
      <c r="Z9">
        <f>MONTH(X9)</f>
        <v>4</v>
      </c>
      <c r="AA9">
        <f>DAY(X9)</f>
        <v>8</v>
      </c>
      <c r="AB9">
        <f t="shared" si="1"/>
        <v>4</v>
      </c>
      <c r="AC9">
        <f>EOMONTH(X9,4)</f>
        <v>46265</v>
      </c>
      <c r="AD9">
        <f>NETWORKDAYS(X9,AC9)</f>
        <v>104</v>
      </c>
      <c r="AF9" s="3"/>
      <c r="AG9" s="3" t="s">
        <v>41</v>
      </c>
      <c r="AH9" s="3"/>
      <c r="AI9" s="3"/>
      <c r="AJ9" s="3"/>
      <c r="AK9" s="3"/>
      <c r="AL9" s="3"/>
      <c r="AM9" s="3"/>
      <c r="AN9" s="3"/>
    </row>
    <row r="10" spans="1:40" ht="34.5" x14ac:dyDescent="0.55000000000000004">
      <c r="A10">
        <v>0</v>
      </c>
      <c r="B10">
        <v>117</v>
      </c>
      <c r="C10" t="s">
        <v>22</v>
      </c>
      <c r="D10">
        <v>1</v>
      </c>
      <c r="E10">
        <v>0</v>
      </c>
      <c r="F10">
        <v>0.19</v>
      </c>
      <c r="G10">
        <v>1</v>
      </c>
      <c r="H10">
        <v>184.5</v>
      </c>
      <c r="I10">
        <v>97</v>
      </c>
      <c r="J10">
        <v>63.9</v>
      </c>
      <c r="K10">
        <v>17.579999999999998</v>
      </c>
      <c r="L10">
        <v>8.6999999999999993</v>
      </c>
      <c r="M10">
        <f>SQRT(B10)</f>
        <v>10.816653826391969</v>
      </c>
      <c r="N10">
        <f>ROUND(Table1[[#This Row],[SQRT]],2)</f>
        <v>10.82</v>
      </c>
      <c r="O10">
        <f>MIN(H10,I10)</f>
        <v>97</v>
      </c>
      <c r="P10">
        <f>MAX(H10,I10)</f>
        <v>184.5</v>
      </c>
      <c r="Q10">
        <f>AVERAGE(H10,I10)</f>
        <v>140.75</v>
      </c>
      <c r="R10">
        <f>SUM(H10,I10)</f>
        <v>281.5</v>
      </c>
      <c r="S10">
        <f>MEDIAN(D10,G10)</f>
        <v>1</v>
      </c>
      <c r="T10" t="e">
        <f>RANK(B10,B:B)</f>
        <v>#REF!</v>
      </c>
      <c r="U10" t="str">
        <f>LEFT(C10,1)</f>
        <v>M</v>
      </c>
      <c r="V10" t="str">
        <f>RIGHT(C10,2)</f>
        <v>le</v>
      </c>
      <c r="W10">
        <f>LEN(C10)</f>
        <v>4</v>
      </c>
      <c r="X10">
        <v>46121</v>
      </c>
      <c r="Y10">
        <f t="shared" si="0"/>
        <v>2026</v>
      </c>
      <c r="Z10">
        <f>MONTH(X10)</f>
        <v>4</v>
      </c>
      <c r="AA10">
        <f>DAY(X10)</f>
        <v>9</v>
      </c>
      <c r="AB10">
        <f t="shared" si="1"/>
        <v>5</v>
      </c>
      <c r="AC10">
        <f>EOMONTH(X10,4)</f>
        <v>46265</v>
      </c>
      <c r="AD10">
        <f>NETWORKDAYS(X10,AC10)</f>
        <v>103</v>
      </c>
      <c r="AE10" s="13"/>
      <c r="AF10" s="3"/>
      <c r="AG10" s="3"/>
      <c r="AH10" s="3"/>
      <c r="AI10" s="3"/>
      <c r="AJ10" s="3"/>
      <c r="AK10" s="3"/>
      <c r="AL10" s="3"/>
      <c r="AM10" s="3"/>
      <c r="AN10" s="3"/>
    </row>
    <row r="11" spans="1:40" x14ac:dyDescent="0.25">
      <c r="A11">
        <v>0</v>
      </c>
      <c r="B11">
        <v>141</v>
      </c>
      <c r="C11" t="s">
        <v>21</v>
      </c>
      <c r="D11">
        <v>0</v>
      </c>
      <c r="E11">
        <v>1</v>
      </c>
      <c r="F11">
        <v>3.02</v>
      </c>
      <c r="G11">
        <v>0</v>
      </c>
      <c r="H11">
        <v>258.60000000000002</v>
      </c>
      <c r="I11">
        <v>84</v>
      </c>
      <c r="J11">
        <v>93.2</v>
      </c>
      <c r="K11">
        <v>11.1</v>
      </c>
      <c r="L11">
        <v>11.2</v>
      </c>
      <c r="M11">
        <f>SQRT(B11)</f>
        <v>11.874342087037917</v>
      </c>
      <c r="N11">
        <f>ROUND(Table1[[#This Row],[SQRT]],2)</f>
        <v>11.87</v>
      </c>
      <c r="O11">
        <f>MIN(H11,I11)</f>
        <v>84</v>
      </c>
      <c r="P11">
        <f>MAX(H11,I11)</f>
        <v>258.60000000000002</v>
      </c>
      <c r="Q11">
        <f>AVERAGE(H11,I11)</f>
        <v>171.3</v>
      </c>
      <c r="R11">
        <f>SUM(H11,I11)</f>
        <v>342.6</v>
      </c>
      <c r="S11">
        <f>MEDIAN(D11,G11)</f>
        <v>0</v>
      </c>
      <c r="T11" t="e">
        <f>RANK(B11,B:B)</f>
        <v>#REF!</v>
      </c>
      <c r="U11" t="str">
        <f>LEFT(C11,1)</f>
        <v>F</v>
      </c>
      <c r="V11" t="str">
        <f>RIGHT(C11,2)</f>
        <v>le</v>
      </c>
      <c r="W11">
        <f>LEN(C11)</f>
        <v>6</v>
      </c>
      <c r="X11">
        <v>46122</v>
      </c>
      <c r="Y11">
        <f t="shared" si="0"/>
        <v>2026</v>
      </c>
      <c r="Z11">
        <f>MONTH(X11)</f>
        <v>4</v>
      </c>
      <c r="AA11">
        <f>DAY(X11)</f>
        <v>10</v>
      </c>
      <c r="AB11">
        <f t="shared" si="1"/>
        <v>6</v>
      </c>
      <c r="AC11">
        <f>EOMONTH(X11,4)</f>
        <v>46265</v>
      </c>
      <c r="AD11">
        <f>NETWORKDAYS(X11,AC11)</f>
        <v>102</v>
      </c>
    </row>
    <row r="12" spans="1:40" x14ac:dyDescent="0.25">
      <c r="A12">
        <v>1</v>
      </c>
      <c r="B12">
        <v>65</v>
      </c>
      <c r="C12" t="s">
        <v>21</v>
      </c>
      <c r="D12">
        <v>1</v>
      </c>
      <c r="E12">
        <v>0</v>
      </c>
      <c r="F12">
        <v>0.28999999999999998</v>
      </c>
      <c r="G12">
        <v>4</v>
      </c>
      <c r="H12">
        <v>129.1</v>
      </c>
      <c r="I12">
        <v>137</v>
      </c>
      <c r="J12">
        <v>44.9</v>
      </c>
      <c r="K12">
        <v>11.43</v>
      </c>
      <c r="L12">
        <v>12.7</v>
      </c>
      <c r="M12">
        <f>SQRT(B12)</f>
        <v>8.0622577482985491</v>
      </c>
      <c r="N12">
        <f>ROUND(Table1[[#This Row],[SQRT]],2)</f>
        <v>8.06</v>
      </c>
      <c r="O12">
        <f>MIN(H12,I12)</f>
        <v>129.1</v>
      </c>
      <c r="P12">
        <f>MAX(H12,I12)</f>
        <v>137</v>
      </c>
      <c r="Q12">
        <f>AVERAGE(H12,I12)</f>
        <v>133.05000000000001</v>
      </c>
      <c r="R12">
        <f>SUM(H12,I12)</f>
        <v>266.10000000000002</v>
      </c>
      <c r="S12">
        <f>MEDIAN(D12,G12)</f>
        <v>2.5</v>
      </c>
      <c r="T12" t="e">
        <f>RANK(B12,B:B)</f>
        <v>#REF!</v>
      </c>
      <c r="U12" t="str">
        <f>LEFT(C12,1)</f>
        <v>F</v>
      </c>
      <c r="V12" t="str">
        <f>RIGHT(C12,2)</f>
        <v>le</v>
      </c>
      <c r="W12">
        <f>LEN(C12)</f>
        <v>6</v>
      </c>
      <c r="X12">
        <v>46123</v>
      </c>
      <c r="Y12">
        <f t="shared" si="0"/>
        <v>2026</v>
      </c>
      <c r="Z12">
        <f>MONTH(X12)</f>
        <v>4</v>
      </c>
      <c r="AA12">
        <f>DAY(X12)</f>
        <v>11</v>
      </c>
      <c r="AB12">
        <f t="shared" si="1"/>
        <v>7</v>
      </c>
      <c r="AC12">
        <f>EOMONTH(X12,4)</f>
        <v>46265</v>
      </c>
      <c r="AD12">
        <f>NETWORKDAYS(X12,AC12)</f>
        <v>101</v>
      </c>
    </row>
    <row r="13" spans="1:40" ht="34.5" x14ac:dyDescent="0.55000000000000004">
      <c r="A13">
        <v>0</v>
      </c>
      <c r="B13">
        <v>74</v>
      </c>
      <c r="C13" t="s">
        <v>21</v>
      </c>
      <c r="D13">
        <v>1</v>
      </c>
      <c r="E13">
        <v>0</v>
      </c>
      <c r="F13">
        <v>0.34</v>
      </c>
      <c r="G13">
        <v>0</v>
      </c>
      <c r="H13">
        <v>187.7</v>
      </c>
      <c r="I13">
        <v>127</v>
      </c>
      <c r="J13">
        <v>49.4</v>
      </c>
      <c r="K13">
        <v>8.17</v>
      </c>
      <c r="L13">
        <v>9.1</v>
      </c>
      <c r="M13">
        <f>SQRT(B13)</f>
        <v>8.6023252670426267</v>
      </c>
      <c r="N13">
        <f>ROUND(Table1[[#This Row],[SQRT]],2)</f>
        <v>8.6</v>
      </c>
      <c r="O13">
        <f>MIN(H13,I13)</f>
        <v>127</v>
      </c>
      <c r="P13">
        <f>MAX(H13,I13)</f>
        <v>187.7</v>
      </c>
      <c r="Q13">
        <f>AVERAGE(H13,I13)</f>
        <v>157.35</v>
      </c>
      <c r="R13">
        <f>SUM(H13,I13)</f>
        <v>314.7</v>
      </c>
      <c r="S13">
        <f>MEDIAN(D13,G13)</f>
        <v>0.5</v>
      </c>
      <c r="T13" t="e">
        <f>RANK(B13,B:B)</f>
        <v>#REF!</v>
      </c>
      <c r="U13" t="str">
        <f>LEFT(C13,1)</f>
        <v>F</v>
      </c>
      <c r="V13" t="str">
        <f>RIGHT(C13,2)</f>
        <v>le</v>
      </c>
      <c r="W13">
        <f>LEN(C13)</f>
        <v>6</v>
      </c>
      <c r="X13">
        <v>46124</v>
      </c>
      <c r="Y13">
        <f t="shared" si="0"/>
        <v>2026</v>
      </c>
      <c r="Z13">
        <f>MONTH(X13)</f>
        <v>4</v>
      </c>
      <c r="AA13">
        <f>DAY(X13)</f>
        <v>12</v>
      </c>
      <c r="AB13">
        <f t="shared" si="1"/>
        <v>1</v>
      </c>
      <c r="AC13">
        <f>EOMONTH(X13,4)</f>
        <v>46265</v>
      </c>
      <c r="AD13">
        <f>NETWORKDAYS(X13,AC13)</f>
        <v>101</v>
      </c>
      <c r="AF13" s="13" t="s">
        <v>68</v>
      </c>
    </row>
    <row r="14" spans="1:40" x14ac:dyDescent="0.25">
      <c r="A14">
        <v>0</v>
      </c>
      <c r="B14">
        <v>168</v>
      </c>
      <c r="C14" t="s">
        <v>21</v>
      </c>
      <c r="D14">
        <v>1</v>
      </c>
      <c r="E14">
        <v>0</v>
      </c>
      <c r="F14">
        <v>0</v>
      </c>
      <c r="G14">
        <v>1</v>
      </c>
      <c r="H14">
        <v>128.80000000000001</v>
      </c>
      <c r="I14">
        <v>96</v>
      </c>
      <c r="J14">
        <v>31</v>
      </c>
      <c r="K14">
        <v>5.25</v>
      </c>
      <c r="L14">
        <v>11.2</v>
      </c>
      <c r="M14">
        <f>SQRT(B14)</f>
        <v>12.961481396815721</v>
      </c>
      <c r="N14">
        <f>ROUND(Table1[[#This Row],[SQRT]],2)</f>
        <v>12.96</v>
      </c>
      <c r="O14">
        <f>MIN(H14,I14)</f>
        <v>96</v>
      </c>
      <c r="P14">
        <f>MAX(H14,I14)</f>
        <v>128.80000000000001</v>
      </c>
      <c r="Q14">
        <f>AVERAGE(H14,I14)</f>
        <v>112.4</v>
      </c>
      <c r="R14">
        <f>SUM(H14,I14)</f>
        <v>224.8</v>
      </c>
      <c r="S14">
        <f>MEDIAN(D14,G14)</f>
        <v>1</v>
      </c>
      <c r="T14" t="e">
        <f>RANK(B14,B:B)</f>
        <v>#REF!</v>
      </c>
      <c r="U14" t="str">
        <f>LEFT(C14,1)</f>
        <v>F</v>
      </c>
      <c r="V14" t="str">
        <f>RIGHT(C14,2)</f>
        <v>le</v>
      </c>
      <c r="W14">
        <f>LEN(C14)</f>
        <v>6</v>
      </c>
      <c r="X14">
        <v>46125</v>
      </c>
      <c r="Y14">
        <f t="shared" si="0"/>
        <v>2026</v>
      </c>
      <c r="Z14">
        <f>MONTH(X14)</f>
        <v>4</v>
      </c>
      <c r="AA14">
        <f>DAY(X14)</f>
        <v>13</v>
      </c>
      <c r="AB14">
        <f t="shared" si="1"/>
        <v>2</v>
      </c>
      <c r="AC14">
        <f>EOMONTH(X14,4)</f>
        <v>46265</v>
      </c>
      <c r="AD14">
        <f>NETWORKDAYS(X14,AC14)</f>
        <v>101</v>
      </c>
      <c r="AF14" t="s">
        <v>48</v>
      </c>
      <c r="AG14" t="s">
        <v>49</v>
      </c>
      <c r="AH14" t="s">
        <v>50</v>
      </c>
      <c r="AI14" t="s">
        <v>12</v>
      </c>
      <c r="AJ14" t="s">
        <v>52</v>
      </c>
      <c r="AK14" t="s">
        <v>51</v>
      </c>
    </row>
    <row r="15" spans="1:40" x14ac:dyDescent="0.25">
      <c r="A15">
        <v>0</v>
      </c>
      <c r="B15">
        <v>95</v>
      </c>
      <c r="C15" t="s">
        <v>21</v>
      </c>
      <c r="D15">
        <v>1</v>
      </c>
      <c r="E15">
        <v>0</v>
      </c>
      <c r="F15">
        <v>0.44</v>
      </c>
      <c r="G15">
        <v>3</v>
      </c>
      <c r="H15">
        <v>156.6</v>
      </c>
      <c r="I15">
        <v>88</v>
      </c>
      <c r="J15">
        <v>52.4</v>
      </c>
      <c r="K15">
        <v>12.38</v>
      </c>
      <c r="L15">
        <v>12.3</v>
      </c>
      <c r="M15">
        <f>SQRT(B15)</f>
        <v>9.7467943448089631</v>
      </c>
      <c r="N15">
        <f>ROUND(Table1[[#This Row],[SQRT]],2)</f>
        <v>9.75</v>
      </c>
      <c r="O15">
        <f>MIN(H15,I15)</f>
        <v>88</v>
      </c>
      <c r="P15">
        <f>MAX(H15,I15)</f>
        <v>156.6</v>
      </c>
      <c r="Q15">
        <f>AVERAGE(H15,I15)</f>
        <v>122.3</v>
      </c>
      <c r="R15">
        <f>SUM(H15,I15)</f>
        <v>244.6</v>
      </c>
      <c r="S15">
        <f>MEDIAN(D15,G15)</f>
        <v>2</v>
      </c>
      <c r="T15" t="e">
        <f>RANK(B15,B:B)</f>
        <v>#REF!</v>
      </c>
      <c r="U15" t="str">
        <f>LEFT(C15,1)</f>
        <v>F</v>
      </c>
      <c r="V15" t="str">
        <f>RIGHT(C15,2)</f>
        <v>le</v>
      </c>
      <c r="W15">
        <f>LEN(C15)</f>
        <v>6</v>
      </c>
      <c r="X15">
        <v>46126</v>
      </c>
      <c r="Y15">
        <f t="shared" si="0"/>
        <v>2026</v>
      </c>
      <c r="Z15">
        <f>MONTH(X15)</f>
        <v>4</v>
      </c>
      <c r="AA15">
        <f>DAY(X15)</f>
        <v>14</v>
      </c>
      <c r="AB15">
        <f t="shared" si="1"/>
        <v>3</v>
      </c>
      <c r="AC15">
        <f>EOMONTH(X15,4)</f>
        <v>46265</v>
      </c>
      <c r="AD15">
        <f>NETWORKDAYS(X15,AC15)</f>
        <v>100</v>
      </c>
      <c r="AF15">
        <f>PRODUCT(3,9)</f>
        <v>27</v>
      </c>
      <c r="AG15">
        <f>MOD(77,3)</f>
        <v>2</v>
      </c>
      <c r="AH15">
        <f>FACT(6)</f>
        <v>720</v>
      </c>
      <c r="AI15">
        <f>ROUND(SQRT(45),2)</f>
        <v>6.71</v>
      </c>
      <c r="AJ15">
        <f>ROUNDDOWN(SQRT(38),2)</f>
        <v>6.16</v>
      </c>
      <c r="AK15">
        <f>ROUNDUP(SQRT(68),2)</f>
        <v>8.25</v>
      </c>
    </row>
    <row r="16" spans="1:40" x14ac:dyDescent="0.25">
      <c r="A16">
        <v>0</v>
      </c>
      <c r="B16">
        <v>62</v>
      </c>
      <c r="C16" t="s">
        <v>21</v>
      </c>
      <c r="D16">
        <v>1</v>
      </c>
      <c r="E16">
        <v>0</v>
      </c>
      <c r="F16">
        <v>0</v>
      </c>
      <c r="G16">
        <v>4</v>
      </c>
      <c r="H16">
        <v>120.7</v>
      </c>
      <c r="I16">
        <v>70</v>
      </c>
      <c r="J16">
        <v>47</v>
      </c>
      <c r="K16">
        <v>15.36</v>
      </c>
      <c r="L16">
        <v>13.1</v>
      </c>
      <c r="M16">
        <f>SQRT(B16)</f>
        <v>7.8740078740118111</v>
      </c>
      <c r="N16">
        <f>ROUND(Table1[[#This Row],[SQRT]],2)</f>
        <v>7.87</v>
      </c>
      <c r="O16">
        <f>MIN(H16,I16)</f>
        <v>70</v>
      </c>
      <c r="P16">
        <f>MAX(H16,I16)</f>
        <v>120.7</v>
      </c>
      <c r="Q16">
        <f>AVERAGE(H16,I16)</f>
        <v>95.35</v>
      </c>
      <c r="R16">
        <f>SUM(H16,I16)</f>
        <v>190.7</v>
      </c>
      <c r="S16">
        <f>MEDIAN(D16,G16)</f>
        <v>2.5</v>
      </c>
      <c r="T16" t="e">
        <f>RANK(B16,B:B)</f>
        <v>#REF!</v>
      </c>
      <c r="U16" t="str">
        <f>LEFT(C16,1)</f>
        <v>F</v>
      </c>
      <c r="V16" t="str">
        <f>RIGHT(C16,2)</f>
        <v>le</v>
      </c>
      <c r="W16">
        <f>LEN(C16)</f>
        <v>6</v>
      </c>
      <c r="X16">
        <v>46127</v>
      </c>
      <c r="Y16">
        <f t="shared" si="0"/>
        <v>2026</v>
      </c>
      <c r="Z16">
        <f>MONTH(X16)</f>
        <v>4</v>
      </c>
      <c r="AA16">
        <f>DAY(X16)</f>
        <v>15</v>
      </c>
      <c r="AB16">
        <f t="shared" si="1"/>
        <v>4</v>
      </c>
      <c r="AC16">
        <f>EOMONTH(X16,4)</f>
        <v>46265</v>
      </c>
      <c r="AD16">
        <f>NETWORKDAYS(X16,AC16)</f>
        <v>99</v>
      </c>
      <c r="AF16">
        <f>PRODUCT(10,5)</f>
        <v>50</v>
      </c>
      <c r="AG16">
        <f>MOD(100,5)</f>
        <v>0</v>
      </c>
      <c r="AH16">
        <f>FACT(10)</f>
        <v>3628800</v>
      </c>
      <c r="AI16">
        <f>ROUND(SQRT(26),2)</f>
        <v>5.0999999999999996</v>
      </c>
      <c r="AJ16">
        <f>ROUNDDOWN(SQRT(42),2)</f>
        <v>6.48</v>
      </c>
      <c r="AK16">
        <f>ROUNDUP(SQRT(28),2)</f>
        <v>5.3</v>
      </c>
    </row>
    <row r="17" spans="1:38" x14ac:dyDescent="0.25">
      <c r="A17">
        <v>1</v>
      </c>
      <c r="B17">
        <v>161</v>
      </c>
      <c r="C17" t="s">
        <v>21</v>
      </c>
      <c r="D17">
        <v>1</v>
      </c>
      <c r="E17">
        <v>0</v>
      </c>
      <c r="F17">
        <v>0</v>
      </c>
      <c r="G17">
        <v>4</v>
      </c>
      <c r="H17">
        <v>332.9</v>
      </c>
      <c r="I17">
        <v>67</v>
      </c>
      <c r="J17">
        <v>84</v>
      </c>
      <c r="K17">
        <v>15.89</v>
      </c>
      <c r="L17">
        <v>5.4</v>
      </c>
      <c r="M17">
        <f>SQRT(B17)</f>
        <v>12.68857754044952</v>
      </c>
      <c r="N17">
        <f>ROUND(Table1[[#This Row],[SQRT]],2)</f>
        <v>12.69</v>
      </c>
      <c r="O17">
        <f>MIN(H17,I17)</f>
        <v>67</v>
      </c>
      <c r="P17">
        <f>MAX(H17,I17)</f>
        <v>332.9</v>
      </c>
      <c r="Q17">
        <f>AVERAGE(H17,I17)</f>
        <v>199.95</v>
      </c>
      <c r="R17">
        <f>SUM(H17,I17)</f>
        <v>399.9</v>
      </c>
      <c r="S17">
        <f>MEDIAN(D17,G17)</f>
        <v>2.5</v>
      </c>
      <c r="T17" t="e">
        <f>RANK(B17,B:B)</f>
        <v>#REF!</v>
      </c>
      <c r="U17" t="str">
        <f>LEFT(C17,1)</f>
        <v>F</v>
      </c>
      <c r="V17" t="str">
        <f>RIGHT(C17,2)</f>
        <v>le</v>
      </c>
      <c r="W17">
        <f>LEN(C17)</f>
        <v>6</v>
      </c>
      <c r="X17">
        <v>46128</v>
      </c>
      <c r="Y17">
        <f t="shared" si="0"/>
        <v>2026</v>
      </c>
      <c r="Z17">
        <f>MONTH(X17)</f>
        <v>4</v>
      </c>
      <c r="AA17">
        <f>DAY(X17)</f>
        <v>16</v>
      </c>
      <c r="AB17">
        <f t="shared" si="1"/>
        <v>5</v>
      </c>
      <c r="AC17">
        <f>EOMONTH(X17,4)</f>
        <v>46265</v>
      </c>
      <c r="AD17">
        <f>NETWORKDAYS(X17,AC17)</f>
        <v>98</v>
      </c>
    </row>
    <row r="18" spans="1:38" x14ac:dyDescent="0.25">
      <c r="A18">
        <v>0</v>
      </c>
      <c r="B18">
        <v>85</v>
      </c>
      <c r="C18" t="s">
        <v>21</v>
      </c>
      <c r="D18">
        <v>1</v>
      </c>
      <c r="E18">
        <v>1</v>
      </c>
      <c r="F18">
        <v>3.73</v>
      </c>
      <c r="G18">
        <v>1</v>
      </c>
      <c r="H18">
        <v>196.4</v>
      </c>
      <c r="I18">
        <v>139</v>
      </c>
      <c r="J18">
        <v>95.3</v>
      </c>
      <c r="K18">
        <v>14.05</v>
      </c>
      <c r="L18">
        <v>13.8</v>
      </c>
      <c r="M18">
        <f>SQRT(B18)</f>
        <v>9.2195444572928871</v>
      </c>
      <c r="N18">
        <f>ROUND(Table1[[#This Row],[SQRT]],2)</f>
        <v>9.2200000000000006</v>
      </c>
      <c r="O18">
        <f>MIN(H18,I18)</f>
        <v>139</v>
      </c>
      <c r="P18">
        <f>MAX(H18,I18)</f>
        <v>196.4</v>
      </c>
      <c r="Q18">
        <f>AVERAGE(H18,I18)</f>
        <v>167.7</v>
      </c>
      <c r="R18">
        <f>SUM(H18,I18)</f>
        <v>335.4</v>
      </c>
      <c r="S18">
        <f>MEDIAN(D18,G18)</f>
        <v>1</v>
      </c>
      <c r="T18" t="e">
        <f>RANK(B18,B:B)</f>
        <v>#REF!</v>
      </c>
      <c r="U18" t="str">
        <f>LEFT(C18,1)</f>
        <v>F</v>
      </c>
      <c r="V18" t="str">
        <f>RIGHT(C18,2)</f>
        <v>le</v>
      </c>
      <c r="W18">
        <f>LEN(C18)</f>
        <v>6</v>
      </c>
      <c r="X18">
        <v>46129</v>
      </c>
      <c r="Y18">
        <f t="shared" si="0"/>
        <v>2026</v>
      </c>
      <c r="Z18">
        <f>MONTH(X18)</f>
        <v>4</v>
      </c>
      <c r="AA18">
        <f>DAY(X18)</f>
        <v>17</v>
      </c>
      <c r="AB18">
        <f t="shared" si="1"/>
        <v>6</v>
      </c>
      <c r="AC18">
        <f>EOMONTH(X18,4)</f>
        <v>46265</v>
      </c>
      <c r="AD18">
        <f>NETWORKDAYS(X18,AC18)</f>
        <v>97</v>
      </c>
    </row>
    <row r="19" spans="1:38" x14ac:dyDescent="0.25">
      <c r="A19">
        <v>0</v>
      </c>
      <c r="B19">
        <v>93</v>
      </c>
      <c r="C19" t="s">
        <v>21</v>
      </c>
      <c r="D19">
        <v>1</v>
      </c>
      <c r="E19">
        <v>0</v>
      </c>
      <c r="F19">
        <v>0</v>
      </c>
      <c r="G19">
        <v>3</v>
      </c>
      <c r="H19">
        <v>190.7</v>
      </c>
      <c r="I19">
        <v>114</v>
      </c>
      <c r="J19">
        <v>51</v>
      </c>
      <c r="K19">
        <v>10.91</v>
      </c>
      <c r="L19">
        <v>8.1</v>
      </c>
      <c r="M19">
        <f>SQRT(B19)</f>
        <v>9.6436507609929549</v>
      </c>
      <c r="N19">
        <f>ROUND(Table1[[#This Row],[SQRT]],2)</f>
        <v>9.64</v>
      </c>
      <c r="O19">
        <f>MIN(H19,I19)</f>
        <v>114</v>
      </c>
      <c r="P19">
        <f>MAX(H19,I19)</f>
        <v>190.7</v>
      </c>
      <c r="Q19">
        <f>AVERAGE(H19,I19)</f>
        <v>152.35</v>
      </c>
      <c r="R19">
        <f>SUM(H19,I19)</f>
        <v>304.7</v>
      </c>
      <c r="S19">
        <f>MEDIAN(D19,G19)</f>
        <v>2</v>
      </c>
      <c r="T19" t="e">
        <f>RANK(B19,B:B)</f>
        <v>#REF!</v>
      </c>
      <c r="U19" t="str">
        <f>LEFT(C19,1)</f>
        <v>F</v>
      </c>
      <c r="V19" t="str">
        <f>RIGHT(C19,2)</f>
        <v>le</v>
      </c>
      <c r="W19">
        <f>LEN(C19)</f>
        <v>6</v>
      </c>
      <c r="X19">
        <v>46130</v>
      </c>
      <c r="Y19">
        <f t="shared" si="0"/>
        <v>2026</v>
      </c>
      <c r="Z19">
        <f>MONTH(X19)</f>
        <v>4</v>
      </c>
      <c r="AA19">
        <f>DAY(X19)</f>
        <v>18</v>
      </c>
      <c r="AB19">
        <f t="shared" si="1"/>
        <v>7</v>
      </c>
      <c r="AC19">
        <f>EOMONTH(X19,4)</f>
        <v>46265</v>
      </c>
      <c r="AD19">
        <f>NETWORKDAYS(X19,AC19)</f>
        <v>96</v>
      </c>
      <c r="AE19" s="1"/>
      <c r="AF19" s="16" t="s">
        <v>53</v>
      </c>
      <c r="AG19" s="16" t="s">
        <v>48</v>
      </c>
      <c r="AH19" s="16" t="s">
        <v>54</v>
      </c>
      <c r="AI19" s="16" t="s">
        <v>55</v>
      </c>
      <c r="AJ19" s="16" t="s">
        <v>56</v>
      </c>
      <c r="AK19" s="16" t="s">
        <v>64</v>
      </c>
      <c r="AL19" s="16" t="s">
        <v>67</v>
      </c>
    </row>
    <row r="20" spans="1:38" x14ac:dyDescent="0.25">
      <c r="A20">
        <v>0</v>
      </c>
      <c r="B20">
        <v>76</v>
      </c>
      <c r="C20" t="s">
        <v>22</v>
      </c>
      <c r="D20">
        <v>1</v>
      </c>
      <c r="E20">
        <v>1</v>
      </c>
      <c r="F20">
        <v>2.7</v>
      </c>
      <c r="G20">
        <v>1</v>
      </c>
      <c r="H20">
        <v>189.7</v>
      </c>
      <c r="I20">
        <v>66</v>
      </c>
      <c r="J20">
        <v>78</v>
      </c>
      <c r="K20">
        <v>10.64</v>
      </c>
      <c r="L20">
        <v>10</v>
      </c>
      <c r="M20">
        <f>SQRT(B20)</f>
        <v>8.717797887081348</v>
      </c>
      <c r="N20">
        <f>ROUND(Table1[[#This Row],[SQRT]],2)</f>
        <v>8.7200000000000006</v>
      </c>
      <c r="O20">
        <f>MIN(H20,I20)</f>
        <v>66</v>
      </c>
      <c r="P20">
        <f>MAX(H20,I20)</f>
        <v>189.7</v>
      </c>
      <c r="Q20">
        <f>AVERAGE(H20,I20)</f>
        <v>127.85</v>
      </c>
      <c r="R20">
        <f>SUM(H20,I20)</f>
        <v>255.7</v>
      </c>
      <c r="S20">
        <f>MEDIAN(D20,G20)</f>
        <v>1</v>
      </c>
      <c r="T20" t="e">
        <f>RANK(B20,B:B)</f>
        <v>#REF!</v>
      </c>
      <c r="U20" t="str">
        <f>LEFT(C20,1)</f>
        <v>M</v>
      </c>
      <c r="V20" t="str">
        <f>RIGHT(C20,2)</f>
        <v>le</v>
      </c>
      <c r="W20">
        <f>LEN(C20)</f>
        <v>4</v>
      </c>
      <c r="X20">
        <v>46131</v>
      </c>
      <c r="Y20">
        <f t="shared" si="0"/>
        <v>2026</v>
      </c>
      <c r="Z20">
        <f>MONTH(X20)</f>
        <v>4</v>
      </c>
      <c r="AA20">
        <f>DAY(X20)</f>
        <v>19</v>
      </c>
      <c r="AB20">
        <f t="shared" si="1"/>
        <v>1</v>
      </c>
      <c r="AC20">
        <f>EOMONTH(X20,4)</f>
        <v>46265</v>
      </c>
      <c r="AD20">
        <f>NETWORKDAYS(X20,AC20)</f>
        <v>96</v>
      </c>
      <c r="AE20" s="1"/>
      <c r="AF20" s="17">
        <v>46174</v>
      </c>
      <c r="AG20" s="9" t="s">
        <v>57</v>
      </c>
      <c r="AH20" s="9" t="s">
        <v>59</v>
      </c>
      <c r="AI20" s="9" t="s">
        <v>62</v>
      </c>
      <c r="AJ20" s="9">
        <v>100</v>
      </c>
      <c r="AK20" s="9" t="s">
        <v>59</v>
      </c>
      <c r="AL20" s="9">
        <f>AVERAGEIF(AH20:AH24,"RED",AJ20:AJ24)</f>
        <v>76.666666666666671</v>
      </c>
    </row>
    <row r="21" spans="1:38" x14ac:dyDescent="0.25">
      <c r="A21">
        <v>0</v>
      </c>
      <c r="B21">
        <v>73</v>
      </c>
      <c r="C21" t="s">
        <v>22</v>
      </c>
      <c r="D21">
        <v>1</v>
      </c>
      <c r="E21">
        <v>0</v>
      </c>
      <c r="F21">
        <v>0</v>
      </c>
      <c r="G21">
        <v>1</v>
      </c>
      <c r="H21">
        <v>224.4</v>
      </c>
      <c r="I21">
        <v>90</v>
      </c>
      <c r="J21">
        <v>52</v>
      </c>
      <c r="K21">
        <v>7.98</v>
      </c>
      <c r="L21">
        <v>13</v>
      </c>
      <c r="M21">
        <f>SQRT(B21)</f>
        <v>8.5440037453175304</v>
      </c>
      <c r="N21">
        <f>ROUND(Table1[[#This Row],[SQRT]],2)</f>
        <v>8.5399999999999991</v>
      </c>
      <c r="O21">
        <f>MIN(H21,I21)</f>
        <v>90</v>
      </c>
      <c r="P21">
        <f>MAX(H21,I21)</f>
        <v>224.4</v>
      </c>
      <c r="Q21">
        <f>AVERAGE(H21,I21)</f>
        <v>157.19999999999999</v>
      </c>
      <c r="R21">
        <f>SUM(H21,I21)</f>
        <v>314.39999999999998</v>
      </c>
      <c r="S21">
        <f>MEDIAN(D21,G21)</f>
        <v>1</v>
      </c>
      <c r="T21" t="e">
        <f>RANK(B21,B:B)</f>
        <v>#REF!</v>
      </c>
      <c r="U21" t="str">
        <f>LEFT(C21,1)</f>
        <v>M</v>
      </c>
      <c r="V21" t="str">
        <f>RIGHT(C21,2)</f>
        <v>le</v>
      </c>
      <c r="W21">
        <f>LEN(C21)</f>
        <v>4</v>
      </c>
      <c r="X21">
        <v>46132</v>
      </c>
      <c r="Y21">
        <f t="shared" si="0"/>
        <v>2026</v>
      </c>
      <c r="Z21">
        <f>MONTH(X21)</f>
        <v>4</v>
      </c>
      <c r="AA21">
        <f>DAY(X21)</f>
        <v>20</v>
      </c>
      <c r="AB21">
        <f t="shared" si="1"/>
        <v>2</v>
      </c>
      <c r="AC21">
        <f>EOMONTH(X21,4)</f>
        <v>46265</v>
      </c>
      <c r="AD21">
        <f>NETWORKDAYS(X21,AC21)</f>
        <v>96</v>
      </c>
      <c r="AE21" s="1"/>
      <c r="AF21" s="18">
        <v>46174</v>
      </c>
      <c r="AG21" s="10" t="s">
        <v>58</v>
      </c>
      <c r="AH21" s="10" t="s">
        <v>60</v>
      </c>
      <c r="AI21" s="10" t="s">
        <v>63</v>
      </c>
      <c r="AJ21" s="10">
        <v>50</v>
      </c>
      <c r="AK21" s="10" t="s">
        <v>65</v>
      </c>
      <c r="AL21" s="10">
        <f>AVERAGEIFS(AJ20:AJ24,AH20:AH24,"RED",AI20:AI24,"AP")</f>
        <v>76.666666666666671</v>
      </c>
    </row>
    <row r="22" spans="1:38" x14ac:dyDescent="0.25">
      <c r="A22">
        <v>0</v>
      </c>
      <c r="B22">
        <v>147</v>
      </c>
      <c r="C22" t="s">
        <v>22</v>
      </c>
      <c r="D22">
        <v>1</v>
      </c>
      <c r="E22">
        <v>0</v>
      </c>
      <c r="F22">
        <v>0.31</v>
      </c>
      <c r="G22">
        <v>0</v>
      </c>
      <c r="H22">
        <v>155.1</v>
      </c>
      <c r="I22">
        <v>117</v>
      </c>
      <c r="J22">
        <v>50.1</v>
      </c>
      <c r="K22">
        <v>11.99</v>
      </c>
      <c r="L22">
        <v>10.6</v>
      </c>
      <c r="M22">
        <f>SQRT(B22)</f>
        <v>12.124355652982141</v>
      </c>
      <c r="N22">
        <f>ROUND(Table1[[#This Row],[SQRT]],2)</f>
        <v>12.12</v>
      </c>
      <c r="O22">
        <f>MIN(H22,I22)</f>
        <v>117</v>
      </c>
      <c r="P22">
        <f>MAX(H22,I22)</f>
        <v>155.1</v>
      </c>
      <c r="Q22">
        <f>AVERAGE(H22,I22)</f>
        <v>136.05000000000001</v>
      </c>
      <c r="R22">
        <f>SUM(H22,I22)</f>
        <v>272.10000000000002</v>
      </c>
      <c r="S22">
        <f>MEDIAN(D22,G22)</f>
        <v>0.5</v>
      </c>
      <c r="T22" t="e">
        <f>RANK(B22,B:B)</f>
        <v>#REF!</v>
      </c>
      <c r="U22" t="str">
        <f>LEFT(C22,1)</f>
        <v>M</v>
      </c>
      <c r="V22" t="str">
        <f>RIGHT(C22,2)</f>
        <v>le</v>
      </c>
      <c r="W22">
        <f>LEN(C22)</f>
        <v>4</v>
      </c>
      <c r="X22">
        <v>46133</v>
      </c>
      <c r="Y22">
        <f t="shared" si="0"/>
        <v>2026</v>
      </c>
      <c r="Z22">
        <f>MONTH(X22)</f>
        <v>4</v>
      </c>
      <c r="AA22">
        <f>DAY(X22)</f>
        <v>21</v>
      </c>
      <c r="AB22">
        <f t="shared" si="1"/>
        <v>3</v>
      </c>
      <c r="AC22">
        <f>EOMONTH(X22,4)</f>
        <v>46265</v>
      </c>
      <c r="AD22">
        <f>NETWORKDAYS(X22,AC22)</f>
        <v>95</v>
      </c>
      <c r="AE22" s="1"/>
      <c r="AF22" s="17">
        <v>46175</v>
      </c>
      <c r="AG22" s="9" t="s">
        <v>57</v>
      </c>
      <c r="AH22" s="9" t="s">
        <v>59</v>
      </c>
      <c r="AI22" s="9" t="s">
        <v>62</v>
      </c>
      <c r="AJ22" s="9">
        <v>100</v>
      </c>
      <c r="AK22" s="9" t="s">
        <v>66</v>
      </c>
      <c r="AL22" s="9">
        <f>AVERAGEIFS(AJ20:AJ24,AH20:AH24,"RED",AI20:AI24,"AP",AG20:AG24,"MOUSE")</f>
        <v>76.666666666666671</v>
      </c>
    </row>
    <row r="23" spans="1:38" x14ac:dyDescent="0.25">
      <c r="A23">
        <v>1</v>
      </c>
      <c r="B23">
        <v>77</v>
      </c>
      <c r="C23" t="s">
        <v>22</v>
      </c>
      <c r="D23">
        <v>1</v>
      </c>
      <c r="E23">
        <v>0</v>
      </c>
      <c r="F23">
        <v>0</v>
      </c>
      <c r="G23">
        <v>5</v>
      </c>
      <c r="H23">
        <v>62.4</v>
      </c>
      <c r="I23">
        <v>89</v>
      </c>
      <c r="J23">
        <v>26</v>
      </c>
      <c r="K23">
        <v>8.5</v>
      </c>
      <c r="L23">
        <v>5.7</v>
      </c>
      <c r="M23">
        <f>SQRT(B23)</f>
        <v>8.7749643873921226</v>
      </c>
      <c r="N23">
        <f>ROUND(Table1[[#This Row],[SQRT]],2)</f>
        <v>8.77</v>
      </c>
      <c r="O23">
        <f>MIN(H23,I23)</f>
        <v>62.4</v>
      </c>
      <c r="P23">
        <f>MAX(H23,I23)</f>
        <v>89</v>
      </c>
      <c r="Q23">
        <f>AVERAGE(H23,I23)</f>
        <v>75.7</v>
      </c>
      <c r="R23">
        <f>SUM(H23,I23)</f>
        <v>151.4</v>
      </c>
      <c r="S23">
        <f>MEDIAN(D23,G23)</f>
        <v>3</v>
      </c>
      <c r="T23" t="e">
        <f>RANK(B23,B:B)</f>
        <v>#REF!</v>
      </c>
      <c r="U23" t="str">
        <f>LEFT(C23,1)</f>
        <v>M</v>
      </c>
      <c r="V23" t="str">
        <f>RIGHT(C23,2)</f>
        <v>le</v>
      </c>
      <c r="W23">
        <f>LEN(C23)</f>
        <v>4</v>
      </c>
      <c r="X23">
        <v>46134</v>
      </c>
      <c r="Y23">
        <f t="shared" si="0"/>
        <v>2026</v>
      </c>
      <c r="Z23">
        <f>MONTH(X23)</f>
        <v>4</v>
      </c>
      <c r="AA23">
        <f>DAY(X23)</f>
        <v>22</v>
      </c>
      <c r="AB23">
        <f t="shared" si="1"/>
        <v>4</v>
      </c>
      <c r="AC23">
        <f>EOMONTH(X23,4)</f>
        <v>46265</v>
      </c>
      <c r="AD23">
        <f>NETWORKDAYS(X23,AC23)</f>
        <v>94</v>
      </c>
      <c r="AE23" s="1"/>
      <c r="AF23" s="18">
        <v>46176</v>
      </c>
      <c r="AG23" s="10" t="s">
        <v>57</v>
      </c>
      <c r="AH23" s="10" t="s">
        <v>59</v>
      </c>
      <c r="AI23" s="10" t="s">
        <v>62</v>
      </c>
      <c r="AJ23" s="10">
        <v>30</v>
      </c>
      <c r="AK23" s="10"/>
      <c r="AL23" s="10"/>
    </row>
    <row r="24" spans="1:38" x14ac:dyDescent="0.25">
      <c r="A24">
        <v>0</v>
      </c>
      <c r="B24">
        <v>130</v>
      </c>
      <c r="C24" t="s">
        <v>22</v>
      </c>
      <c r="D24">
        <v>1</v>
      </c>
      <c r="E24">
        <v>0</v>
      </c>
      <c r="F24">
        <v>0</v>
      </c>
      <c r="G24">
        <v>0</v>
      </c>
      <c r="H24">
        <v>183</v>
      </c>
      <c r="I24">
        <v>112</v>
      </c>
      <c r="J24">
        <v>38</v>
      </c>
      <c r="K24">
        <v>3.65</v>
      </c>
      <c r="L24">
        <v>9.5</v>
      </c>
      <c r="M24">
        <f>SQRT(B24)</f>
        <v>11.401754250991379</v>
      </c>
      <c r="N24">
        <f>ROUND(Table1[[#This Row],[SQRT]],2)</f>
        <v>11.4</v>
      </c>
      <c r="O24">
        <f>MIN(H24,I24)</f>
        <v>112</v>
      </c>
      <c r="P24">
        <f>MAX(H24,I24)</f>
        <v>183</v>
      </c>
      <c r="Q24">
        <f>AVERAGE(H24,I24)</f>
        <v>147.5</v>
      </c>
      <c r="R24">
        <f>SUM(H24,I24)</f>
        <v>295</v>
      </c>
      <c r="S24">
        <f>MEDIAN(D24,G24)</f>
        <v>0.5</v>
      </c>
      <c r="T24" t="e">
        <f>RANK(B24,B:B)</f>
        <v>#REF!</v>
      </c>
      <c r="U24" t="str">
        <f>LEFT(C24,1)</f>
        <v>M</v>
      </c>
      <c r="V24" t="str">
        <f>RIGHT(C24,2)</f>
        <v>le</v>
      </c>
      <c r="W24">
        <f>LEN(C24)</f>
        <v>4</v>
      </c>
      <c r="X24">
        <v>46135</v>
      </c>
      <c r="Y24">
        <f t="shared" si="0"/>
        <v>2026</v>
      </c>
      <c r="Z24">
        <f>MONTH(X24)</f>
        <v>4</v>
      </c>
      <c r="AA24">
        <f>DAY(X24)</f>
        <v>23</v>
      </c>
      <c r="AB24">
        <f t="shared" si="1"/>
        <v>5</v>
      </c>
      <c r="AC24">
        <f>EOMONTH(X24,4)</f>
        <v>46265</v>
      </c>
      <c r="AD24">
        <f>NETWORKDAYS(X24,AC24)</f>
        <v>93</v>
      </c>
      <c r="AF24" s="17">
        <v>46177</v>
      </c>
      <c r="AG24" s="9" t="s">
        <v>58</v>
      </c>
      <c r="AH24" s="9" t="s">
        <v>61</v>
      </c>
      <c r="AI24" s="9" t="s">
        <v>63</v>
      </c>
      <c r="AJ24" s="9">
        <v>20</v>
      </c>
      <c r="AK24" s="9"/>
      <c r="AL24" s="9"/>
    </row>
    <row r="25" spans="1:38" x14ac:dyDescent="0.25">
      <c r="A25">
        <v>0</v>
      </c>
      <c r="B25">
        <v>111</v>
      </c>
      <c r="C25" t="s">
        <v>22</v>
      </c>
      <c r="D25">
        <v>1</v>
      </c>
      <c r="E25">
        <v>0</v>
      </c>
      <c r="F25">
        <v>0.39</v>
      </c>
      <c r="G25">
        <v>2</v>
      </c>
      <c r="H25">
        <v>110.4</v>
      </c>
      <c r="I25">
        <v>103</v>
      </c>
      <c r="J25">
        <v>34.9</v>
      </c>
      <c r="K25">
        <v>6.87</v>
      </c>
      <c r="L25">
        <v>7.7</v>
      </c>
      <c r="M25">
        <f>SQRT(B25)</f>
        <v>10.535653752852738</v>
      </c>
      <c r="N25">
        <f>ROUND(Table1[[#This Row],[SQRT]],2)</f>
        <v>10.54</v>
      </c>
      <c r="O25">
        <f>MIN(H25,I25)</f>
        <v>103</v>
      </c>
      <c r="P25">
        <f>MAX(H25,I25)</f>
        <v>110.4</v>
      </c>
      <c r="Q25">
        <f>AVERAGE(H25,I25)</f>
        <v>106.7</v>
      </c>
      <c r="R25">
        <f>SUM(H25,I25)</f>
        <v>213.4</v>
      </c>
      <c r="S25">
        <f>MEDIAN(D25,G25)</f>
        <v>1.5</v>
      </c>
      <c r="T25" t="e">
        <f>RANK(B25,B:B)</f>
        <v>#REF!</v>
      </c>
      <c r="U25" t="str">
        <f>LEFT(C25,1)</f>
        <v>M</v>
      </c>
      <c r="V25" t="str">
        <f>RIGHT(C25,2)</f>
        <v>le</v>
      </c>
      <c r="W25">
        <f>LEN(C25)</f>
        <v>4</v>
      </c>
      <c r="X25">
        <v>46136</v>
      </c>
      <c r="Y25">
        <f t="shared" si="0"/>
        <v>2026</v>
      </c>
      <c r="Z25">
        <f>MONTH(X25)</f>
        <v>4</v>
      </c>
      <c r="AA25">
        <f>DAY(X25)</f>
        <v>24</v>
      </c>
      <c r="AB25">
        <f t="shared" si="1"/>
        <v>6</v>
      </c>
      <c r="AC25">
        <f>EOMONTH(X25,4)</f>
        <v>46265</v>
      </c>
      <c r="AD25">
        <f>NETWORKDAYS(X25,AC25)</f>
        <v>92</v>
      </c>
      <c r="AF25" s="10"/>
      <c r="AG25" s="10"/>
      <c r="AH25" s="10"/>
      <c r="AI25" s="10" t="s">
        <v>64</v>
      </c>
      <c r="AJ25" s="10">
        <f>SUM(AJ20:AJ24)</f>
        <v>300</v>
      </c>
      <c r="AK25" s="10"/>
      <c r="AL25" s="10"/>
    </row>
    <row r="26" spans="1:38" x14ac:dyDescent="0.25">
      <c r="A26">
        <v>0</v>
      </c>
      <c r="B26">
        <v>132</v>
      </c>
      <c r="C26" t="s">
        <v>22</v>
      </c>
      <c r="D26">
        <v>1</v>
      </c>
      <c r="E26">
        <v>0</v>
      </c>
      <c r="F26">
        <v>0</v>
      </c>
      <c r="G26">
        <v>0</v>
      </c>
      <c r="H26">
        <v>81.099999999999994</v>
      </c>
      <c r="I26">
        <v>86</v>
      </c>
      <c r="J26">
        <v>35</v>
      </c>
      <c r="K26">
        <v>12.26</v>
      </c>
      <c r="L26">
        <v>10.3</v>
      </c>
      <c r="M26">
        <f>SQRT(B26)</f>
        <v>11.489125293076057</v>
      </c>
      <c r="N26">
        <f>ROUND(Table1[[#This Row],[SQRT]],2)</f>
        <v>11.49</v>
      </c>
      <c r="O26">
        <f>MIN(H26,I26)</f>
        <v>81.099999999999994</v>
      </c>
      <c r="P26">
        <f>MAX(H26,I26)</f>
        <v>86</v>
      </c>
      <c r="Q26">
        <f>AVERAGE(H26,I26)</f>
        <v>83.55</v>
      </c>
      <c r="R26">
        <f>SUM(H26,I26)</f>
        <v>167.1</v>
      </c>
      <c r="S26">
        <f>MEDIAN(D26,G26)</f>
        <v>0.5</v>
      </c>
      <c r="T26" t="e">
        <f>RANK(B26,B:B)</f>
        <v>#REF!</v>
      </c>
      <c r="U26" t="str">
        <f>LEFT(C26,1)</f>
        <v>M</v>
      </c>
      <c r="V26" t="str">
        <f>RIGHT(C26,2)</f>
        <v>le</v>
      </c>
      <c r="W26">
        <f>LEN(C26)</f>
        <v>4</v>
      </c>
      <c r="X26">
        <v>46137</v>
      </c>
      <c r="Y26">
        <f t="shared" si="0"/>
        <v>2026</v>
      </c>
      <c r="Z26">
        <f>MONTH(X26)</f>
        <v>4</v>
      </c>
      <c r="AA26">
        <f>DAY(X26)</f>
        <v>25</v>
      </c>
      <c r="AB26">
        <f t="shared" si="1"/>
        <v>7</v>
      </c>
      <c r="AC26">
        <f>EOMONTH(X26,4)</f>
        <v>46265</v>
      </c>
      <c r="AD26">
        <f>NETWORKDAYS(X26,AC26)</f>
        <v>91</v>
      </c>
      <c r="AF26" s="9"/>
      <c r="AG26" s="9"/>
      <c r="AH26" s="9"/>
      <c r="AI26" s="9" t="s">
        <v>59</v>
      </c>
      <c r="AJ26" s="9">
        <f>SUMIF(AH20:AH24,"RED",AJ20:AJ24)</f>
        <v>230</v>
      </c>
      <c r="AK26" s="9"/>
      <c r="AL26" s="9"/>
    </row>
    <row r="27" spans="1:38" x14ac:dyDescent="0.25">
      <c r="A27">
        <v>0</v>
      </c>
      <c r="B27">
        <v>174</v>
      </c>
      <c r="C27" t="s">
        <v>22</v>
      </c>
      <c r="D27">
        <v>1</v>
      </c>
      <c r="E27">
        <v>0</v>
      </c>
      <c r="F27">
        <v>0</v>
      </c>
      <c r="G27">
        <v>3</v>
      </c>
      <c r="H27">
        <v>124.3</v>
      </c>
      <c r="I27">
        <v>76</v>
      </c>
      <c r="J27">
        <v>45</v>
      </c>
      <c r="K27">
        <v>13.86</v>
      </c>
      <c r="L27">
        <v>15.5</v>
      </c>
      <c r="M27">
        <f>SQRT(B27)</f>
        <v>13.19090595827292</v>
      </c>
      <c r="N27">
        <f>ROUND(Table1[[#This Row],[SQRT]],2)</f>
        <v>13.19</v>
      </c>
      <c r="O27">
        <f>MIN(H27,I27)</f>
        <v>76</v>
      </c>
      <c r="P27">
        <f>MAX(H27,I27)</f>
        <v>124.3</v>
      </c>
      <c r="Q27">
        <f>AVERAGE(H27,I27)</f>
        <v>100.15</v>
      </c>
      <c r="R27">
        <f>SUM(H27,I27)</f>
        <v>200.3</v>
      </c>
      <c r="S27">
        <f>MEDIAN(D27,G27)</f>
        <v>2</v>
      </c>
      <c r="T27" t="e">
        <f>RANK(B27,B:B)</f>
        <v>#REF!</v>
      </c>
      <c r="U27" t="str">
        <f>LEFT(C27,1)</f>
        <v>M</v>
      </c>
      <c r="V27" t="str">
        <f>RIGHT(C27,2)</f>
        <v>le</v>
      </c>
      <c r="W27">
        <f>LEN(C27)</f>
        <v>4</v>
      </c>
      <c r="X27">
        <v>46138</v>
      </c>
      <c r="Y27">
        <f t="shared" si="0"/>
        <v>2026</v>
      </c>
      <c r="Z27">
        <f>MONTH(X27)</f>
        <v>4</v>
      </c>
      <c r="AA27">
        <f>DAY(X27)</f>
        <v>26</v>
      </c>
      <c r="AB27">
        <f t="shared" si="1"/>
        <v>1</v>
      </c>
      <c r="AC27">
        <f>EOMONTH(X27,4)</f>
        <v>46265</v>
      </c>
      <c r="AD27">
        <f>NETWORKDAYS(X27,AC27)</f>
        <v>91</v>
      </c>
      <c r="AF27" s="10"/>
      <c r="AG27" s="10"/>
      <c r="AH27" s="10"/>
      <c r="AI27" s="10" t="s">
        <v>65</v>
      </c>
      <c r="AJ27" s="10">
        <f>SUMIFS(AJ20:AJ24,AH20:AH24,"RED",AI20:AI24,"AP")</f>
        <v>230</v>
      </c>
      <c r="AK27" s="10"/>
      <c r="AL27" s="10"/>
    </row>
    <row r="28" spans="1:38" ht="15.75" thickBot="1" x14ac:dyDescent="0.3">
      <c r="A28">
        <v>0</v>
      </c>
      <c r="B28">
        <v>57</v>
      </c>
      <c r="C28" t="s">
        <v>22</v>
      </c>
      <c r="D28">
        <v>1</v>
      </c>
      <c r="E28">
        <v>1</v>
      </c>
      <c r="F28">
        <v>2.57</v>
      </c>
      <c r="G28">
        <v>0</v>
      </c>
      <c r="H28">
        <v>213</v>
      </c>
      <c r="I28">
        <v>115</v>
      </c>
      <c r="J28">
        <v>78.7</v>
      </c>
      <c r="K28">
        <v>9.56</v>
      </c>
      <c r="L28">
        <v>9.5</v>
      </c>
      <c r="M28">
        <f>SQRT(B28)</f>
        <v>7.5498344352707498</v>
      </c>
      <c r="N28">
        <f>ROUND(Table1[[#This Row],[SQRT]],2)</f>
        <v>7.55</v>
      </c>
      <c r="O28">
        <f>MIN(H28,I28)</f>
        <v>115</v>
      </c>
      <c r="P28">
        <f>MAX(H28,I28)</f>
        <v>213</v>
      </c>
      <c r="Q28">
        <f>AVERAGE(H28,I28)</f>
        <v>164</v>
      </c>
      <c r="R28">
        <f>SUM(H28,I28)</f>
        <v>328</v>
      </c>
      <c r="S28">
        <f>MEDIAN(D28,G28)</f>
        <v>0.5</v>
      </c>
      <c r="T28" t="e">
        <f>RANK(B28,B:B)</f>
        <v>#REF!</v>
      </c>
      <c r="U28" t="str">
        <f>LEFT(C28,1)</f>
        <v>M</v>
      </c>
      <c r="V28" t="str">
        <f>RIGHT(C28,2)</f>
        <v>le</v>
      </c>
      <c r="W28">
        <f>LEN(C28)</f>
        <v>4</v>
      </c>
      <c r="X28">
        <v>46139</v>
      </c>
      <c r="Y28">
        <f t="shared" si="0"/>
        <v>2026</v>
      </c>
      <c r="Z28">
        <f>MONTH(X28)</f>
        <v>4</v>
      </c>
      <c r="AA28">
        <f>DAY(X28)</f>
        <v>27</v>
      </c>
      <c r="AB28">
        <f t="shared" si="1"/>
        <v>2</v>
      </c>
      <c r="AC28">
        <f>EOMONTH(X28,4)</f>
        <v>46265</v>
      </c>
      <c r="AD28">
        <f>NETWORKDAYS(X28,AC28)</f>
        <v>91</v>
      </c>
      <c r="AF28" s="11"/>
      <c r="AG28" s="11"/>
      <c r="AH28" s="11"/>
      <c r="AI28" s="11" t="s">
        <v>66</v>
      </c>
      <c r="AJ28" s="11">
        <f>SUMIFS(AJ20:AJ24,AH20:AH24,"RED",AI20:AI24,"AP",AG20:AG24,"MOUSE")</f>
        <v>230</v>
      </c>
      <c r="AK28" s="11"/>
      <c r="AL28" s="11"/>
    </row>
    <row r="29" spans="1:38" x14ac:dyDescent="0.25">
      <c r="A29">
        <v>0</v>
      </c>
      <c r="B29">
        <v>54</v>
      </c>
      <c r="C29" t="s">
        <v>22</v>
      </c>
      <c r="D29">
        <v>1</v>
      </c>
      <c r="E29">
        <v>0</v>
      </c>
      <c r="F29">
        <v>0</v>
      </c>
      <c r="G29">
        <v>3</v>
      </c>
      <c r="H29">
        <v>134.30000000000001</v>
      </c>
      <c r="I29">
        <v>73</v>
      </c>
      <c r="J29">
        <v>37</v>
      </c>
      <c r="K29">
        <v>7.78</v>
      </c>
      <c r="L29">
        <v>14.7</v>
      </c>
      <c r="M29">
        <f>SQRT(B29)</f>
        <v>7.3484692283495345</v>
      </c>
      <c r="N29">
        <f>ROUND(Table1[[#This Row],[SQRT]],2)</f>
        <v>7.35</v>
      </c>
      <c r="O29">
        <f>MIN(H29,I29)</f>
        <v>73</v>
      </c>
      <c r="P29">
        <f>MAX(H29,I29)</f>
        <v>134.30000000000001</v>
      </c>
      <c r="Q29">
        <f>AVERAGE(H29,I29)</f>
        <v>103.65</v>
      </c>
      <c r="R29">
        <f>SUM(H29,I29)</f>
        <v>207.3</v>
      </c>
      <c r="S29">
        <f>MEDIAN(D29,G29)</f>
        <v>2</v>
      </c>
      <c r="T29" t="e">
        <f>RANK(B29,B:B)</f>
        <v>#REF!</v>
      </c>
      <c r="U29" t="str">
        <f>LEFT(C29,1)</f>
        <v>M</v>
      </c>
      <c r="V29" t="str">
        <f>RIGHT(C29,2)</f>
        <v>le</v>
      </c>
      <c r="W29">
        <f>LEN(C29)</f>
        <v>4</v>
      </c>
      <c r="X29">
        <v>46140</v>
      </c>
      <c r="Y29">
        <f t="shared" si="0"/>
        <v>2026</v>
      </c>
      <c r="Z29">
        <f>MONTH(X29)</f>
        <v>4</v>
      </c>
      <c r="AA29">
        <f>DAY(X29)</f>
        <v>28</v>
      </c>
      <c r="AB29">
        <f t="shared" si="1"/>
        <v>3</v>
      </c>
      <c r="AC29">
        <f>EOMONTH(X29,4)</f>
        <v>46265</v>
      </c>
      <c r="AD29">
        <f>NETWORKDAYS(X29,AC29)</f>
        <v>90</v>
      </c>
    </row>
    <row r="30" spans="1:38" x14ac:dyDescent="0.25">
      <c r="A30">
        <v>0</v>
      </c>
      <c r="B30">
        <v>20</v>
      </c>
      <c r="C30" t="s">
        <v>21</v>
      </c>
      <c r="D30">
        <v>1</v>
      </c>
      <c r="E30">
        <v>0</v>
      </c>
      <c r="F30">
        <v>0.32</v>
      </c>
      <c r="G30">
        <v>0</v>
      </c>
      <c r="H30">
        <v>190</v>
      </c>
      <c r="I30">
        <v>109</v>
      </c>
      <c r="J30">
        <v>58.2</v>
      </c>
      <c r="K30">
        <v>12.91</v>
      </c>
      <c r="L30">
        <v>6.3</v>
      </c>
      <c r="M30">
        <f>SQRT(B30)</f>
        <v>4.4721359549995796</v>
      </c>
      <c r="N30">
        <f>ROUND(Table1[[#This Row],[SQRT]],2)</f>
        <v>4.47</v>
      </c>
      <c r="O30">
        <f>MIN(H30,I30)</f>
        <v>109</v>
      </c>
      <c r="P30">
        <f>MAX(H30,I30)</f>
        <v>190</v>
      </c>
      <c r="Q30">
        <f>AVERAGE(H30,I30)</f>
        <v>149.5</v>
      </c>
      <c r="R30">
        <f>SUM(H30,I30)</f>
        <v>299</v>
      </c>
      <c r="S30">
        <f>MEDIAN(D30,G30)</f>
        <v>0.5</v>
      </c>
      <c r="T30" t="e">
        <f>RANK(B30,B:B)</f>
        <v>#REF!</v>
      </c>
      <c r="U30" t="str">
        <f>LEFT(C30,1)</f>
        <v>F</v>
      </c>
      <c r="V30" t="str">
        <f>RIGHT(C30,2)</f>
        <v>le</v>
      </c>
      <c r="W30">
        <f>LEN(C30)</f>
        <v>6</v>
      </c>
      <c r="X30">
        <v>46141</v>
      </c>
      <c r="Y30">
        <f t="shared" si="0"/>
        <v>2026</v>
      </c>
      <c r="Z30">
        <f>MONTH(X30)</f>
        <v>4</v>
      </c>
      <c r="AA30">
        <f>DAY(X30)</f>
        <v>29</v>
      </c>
      <c r="AB30">
        <f t="shared" si="1"/>
        <v>4</v>
      </c>
      <c r="AC30">
        <f>EOMONTH(X30,4)</f>
        <v>46265</v>
      </c>
      <c r="AD30">
        <f>NETWORKDAYS(X30,AC30)</f>
        <v>89</v>
      </c>
    </row>
    <row r="31" spans="1:38" x14ac:dyDescent="0.25">
      <c r="A31">
        <v>0</v>
      </c>
      <c r="B31">
        <v>49</v>
      </c>
      <c r="C31" t="s">
        <v>21</v>
      </c>
      <c r="D31">
        <v>1</v>
      </c>
      <c r="E31">
        <v>0</v>
      </c>
      <c r="F31">
        <v>0.21</v>
      </c>
      <c r="G31">
        <v>1</v>
      </c>
      <c r="H31">
        <v>119.3</v>
      </c>
      <c r="I31">
        <v>117</v>
      </c>
      <c r="J31">
        <v>41.1</v>
      </c>
      <c r="K31">
        <v>10.76</v>
      </c>
      <c r="L31">
        <v>11.1</v>
      </c>
      <c r="M31">
        <f>SQRT(B31)</f>
        <v>7</v>
      </c>
      <c r="N31">
        <f>ROUND(Table1[[#This Row],[SQRT]],2)</f>
        <v>7</v>
      </c>
      <c r="O31">
        <f>MIN(H31,I31)</f>
        <v>117</v>
      </c>
      <c r="P31">
        <f>MAX(H31,I31)</f>
        <v>119.3</v>
      </c>
      <c r="Q31">
        <f>AVERAGE(H31,I31)</f>
        <v>118.15</v>
      </c>
      <c r="R31">
        <f>SUM(H31,I31)</f>
        <v>236.3</v>
      </c>
      <c r="S31">
        <f>MEDIAN(D31,G31)</f>
        <v>1</v>
      </c>
      <c r="T31" t="e">
        <f>RANK(B31,B:B)</f>
        <v>#REF!</v>
      </c>
      <c r="U31" t="str">
        <f>LEFT(C31,1)</f>
        <v>F</v>
      </c>
      <c r="V31" t="str">
        <f>RIGHT(C31,2)</f>
        <v>le</v>
      </c>
      <c r="W31">
        <f>LEN(C31)</f>
        <v>6</v>
      </c>
      <c r="X31">
        <v>46142</v>
      </c>
      <c r="Y31">
        <f t="shared" si="0"/>
        <v>2026</v>
      </c>
      <c r="Z31">
        <f>MONTH(X31)</f>
        <v>4</v>
      </c>
      <c r="AA31">
        <f>DAY(X31)</f>
        <v>30</v>
      </c>
      <c r="AB31">
        <f t="shared" si="1"/>
        <v>5</v>
      </c>
      <c r="AC31">
        <f>EOMONTH(X31,4)</f>
        <v>46265</v>
      </c>
      <c r="AD31">
        <f>NETWORKDAYS(X31,AC31)</f>
        <v>88</v>
      </c>
    </row>
    <row r="32" spans="1:38" x14ac:dyDescent="0.25">
      <c r="A32">
        <v>0</v>
      </c>
      <c r="B32">
        <v>142</v>
      </c>
      <c r="C32" t="s">
        <v>21</v>
      </c>
      <c r="D32">
        <v>1</v>
      </c>
      <c r="E32">
        <v>0</v>
      </c>
      <c r="F32">
        <v>0</v>
      </c>
      <c r="G32">
        <v>2</v>
      </c>
      <c r="H32">
        <v>84.8</v>
      </c>
      <c r="I32">
        <v>95</v>
      </c>
      <c r="J32">
        <v>27</v>
      </c>
      <c r="K32">
        <v>6.84</v>
      </c>
      <c r="L32">
        <v>14.2</v>
      </c>
      <c r="M32">
        <f>SQRT(B32)</f>
        <v>11.916375287812984</v>
      </c>
      <c r="N32">
        <f>ROUND(Table1[[#This Row],[SQRT]],2)</f>
        <v>11.92</v>
      </c>
      <c r="O32">
        <f>MIN(H32,I32)</f>
        <v>84.8</v>
      </c>
      <c r="P32">
        <f>MAX(H32,I32)</f>
        <v>95</v>
      </c>
      <c r="Q32">
        <f>AVERAGE(H32,I32)</f>
        <v>89.9</v>
      </c>
      <c r="R32">
        <f>SUM(H32,I32)</f>
        <v>179.8</v>
      </c>
      <c r="S32">
        <f>MEDIAN(D32,G32)</f>
        <v>1.5</v>
      </c>
      <c r="T32" t="e">
        <f>RANK(B32,B:B)</f>
        <v>#REF!</v>
      </c>
      <c r="U32" t="str">
        <f>LEFT(C32,1)</f>
        <v>F</v>
      </c>
      <c r="V32" t="str">
        <f>RIGHT(C32,2)</f>
        <v>le</v>
      </c>
      <c r="W32">
        <f>LEN(C32)</f>
        <v>6</v>
      </c>
      <c r="X32">
        <v>46143</v>
      </c>
      <c r="Y32">
        <f t="shared" si="0"/>
        <v>2026</v>
      </c>
      <c r="Z32">
        <f>MONTH(X32)</f>
        <v>5</v>
      </c>
      <c r="AA32">
        <f>DAY(X32)</f>
        <v>1</v>
      </c>
      <c r="AB32">
        <f t="shared" si="1"/>
        <v>6</v>
      </c>
      <c r="AC32">
        <f>EOMONTH(X32,4)</f>
        <v>46295</v>
      </c>
      <c r="AD32">
        <f>NETWORKDAYS(X32,AC32)</f>
        <v>109</v>
      </c>
    </row>
    <row r="33" spans="1:41" x14ac:dyDescent="0.25">
      <c r="A33">
        <v>0</v>
      </c>
      <c r="B33">
        <v>75</v>
      </c>
      <c r="C33" t="s">
        <v>21</v>
      </c>
      <c r="D33">
        <v>1</v>
      </c>
      <c r="E33">
        <v>0</v>
      </c>
      <c r="F33">
        <v>0</v>
      </c>
      <c r="G33">
        <v>1</v>
      </c>
      <c r="H33">
        <v>226.1</v>
      </c>
      <c r="I33">
        <v>105</v>
      </c>
      <c r="J33">
        <v>56</v>
      </c>
      <c r="K33">
        <v>10.08</v>
      </c>
      <c r="L33">
        <v>10.3</v>
      </c>
      <c r="M33">
        <f>SQRT(B33)</f>
        <v>8.6602540378443873</v>
      </c>
      <c r="N33">
        <f>ROUND(Table1[[#This Row],[SQRT]],2)</f>
        <v>8.66</v>
      </c>
      <c r="O33">
        <f>MIN(H33,I33)</f>
        <v>105</v>
      </c>
      <c r="P33">
        <f>MAX(H33,I33)</f>
        <v>226.1</v>
      </c>
      <c r="Q33">
        <f>AVERAGE(H33,I33)</f>
        <v>165.55</v>
      </c>
      <c r="R33">
        <f>SUM(H33,I33)</f>
        <v>331.1</v>
      </c>
      <c r="S33">
        <f>MEDIAN(D33,G33)</f>
        <v>1</v>
      </c>
      <c r="T33" t="e">
        <f>RANK(B33,B:B)</f>
        <v>#REF!</v>
      </c>
      <c r="U33" t="str">
        <f>LEFT(C33,1)</f>
        <v>F</v>
      </c>
      <c r="V33" t="str">
        <f>RIGHT(C33,2)</f>
        <v>le</v>
      </c>
      <c r="W33">
        <f>LEN(C33)</f>
        <v>6</v>
      </c>
      <c r="X33">
        <v>46144</v>
      </c>
      <c r="Y33">
        <f t="shared" si="0"/>
        <v>2026</v>
      </c>
      <c r="Z33">
        <f>MONTH(X33)</f>
        <v>5</v>
      </c>
      <c r="AA33">
        <f>DAY(X33)</f>
        <v>2</v>
      </c>
      <c r="AB33">
        <f t="shared" si="1"/>
        <v>7</v>
      </c>
      <c r="AC33">
        <f>EOMONTH(X33,4)</f>
        <v>46295</v>
      </c>
      <c r="AD33">
        <f>NETWORKDAYS(X33,AC33)</f>
        <v>108</v>
      </c>
    </row>
    <row r="34" spans="1:41" x14ac:dyDescent="0.25">
      <c r="A34">
        <v>0</v>
      </c>
      <c r="B34">
        <v>172</v>
      </c>
      <c r="C34" t="s">
        <v>21</v>
      </c>
      <c r="D34">
        <v>1</v>
      </c>
      <c r="E34">
        <v>0</v>
      </c>
      <c r="F34">
        <v>0</v>
      </c>
      <c r="G34">
        <v>3</v>
      </c>
      <c r="H34">
        <v>212</v>
      </c>
      <c r="I34">
        <v>121</v>
      </c>
      <c r="J34">
        <v>39</v>
      </c>
      <c r="K34">
        <v>1.56</v>
      </c>
      <c r="L34">
        <v>12.6</v>
      </c>
      <c r="M34">
        <f>SQRT(B34)</f>
        <v>13.114877048604001</v>
      </c>
      <c r="N34">
        <f>ROUND(Table1[[#This Row],[SQRT]],2)</f>
        <v>13.11</v>
      </c>
      <c r="O34">
        <f>MIN(H34,I34)</f>
        <v>121</v>
      </c>
      <c r="P34">
        <f>MAX(H34,I34)</f>
        <v>212</v>
      </c>
      <c r="Q34">
        <f>AVERAGE(H34,I34)</f>
        <v>166.5</v>
      </c>
      <c r="R34">
        <f>SUM(H34,I34)</f>
        <v>333</v>
      </c>
      <c r="S34">
        <f>MEDIAN(D34,G34)</f>
        <v>2</v>
      </c>
      <c r="T34" t="e">
        <f>RANK(B34,B:B)</f>
        <v>#REF!</v>
      </c>
      <c r="U34" t="str">
        <f>LEFT(C34,1)</f>
        <v>F</v>
      </c>
      <c r="V34" t="str">
        <f>RIGHT(C34,2)</f>
        <v>le</v>
      </c>
      <c r="W34">
        <f>LEN(C34)</f>
        <v>6</v>
      </c>
      <c r="X34">
        <v>46145</v>
      </c>
      <c r="Y34">
        <f t="shared" si="0"/>
        <v>2026</v>
      </c>
      <c r="Z34">
        <f>MONTH(X34)</f>
        <v>5</v>
      </c>
      <c r="AA34">
        <f>DAY(X34)</f>
        <v>3</v>
      </c>
      <c r="AB34">
        <f t="shared" si="1"/>
        <v>1</v>
      </c>
      <c r="AC34">
        <f>EOMONTH(X34,4)</f>
        <v>46295</v>
      </c>
      <c r="AD34">
        <f>NETWORKDAYS(X34,AC34)</f>
        <v>108</v>
      </c>
    </row>
    <row r="35" spans="1:41" ht="34.5" x14ac:dyDescent="0.55000000000000004">
      <c r="A35">
        <v>1</v>
      </c>
      <c r="B35">
        <v>12</v>
      </c>
      <c r="C35" t="s">
        <v>21</v>
      </c>
      <c r="D35">
        <v>1</v>
      </c>
      <c r="E35">
        <v>0</v>
      </c>
      <c r="F35">
        <v>0</v>
      </c>
      <c r="G35">
        <v>1</v>
      </c>
      <c r="H35">
        <v>249.6</v>
      </c>
      <c r="I35">
        <v>118</v>
      </c>
      <c r="J35">
        <v>64</v>
      </c>
      <c r="K35">
        <v>12.62</v>
      </c>
      <c r="L35">
        <v>11.8</v>
      </c>
      <c r="M35">
        <f>SQRT(B35)</f>
        <v>3.4641016151377544</v>
      </c>
      <c r="N35">
        <f>ROUND(Table1[[#This Row],[SQRT]],2)</f>
        <v>3.46</v>
      </c>
      <c r="O35">
        <f>MIN(H35,I35)</f>
        <v>118</v>
      </c>
      <c r="P35">
        <f>MAX(H35,I35)</f>
        <v>249.6</v>
      </c>
      <c r="Q35">
        <f>AVERAGE(H35,I35)</f>
        <v>183.8</v>
      </c>
      <c r="R35">
        <f>SUM(H35,I35)</f>
        <v>367.6</v>
      </c>
      <c r="S35">
        <f>MEDIAN(D35,G35)</f>
        <v>1</v>
      </c>
      <c r="T35" t="e">
        <f>RANK(B35,B:B)</f>
        <v>#REF!</v>
      </c>
      <c r="U35" t="str">
        <f>LEFT(C35,1)</f>
        <v>F</v>
      </c>
      <c r="V35" t="str">
        <f>RIGHT(C35,2)</f>
        <v>le</v>
      </c>
      <c r="W35">
        <f>LEN(C35)</f>
        <v>6</v>
      </c>
      <c r="X35">
        <v>46146</v>
      </c>
      <c r="Y35">
        <f t="shared" si="0"/>
        <v>2026</v>
      </c>
      <c r="Z35">
        <f>MONTH(X35)</f>
        <v>5</v>
      </c>
      <c r="AA35">
        <f>DAY(X35)</f>
        <v>4</v>
      </c>
      <c r="AB35">
        <f t="shared" si="1"/>
        <v>2</v>
      </c>
      <c r="AC35">
        <f>EOMONTH(X35,4)</f>
        <v>46295</v>
      </c>
      <c r="AD35">
        <f>NETWORKDAYS(X35,AC35)</f>
        <v>108</v>
      </c>
      <c r="AF35" s="13" t="s">
        <v>157</v>
      </c>
    </row>
    <row r="36" spans="1:41" x14ac:dyDescent="0.25">
      <c r="A36">
        <v>0</v>
      </c>
      <c r="B36">
        <v>57</v>
      </c>
      <c r="C36" t="s">
        <v>21</v>
      </c>
      <c r="D36">
        <v>1</v>
      </c>
      <c r="E36">
        <v>1</v>
      </c>
      <c r="F36">
        <v>2.2400000000000002</v>
      </c>
      <c r="G36">
        <v>0</v>
      </c>
      <c r="H36">
        <v>176.8</v>
      </c>
      <c r="I36">
        <v>94</v>
      </c>
      <c r="J36">
        <v>69.400000000000006</v>
      </c>
      <c r="K36">
        <v>9.75</v>
      </c>
      <c r="L36">
        <v>8.3000000000000007</v>
      </c>
      <c r="M36">
        <f>SQRT(B36)</f>
        <v>7.5498344352707498</v>
      </c>
      <c r="N36">
        <f>ROUND(Table1[[#This Row],[SQRT]],2)</f>
        <v>7.55</v>
      </c>
      <c r="O36">
        <f>MIN(H36,I36)</f>
        <v>94</v>
      </c>
      <c r="P36">
        <f>MAX(H36,I36)</f>
        <v>176.8</v>
      </c>
      <c r="Q36">
        <f>AVERAGE(H36,I36)</f>
        <v>135.4</v>
      </c>
      <c r="R36">
        <f>SUM(H36,I36)</f>
        <v>270.8</v>
      </c>
      <c r="S36">
        <f>MEDIAN(D36,G36)</f>
        <v>0.5</v>
      </c>
      <c r="T36" t="e">
        <f>RANK(B36,B:B)</f>
        <v>#REF!</v>
      </c>
      <c r="U36" t="str">
        <f>LEFT(C36,1)</f>
        <v>F</v>
      </c>
      <c r="V36" t="str">
        <f>RIGHT(C36,2)</f>
        <v>le</v>
      </c>
      <c r="W36">
        <f>LEN(C36)</f>
        <v>6</v>
      </c>
      <c r="X36">
        <v>46147</v>
      </c>
      <c r="Y36">
        <f t="shared" si="0"/>
        <v>2026</v>
      </c>
      <c r="Z36">
        <f>MONTH(X36)</f>
        <v>5</v>
      </c>
      <c r="AA36">
        <f>DAY(X36)</f>
        <v>5</v>
      </c>
      <c r="AB36">
        <f t="shared" si="1"/>
        <v>3</v>
      </c>
      <c r="AC36">
        <f>EOMONTH(X36,4)</f>
        <v>46295</v>
      </c>
      <c r="AD36">
        <f>NETWORKDAYS(X36,AC36)</f>
        <v>107</v>
      </c>
    </row>
    <row r="37" spans="1:41" ht="30.75" customHeight="1" x14ac:dyDescent="0.25">
      <c r="A37">
        <v>0</v>
      </c>
      <c r="B37">
        <v>72</v>
      </c>
      <c r="C37" t="s">
        <v>21</v>
      </c>
      <c r="D37">
        <v>1</v>
      </c>
      <c r="E37">
        <v>1</v>
      </c>
      <c r="F37">
        <v>3.97</v>
      </c>
      <c r="G37">
        <v>3</v>
      </c>
      <c r="H37">
        <v>220</v>
      </c>
      <c r="I37">
        <v>80</v>
      </c>
      <c r="J37">
        <v>95.7</v>
      </c>
      <c r="K37">
        <v>10.87</v>
      </c>
      <c r="L37">
        <v>14.7</v>
      </c>
      <c r="M37">
        <f>SQRT(B37)</f>
        <v>8.4852813742385695</v>
      </c>
      <c r="N37">
        <f>ROUND(Table1[[#This Row],[SQRT]],2)</f>
        <v>8.49</v>
      </c>
      <c r="O37">
        <f>MIN(H37,I37)</f>
        <v>80</v>
      </c>
      <c r="P37">
        <f>MAX(H37,I37)</f>
        <v>220</v>
      </c>
      <c r="Q37">
        <f>AVERAGE(H37,I37)</f>
        <v>150</v>
      </c>
      <c r="R37">
        <f>SUM(H37,I37)</f>
        <v>300</v>
      </c>
      <c r="S37">
        <f>MEDIAN(D37,G37)</f>
        <v>2</v>
      </c>
      <c r="T37" t="e">
        <f>RANK(B37,B:B)</f>
        <v>#REF!</v>
      </c>
      <c r="U37" t="str">
        <f>LEFT(C37,1)</f>
        <v>F</v>
      </c>
      <c r="V37" t="str">
        <f>RIGHT(C37,2)</f>
        <v>le</v>
      </c>
      <c r="W37">
        <f>LEN(C37)</f>
        <v>6</v>
      </c>
      <c r="X37">
        <v>46148</v>
      </c>
      <c r="Y37">
        <f t="shared" si="0"/>
        <v>2026</v>
      </c>
      <c r="Z37">
        <f>MONTH(X37)</f>
        <v>5</v>
      </c>
      <c r="AA37">
        <f>DAY(X37)</f>
        <v>6</v>
      </c>
      <c r="AB37">
        <f t="shared" si="1"/>
        <v>4</v>
      </c>
      <c r="AC37">
        <f>EOMONTH(X37,4)</f>
        <v>46295</v>
      </c>
      <c r="AD37">
        <f>NETWORKDAYS(X37,AC37)</f>
        <v>106</v>
      </c>
      <c r="AF37" t="s">
        <v>70</v>
      </c>
      <c r="AG37" t="s">
        <v>71</v>
      </c>
      <c r="AH37" t="s">
        <v>72</v>
      </c>
      <c r="AI37" t="s">
        <v>73</v>
      </c>
      <c r="AJ37" t="s">
        <v>74</v>
      </c>
      <c r="AK37" t="s">
        <v>75</v>
      </c>
      <c r="AL37" t="s">
        <v>76</v>
      </c>
      <c r="AM37" t="s">
        <v>77</v>
      </c>
      <c r="AN37" t="s">
        <v>78</v>
      </c>
      <c r="AO37" t="s">
        <v>79</v>
      </c>
    </row>
    <row r="38" spans="1:41" x14ac:dyDescent="0.25">
      <c r="A38">
        <v>0</v>
      </c>
      <c r="B38">
        <v>36</v>
      </c>
      <c r="C38" t="s">
        <v>21</v>
      </c>
      <c r="D38">
        <v>1</v>
      </c>
      <c r="E38">
        <v>1</v>
      </c>
      <c r="F38">
        <v>3.92</v>
      </c>
      <c r="G38">
        <v>0</v>
      </c>
      <c r="H38">
        <v>146.30000000000001</v>
      </c>
      <c r="I38">
        <v>128</v>
      </c>
      <c r="J38">
        <v>78.2</v>
      </c>
      <c r="K38">
        <v>8.1300000000000008</v>
      </c>
      <c r="L38">
        <v>14.5</v>
      </c>
      <c r="M38">
        <f>SQRT(B38)</f>
        <v>6</v>
      </c>
      <c r="N38">
        <f>ROUND(Table1[[#This Row],[SQRT]],2)</f>
        <v>6</v>
      </c>
      <c r="O38">
        <f>MIN(H38,I38)</f>
        <v>128</v>
      </c>
      <c r="P38">
        <f>MAX(H38,I38)</f>
        <v>146.30000000000001</v>
      </c>
      <c r="Q38">
        <f>AVERAGE(H38,I38)</f>
        <v>137.15</v>
      </c>
      <c r="R38">
        <f>SUM(H38,I38)</f>
        <v>274.3</v>
      </c>
      <c r="S38">
        <f>MEDIAN(D38,G38)</f>
        <v>0.5</v>
      </c>
      <c r="T38" t="e">
        <f>RANK(B38,B:B)</f>
        <v>#REF!</v>
      </c>
      <c r="U38" t="str">
        <f>LEFT(C38,1)</f>
        <v>F</v>
      </c>
      <c r="V38" t="str">
        <f>RIGHT(C38,2)</f>
        <v>le</v>
      </c>
      <c r="W38">
        <f>LEN(C38)</f>
        <v>6</v>
      </c>
      <c r="X38">
        <v>46149</v>
      </c>
      <c r="Y38">
        <f t="shared" si="0"/>
        <v>2026</v>
      </c>
      <c r="Z38">
        <f>MONTH(X38)</f>
        <v>5</v>
      </c>
      <c r="AA38">
        <f>DAY(X38)</f>
        <v>7</v>
      </c>
      <c r="AB38">
        <f t="shared" si="1"/>
        <v>5</v>
      </c>
      <c r="AC38">
        <f>EOMONTH(X38,4)</f>
        <v>46295</v>
      </c>
      <c r="AD38">
        <f>NETWORKDAYS(X38,AC38)</f>
        <v>105</v>
      </c>
      <c r="AF38" t="s">
        <v>80</v>
      </c>
      <c r="AG38" t="s">
        <v>81</v>
      </c>
      <c r="AH38">
        <v>28</v>
      </c>
      <c r="AI38" t="s">
        <v>22</v>
      </c>
      <c r="AJ38" t="s">
        <v>82</v>
      </c>
      <c r="AK38" t="s">
        <v>83</v>
      </c>
      <c r="AL38">
        <v>55000</v>
      </c>
      <c r="AM38">
        <v>3</v>
      </c>
      <c r="AN38">
        <v>4</v>
      </c>
      <c r="AO38" t="s">
        <v>84</v>
      </c>
    </row>
    <row r="39" spans="1:41" x14ac:dyDescent="0.25">
      <c r="A39">
        <v>0</v>
      </c>
      <c r="B39">
        <v>78</v>
      </c>
      <c r="C39" t="s">
        <v>21</v>
      </c>
      <c r="D39">
        <v>1</v>
      </c>
      <c r="E39">
        <v>0</v>
      </c>
      <c r="F39">
        <v>0</v>
      </c>
      <c r="G39">
        <v>1</v>
      </c>
      <c r="H39">
        <v>130.80000000000001</v>
      </c>
      <c r="I39">
        <v>64</v>
      </c>
      <c r="J39">
        <v>42</v>
      </c>
      <c r="K39">
        <v>11.19</v>
      </c>
      <c r="L39">
        <v>10</v>
      </c>
      <c r="M39">
        <f>SQRT(B39)</f>
        <v>8.8317608663278477</v>
      </c>
      <c r="N39">
        <f>ROUND(Table1[[#This Row],[SQRT]],2)</f>
        <v>8.83</v>
      </c>
      <c r="O39">
        <f>MIN(H39,I39)</f>
        <v>64</v>
      </c>
      <c r="P39">
        <f>MAX(H39,I39)</f>
        <v>130.80000000000001</v>
      </c>
      <c r="Q39">
        <f>AVERAGE(H39,I39)</f>
        <v>97.4</v>
      </c>
      <c r="R39">
        <f>SUM(H39,I39)</f>
        <v>194.8</v>
      </c>
      <c r="S39">
        <f>MEDIAN(D39,G39)</f>
        <v>1</v>
      </c>
      <c r="T39" t="e">
        <f>RANK(B39,B:B)</f>
        <v>#REF!</v>
      </c>
      <c r="U39" t="str">
        <f>LEFT(C39,1)</f>
        <v>F</v>
      </c>
      <c r="V39" t="str">
        <f>RIGHT(C39,2)</f>
        <v>le</v>
      </c>
      <c r="W39">
        <f>LEN(C39)</f>
        <v>6</v>
      </c>
      <c r="X39">
        <v>46150</v>
      </c>
      <c r="Y39">
        <f t="shared" si="0"/>
        <v>2026</v>
      </c>
      <c r="Z39">
        <f>MONTH(X39)</f>
        <v>5</v>
      </c>
      <c r="AA39">
        <f>DAY(X39)</f>
        <v>8</v>
      </c>
      <c r="AB39">
        <f t="shared" si="1"/>
        <v>6</v>
      </c>
      <c r="AC39">
        <f>EOMONTH(X39,4)</f>
        <v>46295</v>
      </c>
      <c r="AD39">
        <f>NETWORKDAYS(X39,AC39)</f>
        <v>104</v>
      </c>
      <c r="AF39" t="s">
        <v>85</v>
      </c>
      <c r="AG39" t="s">
        <v>86</v>
      </c>
      <c r="AH39">
        <v>32</v>
      </c>
      <c r="AI39" t="s">
        <v>21</v>
      </c>
      <c r="AJ39" t="s">
        <v>87</v>
      </c>
      <c r="AK39" t="s">
        <v>88</v>
      </c>
      <c r="AL39">
        <v>65000</v>
      </c>
      <c r="AM39">
        <v>7</v>
      </c>
      <c r="AN39">
        <v>5</v>
      </c>
      <c r="AO39" t="s">
        <v>89</v>
      </c>
    </row>
    <row r="40" spans="1:41" x14ac:dyDescent="0.25">
      <c r="A40">
        <v>0</v>
      </c>
      <c r="B40">
        <v>136</v>
      </c>
      <c r="C40" t="s">
        <v>21</v>
      </c>
      <c r="D40">
        <v>0</v>
      </c>
      <c r="E40">
        <v>1</v>
      </c>
      <c r="F40">
        <v>2.84</v>
      </c>
      <c r="G40">
        <v>3</v>
      </c>
      <c r="H40">
        <v>203.9</v>
      </c>
      <c r="I40">
        <v>106</v>
      </c>
      <c r="J40">
        <v>79.400000000000006</v>
      </c>
      <c r="K40">
        <v>9.3800000000000008</v>
      </c>
      <c r="L40">
        <v>10.5</v>
      </c>
      <c r="M40">
        <f>SQRT(B40)</f>
        <v>11.661903789690601</v>
      </c>
      <c r="N40">
        <f>ROUND(Table1[[#This Row],[SQRT]],2)</f>
        <v>11.66</v>
      </c>
      <c r="O40">
        <f>MIN(H40,I40)</f>
        <v>106</v>
      </c>
      <c r="P40">
        <f>MAX(H40,I40)</f>
        <v>203.9</v>
      </c>
      <c r="Q40">
        <f>AVERAGE(H40,I40)</f>
        <v>154.94999999999999</v>
      </c>
      <c r="R40">
        <f>SUM(H40,I40)</f>
        <v>309.89999999999998</v>
      </c>
      <c r="S40">
        <f>MEDIAN(D40,G40)</f>
        <v>1.5</v>
      </c>
      <c r="T40" t="e">
        <f>RANK(B40,B:B)</f>
        <v>#REF!</v>
      </c>
      <c r="U40" t="str">
        <f>LEFT(C40,1)</f>
        <v>F</v>
      </c>
      <c r="V40" t="str">
        <f>RIGHT(C40,2)</f>
        <v>le</v>
      </c>
      <c r="W40">
        <f>LEN(C40)</f>
        <v>6</v>
      </c>
      <c r="X40">
        <v>46151</v>
      </c>
      <c r="Y40">
        <f t="shared" si="0"/>
        <v>2026</v>
      </c>
      <c r="Z40">
        <f>MONTH(X40)</f>
        <v>5</v>
      </c>
      <c r="AA40">
        <f>DAY(X40)</f>
        <v>9</v>
      </c>
      <c r="AB40">
        <f t="shared" si="1"/>
        <v>7</v>
      </c>
      <c r="AC40">
        <f>EOMONTH(X40,4)</f>
        <v>46295</v>
      </c>
      <c r="AD40">
        <f>NETWORKDAYS(X40,AC40)</f>
        <v>103</v>
      </c>
      <c r="AF40" t="s">
        <v>90</v>
      </c>
      <c r="AG40" t="s">
        <v>91</v>
      </c>
      <c r="AH40">
        <v>26</v>
      </c>
      <c r="AI40" t="s">
        <v>22</v>
      </c>
      <c r="AJ40" t="s">
        <v>92</v>
      </c>
      <c r="AK40" t="s">
        <v>93</v>
      </c>
      <c r="AL40">
        <v>45000</v>
      </c>
      <c r="AM40">
        <v>2</v>
      </c>
      <c r="AN40">
        <v>3</v>
      </c>
      <c r="AO40" t="s">
        <v>94</v>
      </c>
    </row>
    <row r="41" spans="1:41" x14ac:dyDescent="0.25">
      <c r="A41">
        <v>0</v>
      </c>
      <c r="B41">
        <v>149</v>
      </c>
      <c r="C41" t="s">
        <v>21</v>
      </c>
      <c r="D41">
        <v>1</v>
      </c>
      <c r="E41">
        <v>0</v>
      </c>
      <c r="F41">
        <v>0</v>
      </c>
      <c r="G41">
        <v>1</v>
      </c>
      <c r="H41">
        <v>140.4</v>
      </c>
      <c r="I41">
        <v>94</v>
      </c>
      <c r="J41">
        <v>47</v>
      </c>
      <c r="K41">
        <v>13.59</v>
      </c>
      <c r="L41">
        <v>11.1</v>
      </c>
      <c r="M41">
        <f>SQRT(B41)</f>
        <v>12.206555615733702</v>
      </c>
      <c r="N41">
        <f>ROUND(Table1[[#This Row],[SQRT]],2)</f>
        <v>12.21</v>
      </c>
      <c r="O41">
        <f>MIN(H41,I41)</f>
        <v>94</v>
      </c>
      <c r="P41">
        <f>MAX(H41,I41)</f>
        <v>140.4</v>
      </c>
      <c r="Q41">
        <f>AVERAGE(H41,I41)</f>
        <v>117.2</v>
      </c>
      <c r="R41">
        <f>SUM(H41,I41)</f>
        <v>234.4</v>
      </c>
      <c r="S41">
        <f>MEDIAN(D41,G41)</f>
        <v>1</v>
      </c>
      <c r="T41" t="e">
        <f>RANK(B41,B:B)</f>
        <v>#REF!</v>
      </c>
      <c r="U41" t="str">
        <f>LEFT(C41,1)</f>
        <v>F</v>
      </c>
      <c r="V41" t="str">
        <f>RIGHT(C41,2)</f>
        <v>le</v>
      </c>
      <c r="W41">
        <f>LEN(C41)</f>
        <v>6</v>
      </c>
      <c r="X41">
        <v>46152</v>
      </c>
      <c r="Y41">
        <f t="shared" si="0"/>
        <v>2026</v>
      </c>
      <c r="Z41">
        <f>MONTH(X41)</f>
        <v>5</v>
      </c>
      <c r="AA41">
        <f>DAY(X41)</f>
        <v>10</v>
      </c>
      <c r="AB41">
        <f t="shared" si="1"/>
        <v>1</v>
      </c>
      <c r="AC41">
        <f>EOMONTH(X41,4)</f>
        <v>46295</v>
      </c>
      <c r="AD41">
        <f>NETWORKDAYS(X41,AC41)</f>
        <v>103</v>
      </c>
      <c r="AF41" t="s">
        <v>95</v>
      </c>
      <c r="AG41" t="s">
        <v>96</v>
      </c>
      <c r="AH41">
        <v>35</v>
      </c>
      <c r="AI41" t="s">
        <v>21</v>
      </c>
      <c r="AJ41" t="s">
        <v>97</v>
      </c>
      <c r="AK41" t="s">
        <v>98</v>
      </c>
      <c r="AL41">
        <v>70000</v>
      </c>
      <c r="AM41">
        <v>9</v>
      </c>
      <c r="AN41">
        <v>5</v>
      </c>
      <c r="AO41" t="s">
        <v>99</v>
      </c>
    </row>
    <row r="42" spans="1:41" x14ac:dyDescent="0.25">
      <c r="A42">
        <v>0</v>
      </c>
      <c r="B42">
        <v>98</v>
      </c>
      <c r="C42" t="s">
        <v>21</v>
      </c>
      <c r="D42">
        <v>1</v>
      </c>
      <c r="E42">
        <v>0</v>
      </c>
      <c r="F42">
        <v>0.3</v>
      </c>
      <c r="G42">
        <v>3</v>
      </c>
      <c r="H42">
        <v>126.3</v>
      </c>
      <c r="I42">
        <v>102</v>
      </c>
      <c r="J42">
        <v>39</v>
      </c>
      <c r="K42">
        <v>8.34</v>
      </c>
      <c r="L42">
        <v>9.4</v>
      </c>
      <c r="M42">
        <f>SQRT(B42)</f>
        <v>9.8994949366116654</v>
      </c>
      <c r="N42">
        <f>ROUND(Table1[[#This Row],[SQRT]],2)</f>
        <v>9.9</v>
      </c>
      <c r="O42">
        <f>MIN(H42,I42)</f>
        <v>102</v>
      </c>
      <c r="P42">
        <f>MAX(H42,I42)</f>
        <v>126.3</v>
      </c>
      <c r="Q42">
        <f>AVERAGE(H42,I42)</f>
        <v>114.15</v>
      </c>
      <c r="R42">
        <f>SUM(H42,I42)</f>
        <v>228.3</v>
      </c>
      <c r="S42">
        <f>MEDIAN(D42,G42)</f>
        <v>2</v>
      </c>
      <c r="T42" t="e">
        <f>RANK(B42,B:B)</f>
        <v>#REF!</v>
      </c>
      <c r="U42" t="str">
        <f>LEFT(C42,1)</f>
        <v>F</v>
      </c>
      <c r="V42" t="str">
        <f>RIGHT(C42,2)</f>
        <v>le</v>
      </c>
      <c r="W42">
        <f>LEN(C42)</f>
        <v>6</v>
      </c>
      <c r="X42">
        <v>46153</v>
      </c>
      <c r="Y42">
        <f t="shared" si="0"/>
        <v>2026</v>
      </c>
      <c r="Z42">
        <f>MONTH(X42)</f>
        <v>5</v>
      </c>
      <c r="AA42">
        <f>DAY(X42)</f>
        <v>11</v>
      </c>
      <c r="AB42">
        <f t="shared" si="1"/>
        <v>2</v>
      </c>
      <c r="AC42">
        <f>EOMONTH(X42,4)</f>
        <v>46295</v>
      </c>
      <c r="AD42">
        <f>NETWORKDAYS(X42,AC42)</f>
        <v>103</v>
      </c>
      <c r="AF42" t="s">
        <v>100</v>
      </c>
      <c r="AG42" t="s">
        <v>101</v>
      </c>
      <c r="AH42">
        <v>30</v>
      </c>
      <c r="AI42" t="s">
        <v>22</v>
      </c>
      <c r="AJ42" t="s">
        <v>82</v>
      </c>
      <c r="AK42" t="s">
        <v>102</v>
      </c>
      <c r="AL42">
        <v>60000</v>
      </c>
      <c r="AM42">
        <v>5</v>
      </c>
      <c r="AN42">
        <v>4</v>
      </c>
      <c r="AO42" t="s">
        <v>103</v>
      </c>
    </row>
    <row r="43" spans="1:41" x14ac:dyDescent="0.25">
      <c r="A43">
        <v>1</v>
      </c>
      <c r="B43">
        <v>135</v>
      </c>
      <c r="C43" t="s">
        <v>21</v>
      </c>
      <c r="D43">
        <v>0</v>
      </c>
      <c r="E43">
        <v>1</v>
      </c>
      <c r="F43">
        <v>3.94</v>
      </c>
      <c r="G43">
        <v>0</v>
      </c>
      <c r="H43">
        <v>173.1</v>
      </c>
      <c r="I43">
        <v>85</v>
      </c>
      <c r="J43">
        <v>86.4</v>
      </c>
      <c r="K43">
        <v>10.199999999999999</v>
      </c>
      <c r="L43">
        <v>14.6</v>
      </c>
      <c r="M43">
        <f>SQRT(B43)</f>
        <v>11.61895003862225</v>
      </c>
      <c r="N43">
        <f>ROUND(Table1[[#This Row],[SQRT]],2)</f>
        <v>11.62</v>
      </c>
      <c r="O43">
        <f>MIN(H43,I43)</f>
        <v>85</v>
      </c>
      <c r="P43">
        <f>MAX(H43,I43)</f>
        <v>173.1</v>
      </c>
      <c r="Q43">
        <f>AVERAGE(H43,I43)</f>
        <v>129.05000000000001</v>
      </c>
      <c r="R43">
        <f>SUM(H43,I43)</f>
        <v>258.10000000000002</v>
      </c>
      <c r="S43">
        <f>MEDIAN(D43,G43)</f>
        <v>0</v>
      </c>
      <c r="T43" t="e">
        <f>RANK(B43,B:B)</f>
        <v>#REF!</v>
      </c>
      <c r="U43" t="str">
        <f>LEFT(C43,1)</f>
        <v>F</v>
      </c>
      <c r="V43" t="str">
        <f>RIGHT(C43,2)</f>
        <v>le</v>
      </c>
      <c r="W43">
        <f>LEN(C43)</f>
        <v>6</v>
      </c>
      <c r="X43">
        <v>46154</v>
      </c>
      <c r="Y43">
        <f t="shared" si="0"/>
        <v>2026</v>
      </c>
      <c r="Z43">
        <f>MONTH(X43)</f>
        <v>5</v>
      </c>
      <c r="AA43">
        <f>DAY(X43)</f>
        <v>12</v>
      </c>
      <c r="AB43">
        <f t="shared" si="1"/>
        <v>3</v>
      </c>
      <c r="AC43">
        <f>EOMONTH(X43,4)</f>
        <v>46295</v>
      </c>
      <c r="AD43">
        <f>NETWORKDAYS(X43,AC43)</f>
        <v>102</v>
      </c>
      <c r="AF43" t="s">
        <v>104</v>
      </c>
      <c r="AG43" t="s">
        <v>105</v>
      </c>
      <c r="AH43">
        <v>27</v>
      </c>
      <c r="AI43" t="s">
        <v>21</v>
      </c>
      <c r="AJ43" t="s">
        <v>106</v>
      </c>
      <c r="AK43" t="s">
        <v>107</v>
      </c>
      <c r="AL43">
        <v>50000</v>
      </c>
      <c r="AM43">
        <v>3</v>
      </c>
      <c r="AN43">
        <v>4</v>
      </c>
      <c r="AO43" t="s">
        <v>84</v>
      </c>
    </row>
    <row r="44" spans="1:41" x14ac:dyDescent="0.25">
      <c r="A44">
        <v>0</v>
      </c>
      <c r="B44">
        <v>34</v>
      </c>
      <c r="C44" t="s">
        <v>21</v>
      </c>
      <c r="D44">
        <v>1</v>
      </c>
      <c r="E44">
        <v>0</v>
      </c>
      <c r="F44">
        <v>0</v>
      </c>
      <c r="G44">
        <v>2</v>
      </c>
      <c r="H44">
        <v>124.8</v>
      </c>
      <c r="I44">
        <v>82</v>
      </c>
      <c r="J44">
        <v>46</v>
      </c>
      <c r="K44">
        <v>14.11</v>
      </c>
      <c r="L44">
        <v>10</v>
      </c>
      <c r="M44">
        <f>SQRT(B44)</f>
        <v>5.8309518948453007</v>
      </c>
      <c r="N44">
        <f>ROUND(Table1[[#This Row],[SQRT]],2)</f>
        <v>5.83</v>
      </c>
      <c r="O44">
        <f>MIN(H44,I44)</f>
        <v>82</v>
      </c>
      <c r="P44">
        <f>MAX(H44,I44)</f>
        <v>124.8</v>
      </c>
      <c r="Q44">
        <f>AVERAGE(H44,I44)</f>
        <v>103.4</v>
      </c>
      <c r="R44">
        <f>SUM(H44,I44)</f>
        <v>206.8</v>
      </c>
      <c r="S44">
        <f>MEDIAN(D44,G44)</f>
        <v>1.5</v>
      </c>
      <c r="T44" t="e">
        <f>RANK(B44,B:B)</f>
        <v>#REF!</v>
      </c>
      <c r="U44" t="str">
        <f>LEFT(C44,1)</f>
        <v>F</v>
      </c>
      <c r="V44" t="str">
        <f>RIGHT(C44,2)</f>
        <v>le</v>
      </c>
      <c r="W44">
        <f>LEN(C44)</f>
        <v>6</v>
      </c>
      <c r="X44">
        <v>46155</v>
      </c>
      <c r="Y44">
        <f t="shared" si="0"/>
        <v>2026</v>
      </c>
      <c r="Z44">
        <f>MONTH(X44)</f>
        <v>5</v>
      </c>
      <c r="AA44">
        <f>DAY(X44)</f>
        <v>13</v>
      </c>
      <c r="AB44">
        <f t="shared" si="1"/>
        <v>4</v>
      </c>
      <c r="AC44">
        <f>EOMONTH(X44,4)</f>
        <v>46295</v>
      </c>
      <c r="AD44">
        <f>NETWORKDAYS(X44,AC44)</f>
        <v>101</v>
      </c>
      <c r="AF44" t="s">
        <v>108</v>
      </c>
      <c r="AG44" t="s">
        <v>109</v>
      </c>
      <c r="AH44">
        <v>40</v>
      </c>
      <c r="AI44" t="s">
        <v>22</v>
      </c>
      <c r="AJ44" t="s">
        <v>110</v>
      </c>
      <c r="AK44" t="s">
        <v>111</v>
      </c>
      <c r="AL44">
        <v>85000</v>
      </c>
      <c r="AM44">
        <v>15</v>
      </c>
      <c r="AN44">
        <v>5</v>
      </c>
      <c r="AO44" t="s">
        <v>112</v>
      </c>
    </row>
    <row r="45" spans="1:41" x14ac:dyDescent="0.25">
      <c r="A45">
        <v>0</v>
      </c>
      <c r="B45">
        <v>160</v>
      </c>
      <c r="C45" t="s">
        <v>21</v>
      </c>
      <c r="D45">
        <v>1</v>
      </c>
      <c r="E45">
        <v>0</v>
      </c>
      <c r="F45">
        <v>0.38</v>
      </c>
      <c r="G45">
        <v>3</v>
      </c>
      <c r="H45">
        <v>85.8</v>
      </c>
      <c r="I45">
        <v>77</v>
      </c>
      <c r="J45">
        <v>32.799999999999997</v>
      </c>
      <c r="K45">
        <v>8.27</v>
      </c>
      <c r="L45">
        <v>9.1999999999999993</v>
      </c>
      <c r="M45">
        <f>SQRT(B45)</f>
        <v>12.649110640673518</v>
      </c>
      <c r="N45">
        <f>ROUND(Table1[[#This Row],[SQRT]],2)</f>
        <v>12.65</v>
      </c>
      <c r="O45">
        <f>MIN(H45,I45)</f>
        <v>77</v>
      </c>
      <c r="P45">
        <f>MAX(H45,I45)</f>
        <v>85.8</v>
      </c>
      <c r="Q45">
        <f>AVERAGE(H45,I45)</f>
        <v>81.400000000000006</v>
      </c>
      <c r="R45">
        <f>SUM(H45,I45)</f>
        <v>162.80000000000001</v>
      </c>
      <c r="S45">
        <f>MEDIAN(D45,G45)</f>
        <v>2</v>
      </c>
      <c r="T45" t="e">
        <f>RANK(B45,B:B)</f>
        <v>#REF!</v>
      </c>
      <c r="U45" t="str">
        <f>LEFT(C45,1)</f>
        <v>F</v>
      </c>
      <c r="V45" t="str">
        <f>RIGHT(C45,2)</f>
        <v>le</v>
      </c>
      <c r="W45">
        <f>LEN(C45)</f>
        <v>6</v>
      </c>
      <c r="X45">
        <v>46156</v>
      </c>
      <c r="Y45">
        <f t="shared" si="0"/>
        <v>2026</v>
      </c>
      <c r="Z45">
        <f>MONTH(X45)</f>
        <v>5</v>
      </c>
      <c r="AA45">
        <f>DAY(X45)</f>
        <v>14</v>
      </c>
      <c r="AB45">
        <f t="shared" si="1"/>
        <v>5</v>
      </c>
      <c r="AC45">
        <f>EOMONTH(X45,4)</f>
        <v>46295</v>
      </c>
      <c r="AD45">
        <f>NETWORKDAYS(X45,AC45)</f>
        <v>100</v>
      </c>
      <c r="AF45" t="s">
        <v>113</v>
      </c>
      <c r="AG45" t="s">
        <v>114</v>
      </c>
      <c r="AH45">
        <v>29</v>
      </c>
      <c r="AI45" t="s">
        <v>21</v>
      </c>
      <c r="AJ45" t="s">
        <v>82</v>
      </c>
      <c r="AK45" t="s">
        <v>115</v>
      </c>
      <c r="AL45">
        <v>62000</v>
      </c>
      <c r="AM45">
        <v>4</v>
      </c>
      <c r="AN45">
        <v>4</v>
      </c>
      <c r="AO45" t="s">
        <v>89</v>
      </c>
    </row>
    <row r="46" spans="1:41" x14ac:dyDescent="0.25">
      <c r="A46">
        <v>0</v>
      </c>
      <c r="B46">
        <v>64</v>
      </c>
      <c r="C46" t="s">
        <v>21</v>
      </c>
      <c r="D46">
        <v>1</v>
      </c>
      <c r="E46">
        <v>0</v>
      </c>
      <c r="F46">
        <v>0.24</v>
      </c>
      <c r="G46">
        <v>1</v>
      </c>
      <c r="H46">
        <v>154</v>
      </c>
      <c r="I46">
        <v>67</v>
      </c>
      <c r="J46">
        <v>48.4</v>
      </c>
      <c r="K46">
        <v>11.29</v>
      </c>
      <c r="L46">
        <v>3.5</v>
      </c>
      <c r="M46">
        <f>SQRT(B46)</f>
        <v>8</v>
      </c>
      <c r="N46">
        <f>ROUND(Table1[[#This Row],[SQRT]],2)</f>
        <v>8</v>
      </c>
      <c r="O46">
        <f>MIN(H46,I46)</f>
        <v>67</v>
      </c>
      <c r="P46">
        <f>MAX(H46,I46)</f>
        <v>154</v>
      </c>
      <c r="Q46">
        <f>AVERAGE(H46,I46)</f>
        <v>110.5</v>
      </c>
      <c r="R46">
        <f>SUM(H46,I46)</f>
        <v>221</v>
      </c>
      <c r="S46">
        <f>MEDIAN(D46,G46)</f>
        <v>1</v>
      </c>
      <c r="T46" t="e">
        <f>RANK(B46,B:B)</f>
        <v>#REF!</v>
      </c>
      <c r="U46" t="str">
        <f>LEFT(C46,1)</f>
        <v>F</v>
      </c>
      <c r="V46" t="str">
        <f>RIGHT(C46,2)</f>
        <v>le</v>
      </c>
      <c r="W46">
        <f>LEN(C46)</f>
        <v>6</v>
      </c>
      <c r="X46">
        <v>46157</v>
      </c>
      <c r="Y46">
        <f t="shared" si="0"/>
        <v>2026</v>
      </c>
      <c r="Z46">
        <f>MONTH(X46)</f>
        <v>5</v>
      </c>
      <c r="AA46">
        <f>DAY(X46)</f>
        <v>15</v>
      </c>
      <c r="AB46">
        <f t="shared" si="1"/>
        <v>6</v>
      </c>
      <c r="AC46">
        <f>EOMONTH(X46,4)</f>
        <v>46295</v>
      </c>
      <c r="AD46">
        <f>NETWORKDAYS(X46,AC46)</f>
        <v>99</v>
      </c>
      <c r="AF46" t="s">
        <v>116</v>
      </c>
      <c r="AG46" t="s">
        <v>117</v>
      </c>
      <c r="AH46">
        <v>31</v>
      </c>
      <c r="AI46" t="s">
        <v>22</v>
      </c>
      <c r="AJ46" t="s">
        <v>92</v>
      </c>
      <c r="AK46" t="s">
        <v>118</v>
      </c>
      <c r="AL46">
        <v>75000</v>
      </c>
      <c r="AM46">
        <v>8</v>
      </c>
      <c r="AN46">
        <v>5</v>
      </c>
      <c r="AO46" t="s">
        <v>94</v>
      </c>
    </row>
    <row r="47" spans="1:41" x14ac:dyDescent="0.25">
      <c r="A47">
        <v>0</v>
      </c>
      <c r="B47">
        <v>59</v>
      </c>
      <c r="C47" t="s">
        <v>21</v>
      </c>
      <c r="D47">
        <v>1</v>
      </c>
      <c r="E47">
        <v>1</v>
      </c>
      <c r="F47">
        <v>2.2999999999999998</v>
      </c>
      <c r="G47">
        <v>2</v>
      </c>
      <c r="H47">
        <v>120.9</v>
      </c>
      <c r="I47">
        <v>97</v>
      </c>
      <c r="J47">
        <v>62</v>
      </c>
      <c r="K47">
        <v>10.65</v>
      </c>
      <c r="L47">
        <v>8.5</v>
      </c>
      <c r="M47">
        <f>SQRT(B47)</f>
        <v>7.6811457478686078</v>
      </c>
      <c r="N47">
        <f>ROUND(Table1[[#This Row],[SQRT]],2)</f>
        <v>7.68</v>
      </c>
      <c r="O47">
        <f>MIN(H47,I47)</f>
        <v>97</v>
      </c>
      <c r="P47">
        <f>MAX(H47,I47)</f>
        <v>120.9</v>
      </c>
      <c r="Q47">
        <f>AVERAGE(H47,I47)</f>
        <v>108.95</v>
      </c>
      <c r="R47">
        <f>SUM(H47,I47)</f>
        <v>217.9</v>
      </c>
      <c r="S47">
        <f>MEDIAN(D47,G47)</f>
        <v>1.5</v>
      </c>
      <c r="T47" t="e">
        <f>RANK(B47,B:B)</f>
        <v>#REF!</v>
      </c>
      <c r="U47" t="str">
        <f>LEFT(C47,1)</f>
        <v>F</v>
      </c>
      <c r="V47" t="str">
        <f>RIGHT(C47,2)</f>
        <v>le</v>
      </c>
      <c r="W47">
        <f>LEN(C47)</f>
        <v>6</v>
      </c>
      <c r="X47">
        <v>46158</v>
      </c>
      <c r="Y47">
        <f t="shared" si="0"/>
        <v>2026</v>
      </c>
      <c r="Z47">
        <f>MONTH(X47)</f>
        <v>5</v>
      </c>
      <c r="AA47">
        <f>DAY(X47)</f>
        <v>16</v>
      </c>
      <c r="AB47">
        <f t="shared" si="1"/>
        <v>7</v>
      </c>
      <c r="AC47">
        <f>EOMONTH(X47,4)</f>
        <v>46295</v>
      </c>
      <c r="AD47">
        <f>NETWORKDAYS(X47,AC47)</f>
        <v>98</v>
      </c>
      <c r="AF47" t="s">
        <v>119</v>
      </c>
      <c r="AG47" t="s">
        <v>120</v>
      </c>
      <c r="AH47">
        <v>25</v>
      </c>
      <c r="AI47" t="s">
        <v>21</v>
      </c>
      <c r="AJ47" t="s">
        <v>121</v>
      </c>
      <c r="AK47" t="s">
        <v>122</v>
      </c>
      <c r="AL47">
        <v>40000</v>
      </c>
      <c r="AM47">
        <v>1</v>
      </c>
      <c r="AN47">
        <v>3</v>
      </c>
      <c r="AO47" t="s">
        <v>123</v>
      </c>
    </row>
    <row r="48" spans="1:41" x14ac:dyDescent="0.25">
      <c r="A48">
        <v>0</v>
      </c>
      <c r="B48">
        <v>65</v>
      </c>
      <c r="C48" t="s">
        <v>21</v>
      </c>
      <c r="D48">
        <v>1</v>
      </c>
      <c r="E48">
        <v>0</v>
      </c>
      <c r="F48">
        <v>0</v>
      </c>
      <c r="G48">
        <v>3</v>
      </c>
      <c r="H48">
        <v>211.3</v>
      </c>
      <c r="I48">
        <v>120</v>
      </c>
      <c r="J48">
        <v>50</v>
      </c>
      <c r="K48">
        <v>8.1300000000000008</v>
      </c>
      <c r="L48">
        <v>13.2</v>
      </c>
      <c r="M48">
        <f>SQRT(B48)</f>
        <v>8.0622577482985491</v>
      </c>
      <c r="N48">
        <f>ROUND(Table1[[#This Row],[SQRT]],2)</f>
        <v>8.06</v>
      </c>
      <c r="O48">
        <f>MIN(H48,I48)</f>
        <v>120</v>
      </c>
      <c r="P48">
        <f>MAX(H48,I48)</f>
        <v>211.3</v>
      </c>
      <c r="Q48">
        <f>AVERAGE(H48,I48)</f>
        <v>165.65</v>
      </c>
      <c r="R48">
        <f>SUM(H48,I48)</f>
        <v>331.3</v>
      </c>
      <c r="S48">
        <f>MEDIAN(D48,G48)</f>
        <v>2</v>
      </c>
      <c r="T48" t="e">
        <f>RANK(B48,B:B)</f>
        <v>#REF!</v>
      </c>
      <c r="U48" t="str">
        <f>LEFT(C48,1)</f>
        <v>F</v>
      </c>
      <c r="V48" t="str">
        <f>RIGHT(C48,2)</f>
        <v>le</v>
      </c>
      <c r="W48">
        <f>LEN(C48)</f>
        <v>6</v>
      </c>
      <c r="X48">
        <v>46159</v>
      </c>
      <c r="Y48">
        <f t="shared" si="0"/>
        <v>2026</v>
      </c>
      <c r="Z48">
        <f>MONTH(X48)</f>
        <v>5</v>
      </c>
      <c r="AA48">
        <f>DAY(X48)</f>
        <v>17</v>
      </c>
      <c r="AB48">
        <f t="shared" si="1"/>
        <v>1</v>
      </c>
      <c r="AC48">
        <f>EOMONTH(X48,4)</f>
        <v>46295</v>
      </c>
      <c r="AD48">
        <f>NETWORKDAYS(X48,AC48)</f>
        <v>98</v>
      </c>
    </row>
    <row r="49" spans="1:42" x14ac:dyDescent="0.25">
      <c r="A49">
        <v>0</v>
      </c>
      <c r="B49">
        <v>142</v>
      </c>
      <c r="C49" t="s">
        <v>21</v>
      </c>
      <c r="D49">
        <v>1</v>
      </c>
      <c r="E49">
        <v>0</v>
      </c>
      <c r="F49">
        <v>0.35</v>
      </c>
      <c r="G49">
        <v>2</v>
      </c>
      <c r="H49">
        <v>187</v>
      </c>
      <c r="I49">
        <v>133</v>
      </c>
      <c r="J49">
        <v>47.5</v>
      </c>
      <c r="K49">
        <v>6.73</v>
      </c>
      <c r="L49">
        <v>7.4</v>
      </c>
      <c r="M49">
        <f>SQRT(B49)</f>
        <v>11.916375287812984</v>
      </c>
      <c r="N49">
        <f>ROUND(Table1[[#This Row],[SQRT]],2)</f>
        <v>11.92</v>
      </c>
      <c r="O49">
        <f>MIN(H49,I49)</f>
        <v>133</v>
      </c>
      <c r="P49">
        <f>MAX(H49,I49)</f>
        <v>187</v>
      </c>
      <c r="Q49">
        <f>AVERAGE(H49,I49)</f>
        <v>160</v>
      </c>
      <c r="R49">
        <f>SUM(H49,I49)</f>
        <v>320</v>
      </c>
      <c r="S49">
        <f>MEDIAN(D49,G49)</f>
        <v>1.5</v>
      </c>
      <c r="T49" t="e">
        <f>RANK(B49,B:B)</f>
        <v>#REF!</v>
      </c>
      <c r="U49" t="str">
        <f>LEFT(C49,1)</f>
        <v>F</v>
      </c>
      <c r="V49" t="str">
        <f>RIGHT(C49,2)</f>
        <v>le</v>
      </c>
      <c r="W49">
        <f>LEN(C49)</f>
        <v>6</v>
      </c>
      <c r="X49">
        <v>46160</v>
      </c>
      <c r="Y49">
        <f t="shared" si="0"/>
        <v>2026</v>
      </c>
      <c r="Z49">
        <f>MONTH(X49)</f>
        <v>5</v>
      </c>
      <c r="AA49">
        <f>DAY(X49)</f>
        <v>18</v>
      </c>
      <c r="AB49">
        <f t="shared" si="1"/>
        <v>2</v>
      </c>
      <c r="AC49">
        <f>EOMONTH(X49,4)</f>
        <v>46295</v>
      </c>
      <c r="AD49">
        <f>NETWORKDAYS(X49,AC49)</f>
        <v>98</v>
      </c>
    </row>
    <row r="50" spans="1:42" x14ac:dyDescent="0.25">
      <c r="X50" s="1"/>
    </row>
    <row r="51" spans="1:42" x14ac:dyDescent="0.25">
      <c r="X51" s="1"/>
      <c r="AF51" t="s">
        <v>69</v>
      </c>
      <c r="AG51" t="s">
        <v>124</v>
      </c>
      <c r="AH51" t="s">
        <v>150</v>
      </c>
      <c r="AI51" t="s">
        <v>125</v>
      </c>
      <c r="AJ51" t="s">
        <v>151</v>
      </c>
      <c r="AK51" t="s">
        <v>152</v>
      </c>
      <c r="AL51" t="s">
        <v>126</v>
      </c>
      <c r="AM51" t="s">
        <v>153</v>
      </c>
      <c r="AN51" t="s">
        <v>154</v>
      </c>
      <c r="AO51" t="s">
        <v>127</v>
      </c>
    </row>
    <row r="52" spans="1:42" ht="34.5" x14ac:dyDescent="0.55000000000000004">
      <c r="A52" s="13" t="s">
        <v>156</v>
      </c>
      <c r="X52" s="1"/>
      <c r="AF52" t="str">
        <f>VLOOKUP(AH42,AH38:AO47,8,0)</f>
        <v>Pune</v>
      </c>
      <c r="AG52" t="str">
        <f>HLOOKUP(AH61,AF61:AP66,6,0)</f>
        <v>Bangalore</v>
      </c>
      <c r="AI52">
        <f>MATCH(AK38,AK38:AK47,0)</f>
        <v>1</v>
      </c>
      <c r="AK52" t="s">
        <v>117</v>
      </c>
      <c r="AL52">
        <f>INDEX(AG38:AO47,9,6)</f>
        <v>75000</v>
      </c>
      <c r="AO52">
        <f>_xlfn.XLOOKUP(AG38,AG38:AG47,AL38:AL47)</f>
        <v>55000</v>
      </c>
    </row>
    <row r="53" spans="1:42" x14ac:dyDescent="0.25">
      <c r="X53" s="1"/>
      <c r="AF53">
        <f>VLOOKUP(AH46,AH37:AM47,6,0)</f>
        <v>8</v>
      </c>
      <c r="AG53" t="str">
        <f>HLOOKUP(AG62,AF62:AP66,5,0)</f>
        <v>Hyderabad</v>
      </c>
      <c r="AI53">
        <f>MATCH(AK42,AK38:AK47,0)</f>
        <v>5</v>
      </c>
      <c r="AK53" t="s">
        <v>86</v>
      </c>
      <c r="AL53" t="str">
        <f>INDEX(AG38:AO47,2,4)</f>
        <v>HR</v>
      </c>
      <c r="AO53" t="str">
        <f>_xlfn.XLOOKUP(AG39,AG38:AG47,AO38:AO47)</f>
        <v>Bangalore</v>
      </c>
    </row>
    <row r="54" spans="1:42" ht="45" x14ac:dyDescent="0.25">
      <c r="A54" s="7" t="s">
        <v>70</v>
      </c>
      <c r="B54" s="7" t="s">
        <v>71</v>
      </c>
      <c r="C54" s="7" t="s">
        <v>72</v>
      </c>
      <c r="D54" s="7" t="s">
        <v>73</v>
      </c>
      <c r="E54" s="7" t="s">
        <v>74</v>
      </c>
      <c r="F54" s="7" t="s">
        <v>75</v>
      </c>
      <c r="G54" s="7" t="s">
        <v>76</v>
      </c>
      <c r="H54" s="7" t="s">
        <v>77</v>
      </c>
      <c r="I54" s="7" t="s">
        <v>78</v>
      </c>
      <c r="J54" s="7" t="s">
        <v>79</v>
      </c>
      <c r="K54" s="7" t="s">
        <v>128</v>
      </c>
      <c r="L54" s="7" t="s">
        <v>129</v>
      </c>
      <c r="M54" s="7" t="s">
        <v>130</v>
      </c>
      <c r="N54" s="7" t="s">
        <v>131</v>
      </c>
      <c r="O54" s="7" t="s">
        <v>132</v>
      </c>
      <c r="P54" s="7" t="s">
        <v>134</v>
      </c>
      <c r="Q54" s="7" t="s">
        <v>133</v>
      </c>
      <c r="R54" s="7" t="s">
        <v>135</v>
      </c>
      <c r="S54" s="7" t="s">
        <v>136</v>
      </c>
      <c r="X54" s="1"/>
      <c r="AG54" t="str">
        <f>HLOOKUP(AH58,AG58:AP66,3,0)</f>
        <v>Female</v>
      </c>
      <c r="AI54">
        <f>MATCH(AJ44,AJ38:AJ47,0)</f>
        <v>7</v>
      </c>
      <c r="AK54" t="s">
        <v>81</v>
      </c>
      <c r="AL54" t="str">
        <f>INDEX(AG38:AO47,1,4)</f>
        <v>IT</v>
      </c>
    </row>
    <row r="55" spans="1:42" x14ac:dyDescent="0.25">
      <c r="A55" s="8" t="s">
        <v>80</v>
      </c>
      <c r="B55" s="8" t="s">
        <v>81</v>
      </c>
      <c r="C55" s="8">
        <v>28</v>
      </c>
      <c r="D55" s="8" t="s">
        <v>22</v>
      </c>
      <c r="E55" s="8" t="s">
        <v>82</v>
      </c>
      <c r="F55" s="8" t="s">
        <v>83</v>
      </c>
      <c r="G55" s="8">
        <v>55000</v>
      </c>
      <c r="H55" s="8">
        <v>3</v>
      </c>
      <c r="I55" s="8">
        <v>4</v>
      </c>
      <c r="J55" s="8" t="s">
        <v>84</v>
      </c>
      <c r="K55" t="str">
        <f>IF(C55&gt;25,"ABOVE 25","BELOW 25")</f>
        <v>ABOVE 25</v>
      </c>
      <c r="L55" t="str">
        <f>IF(G55&lt;=55000,"50000-55000",IF(G55&lt;=40000,"40000-50000",IF(G55&lt;5500,"55000-59000",IF(G55&lt;=60000,"60000-70000",IF(G55&lt;=70000,"70000-86000")))))</f>
        <v>50000-55000</v>
      </c>
      <c r="M55" t="b">
        <f>AND(C55&gt;25,H55&gt;2)</f>
        <v>1</v>
      </c>
      <c r="N55" t="b">
        <f>OR(C55&gt;25,H55&gt;2)</f>
        <v>1</v>
      </c>
      <c r="O55" t="b">
        <f>NOT(G55&gt;60000)</f>
        <v>1</v>
      </c>
      <c r="P55" t="b">
        <f>_xlfn.XOR(C55&gt;25,G55&gt;50000)</f>
        <v>0</v>
      </c>
      <c r="Q55" t="e">
        <f>C55/0</f>
        <v>#DIV/0!</v>
      </c>
      <c r="R55" t="b">
        <f>ISBLANK(I55)</f>
        <v>0</v>
      </c>
      <c r="S55" t="b">
        <f>ISNUMBER(I55)</f>
        <v>1</v>
      </c>
      <c r="X55" s="1"/>
      <c r="AG55" t="str">
        <f>HLOOKUP(AG58,AG58:AP66,4,AD560)</f>
        <v>IT</v>
      </c>
      <c r="AK55" t="s">
        <v>114</v>
      </c>
    </row>
    <row r="56" spans="1:42" x14ac:dyDescent="0.25">
      <c r="A56" s="8" t="s">
        <v>85</v>
      </c>
      <c r="B56" s="8" t="s">
        <v>86</v>
      </c>
      <c r="C56" s="8">
        <v>32</v>
      </c>
      <c r="D56" s="8" t="s">
        <v>21</v>
      </c>
      <c r="E56" s="8" t="s">
        <v>87</v>
      </c>
      <c r="F56" s="8" t="s">
        <v>88</v>
      </c>
      <c r="G56" s="8">
        <v>65000</v>
      </c>
      <c r="H56" s="8">
        <v>7</v>
      </c>
      <c r="I56" s="8">
        <v>5</v>
      </c>
      <c r="J56" s="8" t="s">
        <v>89</v>
      </c>
      <c r="K56" t="str">
        <f>IF(C56&gt;25,"ABOVE 25","BELOW 25")</f>
        <v>ABOVE 25</v>
      </c>
      <c r="L56" t="str">
        <f>IF(G56&lt;=55000,"50000-55000",IF(G56&lt;=40000,"40000-50000",IF(G56&lt;5500,"55000-59000",IF(G56&lt;=60000,"60000-70000",IF(G56&lt;=70000,"70000-80000",IF(G56&lt;=80000,"80000-90000"))))))</f>
        <v>70000-80000</v>
      </c>
      <c r="M56" t="b">
        <f>AND(C56&lt;30,H56&lt;6)</f>
        <v>0</v>
      </c>
      <c r="N56" t="b">
        <f>OR(C56&gt;30,G56&gt;85000)</f>
        <v>1</v>
      </c>
      <c r="O56" t="b">
        <f>NOT(G56&gt;60000)</f>
        <v>0</v>
      </c>
      <c r="P56" t="b">
        <f>_xlfn.XOR(C56&gt;30,G56&gt;75000)</f>
        <v>1</v>
      </c>
      <c r="Q56" t="e">
        <f>D56+10</f>
        <v>#VALUE!</v>
      </c>
      <c r="R56" t="b">
        <f t="shared" ref="R56:R64" si="3">ISBLANK(I56)</f>
        <v>0</v>
      </c>
      <c r="S56" t="b">
        <f t="shared" ref="S56:S64" si="4">ISNUMBER(I56)</f>
        <v>1</v>
      </c>
      <c r="X56" s="1"/>
    </row>
    <row r="57" spans="1:42" ht="28.5" x14ac:dyDescent="0.25">
      <c r="A57" s="8" t="s">
        <v>90</v>
      </c>
      <c r="B57" s="8" t="s">
        <v>91</v>
      </c>
      <c r="C57" s="8">
        <v>26</v>
      </c>
      <c r="D57" s="8" t="s">
        <v>22</v>
      </c>
      <c r="E57" s="8" t="s">
        <v>92</v>
      </c>
      <c r="F57" s="8" t="s">
        <v>93</v>
      </c>
      <c r="G57" s="8">
        <v>45000</v>
      </c>
      <c r="H57" s="8">
        <v>2</v>
      </c>
      <c r="I57" s="8">
        <v>3</v>
      </c>
      <c r="J57" s="8" t="s">
        <v>94</v>
      </c>
      <c r="K57" t="str">
        <f t="shared" ref="K57:K64" si="5">IF(C57&gt;25,"ABOVE 25","BELOW 25")</f>
        <v>ABOVE 25</v>
      </c>
      <c r="L57" t="str">
        <f t="shared" ref="L57:L60" si="6">IF(G57&lt;=55000,"50000-55000",IF(G57&lt;=40000,"40000-50000",IF(G57&lt;5500,"55000-59000",IF(G57&lt;=60000,"60000-70000",IF(G57&lt;=70000,"70000-80000",IF(G57&lt;=80000,"80000-90000"))))))</f>
        <v>50000-55000</v>
      </c>
      <c r="M57" t="b">
        <f t="shared" ref="M57:M64" si="7">AND(C57&lt;30,H57&lt;6)</f>
        <v>1</v>
      </c>
      <c r="N57" t="b">
        <f>OR(C57&gt;35,H57&gt;3)</f>
        <v>0</v>
      </c>
      <c r="O57" t="b">
        <f t="shared" ref="O57:O64" si="8">NOT(G57&gt;60000)</f>
        <v>1</v>
      </c>
      <c r="P57" t="b">
        <f>_xlfn.XOR(C57&gt;25,G57&gt;40000)</f>
        <v>0</v>
      </c>
      <c r="Q57" t="e">
        <f>SQRT(-C57)</f>
        <v>#NUM!</v>
      </c>
      <c r="R57" t="b">
        <f t="shared" si="3"/>
        <v>0</v>
      </c>
      <c r="S57" t="b">
        <f t="shared" si="4"/>
        <v>1</v>
      </c>
      <c r="X57" s="1"/>
      <c r="AF57" t="s">
        <v>70</v>
      </c>
      <c r="AG57" t="s">
        <v>80</v>
      </c>
      <c r="AH57" t="s">
        <v>85</v>
      </c>
      <c r="AI57" t="s">
        <v>90</v>
      </c>
      <c r="AJ57" t="s">
        <v>95</v>
      </c>
      <c r="AK57" t="s">
        <v>100</v>
      </c>
      <c r="AL57" t="s">
        <v>104</v>
      </c>
      <c r="AM57" t="s">
        <v>108</v>
      </c>
      <c r="AN57" t="s">
        <v>113</v>
      </c>
      <c r="AO57" t="s">
        <v>116</v>
      </c>
      <c r="AP57" t="s">
        <v>119</v>
      </c>
    </row>
    <row r="58" spans="1:42" ht="28.5" x14ac:dyDescent="0.25">
      <c r="A58" s="8" t="s">
        <v>95</v>
      </c>
      <c r="B58" s="8" t="s">
        <v>96</v>
      </c>
      <c r="C58" s="8">
        <v>35</v>
      </c>
      <c r="D58" s="8" t="s">
        <v>21</v>
      </c>
      <c r="E58" s="8" t="s">
        <v>97</v>
      </c>
      <c r="F58" s="8" t="s">
        <v>98</v>
      </c>
      <c r="G58" s="8">
        <v>70000</v>
      </c>
      <c r="H58" s="8">
        <v>9</v>
      </c>
      <c r="I58" s="8">
        <v>5</v>
      </c>
      <c r="J58" s="8" t="s">
        <v>99</v>
      </c>
      <c r="K58" t="str">
        <f t="shared" si="5"/>
        <v>ABOVE 25</v>
      </c>
      <c r="L58" t="str">
        <f t="shared" si="6"/>
        <v>70000-80000</v>
      </c>
      <c r="M58" t="b">
        <f t="shared" si="7"/>
        <v>0</v>
      </c>
      <c r="N58" t="b">
        <f t="shared" ref="N58:N64" si="9">OR(C58&gt;35,H58&gt;3)</f>
        <v>1</v>
      </c>
      <c r="O58" t="b">
        <f t="shared" si="8"/>
        <v>0</v>
      </c>
      <c r="P58" t="b">
        <f>_xlfn.XOR(C58&lt;25,G58&lt;10000)</f>
        <v>0</v>
      </c>
      <c r="Q58" t="e">
        <f>E58+10</f>
        <v>#VALUE!</v>
      </c>
      <c r="R58" t="b">
        <f t="shared" si="3"/>
        <v>0</v>
      </c>
      <c r="S58" t="b">
        <f t="shared" si="4"/>
        <v>1</v>
      </c>
      <c r="X58" s="1"/>
      <c r="AF58" t="s">
        <v>71</v>
      </c>
      <c r="AG58" t="s">
        <v>81</v>
      </c>
      <c r="AH58" t="s">
        <v>86</v>
      </c>
      <c r="AI58" t="s">
        <v>91</v>
      </c>
      <c r="AJ58" t="s">
        <v>96</v>
      </c>
      <c r="AK58" t="s">
        <v>101</v>
      </c>
      <c r="AL58" t="s">
        <v>105</v>
      </c>
      <c r="AM58" t="s">
        <v>109</v>
      </c>
      <c r="AN58" t="s">
        <v>114</v>
      </c>
      <c r="AO58" t="s">
        <v>117</v>
      </c>
      <c r="AP58" t="s">
        <v>120</v>
      </c>
    </row>
    <row r="59" spans="1:42" ht="28.5" x14ac:dyDescent="0.25">
      <c r="A59" s="8" t="s">
        <v>100</v>
      </c>
      <c r="B59" s="8" t="s">
        <v>101</v>
      </c>
      <c r="C59" s="8">
        <v>30</v>
      </c>
      <c r="D59" s="8" t="s">
        <v>22</v>
      </c>
      <c r="E59" s="8" t="s">
        <v>82</v>
      </c>
      <c r="F59" s="8" t="s">
        <v>102</v>
      </c>
      <c r="G59" s="8">
        <v>60000</v>
      </c>
      <c r="H59" s="8">
        <v>5</v>
      </c>
      <c r="I59" s="8">
        <v>4</v>
      </c>
      <c r="J59" s="8" t="s">
        <v>103</v>
      </c>
      <c r="K59" t="str">
        <f t="shared" si="5"/>
        <v>ABOVE 25</v>
      </c>
      <c r="L59" t="str">
        <f t="shared" si="6"/>
        <v>60000-70000</v>
      </c>
      <c r="M59" t="b">
        <f t="shared" si="7"/>
        <v>0</v>
      </c>
      <c r="N59" t="b">
        <f t="shared" si="9"/>
        <v>1</v>
      </c>
      <c r="O59" t="b">
        <f t="shared" si="8"/>
        <v>1</v>
      </c>
      <c r="P59" t="b">
        <f t="shared" ref="P59:P64" si="10">_xlfn.XOR(C59&lt;25,G59&lt;10000)</f>
        <v>0</v>
      </c>
      <c r="Q59" t="e" cm="1">
        <f t="array" aca="1" ref="Q59" ca="1">summ(D55:D64)</f>
        <v>#NAME?</v>
      </c>
      <c r="R59" t="b">
        <f t="shared" si="3"/>
        <v>0</v>
      </c>
      <c r="S59" t="b">
        <f t="shared" si="4"/>
        <v>1</v>
      </c>
      <c r="X59" s="1"/>
      <c r="AF59" t="s">
        <v>72</v>
      </c>
      <c r="AG59">
        <v>28</v>
      </c>
      <c r="AH59">
        <v>32</v>
      </c>
      <c r="AI59">
        <v>26</v>
      </c>
      <c r="AJ59">
        <v>35</v>
      </c>
      <c r="AK59">
        <v>30</v>
      </c>
      <c r="AL59">
        <v>27</v>
      </c>
      <c r="AM59">
        <v>40</v>
      </c>
      <c r="AN59">
        <v>29</v>
      </c>
      <c r="AO59">
        <v>31</v>
      </c>
      <c r="AP59">
        <v>25</v>
      </c>
    </row>
    <row r="60" spans="1:42" ht="28.5" x14ac:dyDescent="0.25">
      <c r="A60" s="8" t="s">
        <v>104</v>
      </c>
      <c r="B60" s="8" t="s">
        <v>105</v>
      </c>
      <c r="C60" s="8">
        <v>27</v>
      </c>
      <c r="D60" s="8" t="s">
        <v>21</v>
      </c>
      <c r="E60" s="8" t="s">
        <v>106</v>
      </c>
      <c r="F60" s="8" t="s">
        <v>107</v>
      </c>
      <c r="G60" s="8">
        <v>50000</v>
      </c>
      <c r="H60" s="8">
        <v>3</v>
      </c>
      <c r="I60" s="8">
        <v>4</v>
      </c>
      <c r="J60" s="8" t="s">
        <v>84</v>
      </c>
      <c r="K60" t="str">
        <f t="shared" si="5"/>
        <v>ABOVE 25</v>
      </c>
      <c r="L60" t="str">
        <f t="shared" si="6"/>
        <v>50000-55000</v>
      </c>
      <c r="M60" t="b">
        <f t="shared" si="7"/>
        <v>1</v>
      </c>
      <c r="N60" t="b">
        <f t="shared" si="9"/>
        <v>0</v>
      </c>
      <c r="O60" t="b">
        <f t="shared" si="8"/>
        <v>1</v>
      </c>
      <c r="P60" t="b">
        <f t="shared" si="10"/>
        <v>0</v>
      </c>
      <c r="Q60" t="e" cm="1">
        <f t="array" aca="1" ref="Q60" ca="1">summ(C55:C64)</f>
        <v>#NAME?</v>
      </c>
      <c r="R60" t="b">
        <f t="shared" si="3"/>
        <v>0</v>
      </c>
      <c r="S60" t="b">
        <f t="shared" si="4"/>
        <v>1</v>
      </c>
      <c r="X60" s="1"/>
      <c r="AF60" t="s">
        <v>73</v>
      </c>
      <c r="AG60" t="s">
        <v>22</v>
      </c>
      <c r="AH60" t="s">
        <v>21</v>
      </c>
      <c r="AI60" t="s">
        <v>22</v>
      </c>
      <c r="AJ60" t="s">
        <v>21</v>
      </c>
      <c r="AK60" t="s">
        <v>22</v>
      </c>
      <c r="AL60" t="s">
        <v>21</v>
      </c>
      <c r="AM60" t="s">
        <v>22</v>
      </c>
      <c r="AN60" t="s">
        <v>21</v>
      </c>
      <c r="AO60" t="s">
        <v>22</v>
      </c>
      <c r="AP60" t="s">
        <v>21</v>
      </c>
    </row>
    <row r="61" spans="1:42" ht="28.5" x14ac:dyDescent="0.25">
      <c r="A61" s="8" t="s">
        <v>108</v>
      </c>
      <c r="B61" s="8" t="s">
        <v>109</v>
      </c>
      <c r="C61" s="8">
        <v>40</v>
      </c>
      <c r="D61" s="8" t="s">
        <v>22</v>
      </c>
      <c r="E61" s="8" t="s">
        <v>110</v>
      </c>
      <c r="F61" s="8" t="s">
        <v>111</v>
      </c>
      <c r="G61" s="8">
        <v>85000</v>
      </c>
      <c r="H61" s="8">
        <v>15</v>
      </c>
      <c r="I61" s="8">
        <v>5</v>
      </c>
      <c r="J61" s="8" t="s">
        <v>112</v>
      </c>
      <c r="K61" t="str">
        <f t="shared" si="5"/>
        <v>ABOVE 25</v>
      </c>
      <c r="L61" t="str" cm="1">
        <f t="array" ref="L61">_xlfn.IFS(G60&lt;50000,"40000-50000",G60&lt;60000,"50000-60000",G60&lt;70000,"60000-70000",G60&lt;80000,"70000-80000",G60&lt;90000,"80000-90000")</f>
        <v>50000-60000</v>
      </c>
      <c r="M61" t="b">
        <f t="shared" si="7"/>
        <v>0</v>
      </c>
      <c r="N61" t="b">
        <f t="shared" si="9"/>
        <v>1</v>
      </c>
      <c r="O61" t="b">
        <f t="shared" si="8"/>
        <v>0</v>
      </c>
      <c r="P61" t="b">
        <f t="shared" si="10"/>
        <v>0</v>
      </c>
      <c r="R61" t="b">
        <f t="shared" si="3"/>
        <v>0</v>
      </c>
      <c r="S61" t="b">
        <f t="shared" si="4"/>
        <v>1</v>
      </c>
      <c r="X61" s="1"/>
      <c r="AF61" t="s">
        <v>74</v>
      </c>
      <c r="AG61" t="s">
        <v>82</v>
      </c>
      <c r="AH61" t="s">
        <v>87</v>
      </c>
      <c r="AI61" t="s">
        <v>92</v>
      </c>
      <c r="AJ61" t="s">
        <v>97</v>
      </c>
      <c r="AK61" t="s">
        <v>82</v>
      </c>
      <c r="AL61" t="s">
        <v>106</v>
      </c>
      <c r="AM61" t="s">
        <v>110</v>
      </c>
      <c r="AN61" t="s">
        <v>82</v>
      </c>
      <c r="AO61" t="s">
        <v>92</v>
      </c>
      <c r="AP61" t="s">
        <v>121</v>
      </c>
    </row>
    <row r="62" spans="1:42" ht="28.5" x14ac:dyDescent="0.25">
      <c r="A62" s="8" t="s">
        <v>113</v>
      </c>
      <c r="B62" s="8" t="s">
        <v>114</v>
      </c>
      <c r="C62" s="8">
        <v>29</v>
      </c>
      <c r="D62" s="8" t="s">
        <v>21</v>
      </c>
      <c r="E62" s="8" t="s">
        <v>82</v>
      </c>
      <c r="F62" s="8" t="s">
        <v>115</v>
      </c>
      <c r="G62" s="8">
        <v>62000</v>
      </c>
      <c r="H62" s="8">
        <v>4</v>
      </c>
      <c r="I62" s="8">
        <v>4</v>
      </c>
      <c r="J62" s="8" t="s">
        <v>89</v>
      </c>
      <c r="K62" t="str">
        <f t="shared" si="5"/>
        <v>ABOVE 25</v>
      </c>
      <c r="L62" t="str" cm="1">
        <f t="array" ref="L62">_xlfn.IFS(G61&lt;50000,"40000-50000",G61&lt;60000,"50000-60000",G61&lt;70000,"60000-70000",G61&lt;80000,"70000-80000",G61&lt;90000,"80000-90000")</f>
        <v>80000-90000</v>
      </c>
      <c r="M62" t="b">
        <f t="shared" si="7"/>
        <v>1</v>
      </c>
      <c r="N62" t="b">
        <f t="shared" si="9"/>
        <v>1</v>
      </c>
      <c r="O62" t="b">
        <f t="shared" si="8"/>
        <v>0</v>
      </c>
      <c r="P62" t="b">
        <f t="shared" si="10"/>
        <v>0</v>
      </c>
      <c r="R62" t="b">
        <f t="shared" si="3"/>
        <v>0</v>
      </c>
      <c r="S62" t="b">
        <f t="shared" si="4"/>
        <v>1</v>
      </c>
      <c r="X62" s="1"/>
      <c r="AF62" t="s">
        <v>75</v>
      </c>
      <c r="AG62" t="s">
        <v>83</v>
      </c>
      <c r="AH62" t="s">
        <v>88</v>
      </c>
      <c r="AI62" t="s">
        <v>93</v>
      </c>
      <c r="AJ62" t="s">
        <v>98</v>
      </c>
      <c r="AK62" t="s">
        <v>102</v>
      </c>
      <c r="AL62" t="s">
        <v>107</v>
      </c>
      <c r="AM62" t="s">
        <v>111</v>
      </c>
      <c r="AN62" t="s">
        <v>115</v>
      </c>
      <c r="AO62" t="s">
        <v>118</v>
      </c>
      <c r="AP62" t="s">
        <v>122</v>
      </c>
    </row>
    <row r="63" spans="1:42" ht="28.5" x14ac:dyDescent="0.25">
      <c r="A63" s="8" t="s">
        <v>116</v>
      </c>
      <c r="B63" s="8" t="s">
        <v>117</v>
      </c>
      <c r="C63" s="8">
        <v>31</v>
      </c>
      <c r="D63" s="8" t="s">
        <v>22</v>
      </c>
      <c r="E63" s="8" t="s">
        <v>92</v>
      </c>
      <c r="F63" s="8" t="s">
        <v>118</v>
      </c>
      <c r="G63" s="8">
        <v>75000</v>
      </c>
      <c r="H63" s="8">
        <v>8</v>
      </c>
      <c r="I63" s="8">
        <v>5</v>
      </c>
      <c r="J63" s="8" t="s">
        <v>94</v>
      </c>
      <c r="K63" t="str">
        <f t="shared" si="5"/>
        <v>ABOVE 25</v>
      </c>
      <c r="L63" t="str" cm="1">
        <f t="array" ref="L63">_xlfn.IFS(G62&lt;50000,"40000-50000",G62&lt;60000,"50000-60000",G62&lt;70000,"60000-70000",G62&lt;80000,"70000-80000",G62&lt;90000,"80000-90000")</f>
        <v>60000-70000</v>
      </c>
      <c r="M63" t="b">
        <f t="shared" si="7"/>
        <v>0</v>
      </c>
      <c r="N63" t="b">
        <f t="shared" si="9"/>
        <v>1</v>
      </c>
      <c r="O63" t="b">
        <f t="shared" si="8"/>
        <v>0</v>
      </c>
      <c r="P63" t="b">
        <f t="shared" si="10"/>
        <v>0</v>
      </c>
      <c r="R63" t="b">
        <f t="shared" si="3"/>
        <v>0</v>
      </c>
      <c r="S63" t="b">
        <f t="shared" si="4"/>
        <v>1</v>
      </c>
      <c r="X63" s="1"/>
      <c r="AF63" t="s">
        <v>76</v>
      </c>
      <c r="AG63">
        <v>55000</v>
      </c>
      <c r="AH63">
        <v>65000</v>
      </c>
      <c r="AI63">
        <v>45000</v>
      </c>
      <c r="AJ63">
        <v>70000</v>
      </c>
      <c r="AK63">
        <v>60000</v>
      </c>
      <c r="AL63">
        <v>50000</v>
      </c>
      <c r="AM63">
        <v>85000</v>
      </c>
      <c r="AN63">
        <v>62000</v>
      </c>
      <c r="AO63">
        <v>75000</v>
      </c>
      <c r="AP63">
        <v>40000</v>
      </c>
    </row>
    <row r="64" spans="1:42" ht="28.5" x14ac:dyDescent="0.25">
      <c r="A64" s="8" t="s">
        <v>119</v>
      </c>
      <c r="B64" s="8" t="s">
        <v>120</v>
      </c>
      <c r="C64" s="8">
        <v>25</v>
      </c>
      <c r="D64" s="8" t="s">
        <v>21</v>
      </c>
      <c r="E64" s="8" t="s">
        <v>121</v>
      </c>
      <c r="F64" s="8" t="s">
        <v>122</v>
      </c>
      <c r="G64" s="8">
        <v>40000</v>
      </c>
      <c r="H64" s="8">
        <v>1</v>
      </c>
      <c r="I64" s="8">
        <v>3</v>
      </c>
      <c r="J64" s="8" t="s">
        <v>123</v>
      </c>
      <c r="K64" t="str">
        <f t="shared" si="5"/>
        <v>BELOW 25</v>
      </c>
      <c r="L64" t="str" cm="1">
        <f t="array" ref="L64">_xlfn.IFS(G63&lt;50000,"40000-50000",G63&lt;60000,"50000-60000",G63&lt;70000,"60000-70000",G63&lt;80000,"70000-80000",G63&lt;90000,"80000-90000")</f>
        <v>70000-80000</v>
      </c>
      <c r="M64" t="b">
        <f t="shared" si="7"/>
        <v>1</v>
      </c>
      <c r="N64" t="b">
        <f t="shared" si="9"/>
        <v>0</v>
      </c>
      <c r="O64" t="b">
        <f t="shared" si="8"/>
        <v>1</v>
      </c>
      <c r="P64" t="b">
        <f t="shared" si="10"/>
        <v>0</v>
      </c>
      <c r="R64" t="b">
        <f t="shared" si="3"/>
        <v>0</v>
      </c>
      <c r="S64" t="b">
        <f t="shared" si="4"/>
        <v>1</v>
      </c>
      <c r="X64" s="1"/>
      <c r="AF64" t="s">
        <v>77</v>
      </c>
      <c r="AG64">
        <v>3</v>
      </c>
      <c r="AH64">
        <v>7</v>
      </c>
      <c r="AI64">
        <v>2</v>
      </c>
      <c r="AJ64">
        <v>9</v>
      </c>
      <c r="AK64">
        <v>5</v>
      </c>
      <c r="AL64">
        <v>3</v>
      </c>
      <c r="AM64">
        <v>15</v>
      </c>
      <c r="AN64">
        <v>4</v>
      </c>
      <c r="AO64">
        <v>8</v>
      </c>
      <c r="AP64">
        <v>1</v>
      </c>
    </row>
    <row r="65" spans="1:50" x14ac:dyDescent="0.25">
      <c r="X65" s="1"/>
      <c r="AF65" t="s">
        <v>78</v>
      </c>
      <c r="AG65">
        <v>4</v>
      </c>
      <c r="AH65">
        <v>5</v>
      </c>
      <c r="AI65">
        <v>3</v>
      </c>
      <c r="AJ65">
        <v>5</v>
      </c>
      <c r="AK65">
        <v>4</v>
      </c>
      <c r="AL65">
        <v>4</v>
      </c>
      <c r="AM65">
        <v>5</v>
      </c>
      <c r="AN65">
        <v>4</v>
      </c>
      <c r="AO65">
        <v>5</v>
      </c>
      <c r="AP65">
        <v>3</v>
      </c>
    </row>
    <row r="66" spans="1:50" x14ac:dyDescent="0.25">
      <c r="X66" s="1"/>
      <c r="AF66" t="s">
        <v>79</v>
      </c>
      <c r="AG66" t="s">
        <v>84</v>
      </c>
      <c r="AH66" t="s">
        <v>89</v>
      </c>
      <c r="AI66" t="s">
        <v>94</v>
      </c>
      <c r="AJ66" t="s">
        <v>99</v>
      </c>
      <c r="AK66" t="s">
        <v>103</v>
      </c>
      <c r="AL66" t="s">
        <v>84</v>
      </c>
      <c r="AM66" t="s">
        <v>112</v>
      </c>
      <c r="AN66" t="s">
        <v>89</v>
      </c>
      <c r="AO66" t="s">
        <v>94</v>
      </c>
      <c r="AP66" s="6" t="s">
        <v>123</v>
      </c>
    </row>
    <row r="67" spans="1:50" x14ac:dyDescent="0.25">
      <c r="X67" s="1"/>
    </row>
    <row r="68" spans="1:50" ht="37.5" x14ac:dyDescent="0.6">
      <c r="A68" s="15" t="s">
        <v>137</v>
      </c>
      <c r="J68" s="13" t="s">
        <v>159</v>
      </c>
      <c r="X68" s="1"/>
      <c r="AF68" s="13"/>
    </row>
    <row r="69" spans="1:50" x14ac:dyDescent="0.25">
      <c r="A69" s="12" t="s">
        <v>138</v>
      </c>
      <c r="B69" t="s">
        <v>150</v>
      </c>
      <c r="C69" t="s">
        <v>151</v>
      </c>
      <c r="D69" t="s">
        <v>152</v>
      </c>
      <c r="E69" t="s">
        <v>153</v>
      </c>
      <c r="F69" t="s">
        <v>154</v>
      </c>
      <c r="G69" t="s">
        <v>155</v>
      </c>
      <c r="X69" s="1"/>
    </row>
    <row r="70" spans="1:50" x14ac:dyDescent="0.25">
      <c r="A70" s="12" t="s">
        <v>139</v>
      </c>
      <c r="B70" t="e">
        <f>AVERAGE(#REF!)</f>
        <v>#REF!</v>
      </c>
      <c r="D70" t="s">
        <v>145</v>
      </c>
      <c r="E70">
        <f>COUNTA(#REF!)</f>
        <v>1</v>
      </c>
      <c r="F70">
        <f>COUNTA(#REF!,#REF!)</f>
        <v>2</v>
      </c>
      <c r="J70" s="12" t="s">
        <v>161</v>
      </c>
      <c r="K70" s="12" t="s">
        <v>162</v>
      </c>
      <c r="L70" s="12" t="s">
        <v>163</v>
      </c>
      <c r="X70" s="1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22.5" customHeight="1" x14ac:dyDescent="0.25">
      <c r="A71" s="12" t="s">
        <v>140</v>
      </c>
      <c r="B71" t="e">
        <f>MODE(#REF!)</f>
        <v>#REF!</v>
      </c>
      <c r="D71" t="s">
        <v>146</v>
      </c>
      <c r="E71">
        <f>COUNTBLANK(J56:J72)</f>
        <v>4</v>
      </c>
      <c r="F71">
        <f>COUNTBLANK(H56:H67)</f>
        <v>3</v>
      </c>
      <c r="J71" t="s">
        <v>164</v>
      </c>
      <c r="L71" s="19">
        <v>160000</v>
      </c>
      <c r="X71" s="1"/>
      <c r="AF71" s="8"/>
      <c r="AG71" s="8"/>
      <c r="AH71" s="8"/>
      <c r="AI71" s="8"/>
      <c r="AJ71" s="8"/>
      <c r="AK71" s="8"/>
      <c r="AL71" s="8"/>
      <c r="AM71" s="8"/>
      <c r="AN71" s="8"/>
      <c r="AO71" s="8"/>
    </row>
    <row r="72" spans="1:50" ht="24" customHeight="1" x14ac:dyDescent="0.25">
      <c r="A72" s="12" t="s">
        <v>141</v>
      </c>
      <c r="B72" t="e">
        <f>MEDIAN(#REF!)</f>
        <v>#REF!</v>
      </c>
      <c r="D72" t="s">
        <v>147</v>
      </c>
      <c r="E72" t="e">
        <f>COUNTIF(#REF!,I63)</f>
        <v>#REF!</v>
      </c>
      <c r="F72" t="e">
        <f>COUNTIF(#REF!,I57)</f>
        <v>#REF!</v>
      </c>
      <c r="G72" t="e">
        <f>COUNTIF(#REF!,"&gt;9")</f>
        <v>#REF!</v>
      </c>
      <c r="J72" t="s">
        <v>165</v>
      </c>
      <c r="L72" s="19">
        <v>230000</v>
      </c>
      <c r="X72" s="1"/>
      <c r="AF72" s="8"/>
      <c r="AG72" s="8"/>
      <c r="AH72" s="8"/>
      <c r="AI72" s="8"/>
      <c r="AJ72" s="8"/>
      <c r="AK72" s="8"/>
      <c r="AL72" s="8"/>
      <c r="AM72" s="8"/>
      <c r="AN72" s="8"/>
      <c r="AO72" s="8"/>
    </row>
    <row r="73" spans="1:50" x14ac:dyDescent="0.25">
      <c r="A73" s="12" t="s">
        <v>142</v>
      </c>
      <c r="B73" t="e">
        <f>STDEV(#REF!)</f>
        <v>#REF!</v>
      </c>
      <c r="D73" t="s">
        <v>148</v>
      </c>
      <c r="E73" t="e">
        <f>COUNTIFS(#REF!,I63,#REF!,C63,#REF!,D63)</f>
        <v>#REF!</v>
      </c>
      <c r="F73" t="e">
        <f>COUNTIFS(#REF!,"&gt;=70000",#REF!,"Male",#REF!,"Delhi")</f>
        <v>#REF!</v>
      </c>
      <c r="G73" t="e">
        <f>COUNTIFS(#REF!,I61,#REF!,C56)</f>
        <v>#REF!</v>
      </c>
      <c r="J73" t="s">
        <v>166</v>
      </c>
      <c r="L73" s="19">
        <v>190000</v>
      </c>
      <c r="X73" s="1"/>
      <c r="AF73" s="8"/>
      <c r="AG73" s="8"/>
      <c r="AH73" s="8"/>
      <c r="AI73" s="8"/>
      <c r="AJ73" s="8"/>
      <c r="AK73" s="8"/>
      <c r="AL73" s="8"/>
      <c r="AM73" s="8"/>
      <c r="AN73" s="8"/>
      <c r="AO73" s="8"/>
    </row>
    <row r="74" spans="1:50" x14ac:dyDescent="0.25">
      <c r="A74" s="12" t="s">
        <v>149</v>
      </c>
      <c r="B74" t="e">
        <f>CORREL(#REF!,#REF!)</f>
        <v>#REF!</v>
      </c>
      <c r="X74" s="1"/>
      <c r="AF74" s="8"/>
      <c r="AG74" s="8"/>
      <c r="AH74" s="8"/>
      <c r="AI74" s="8"/>
      <c r="AJ74" s="8"/>
      <c r="AK74" s="8"/>
      <c r="AL74" s="8"/>
      <c r="AM74" s="8"/>
      <c r="AN74" s="8"/>
      <c r="AO74" s="8"/>
    </row>
    <row r="75" spans="1:50" x14ac:dyDescent="0.25">
      <c r="A75" s="12" t="s">
        <v>143</v>
      </c>
      <c r="B75" t="e">
        <f>VAR(#REF!,#REF!)</f>
        <v>#REF!</v>
      </c>
      <c r="X75" s="1"/>
      <c r="AF75" s="8"/>
      <c r="AG75" s="8"/>
      <c r="AH75" s="8"/>
      <c r="AI75" s="8"/>
      <c r="AJ75" s="8"/>
      <c r="AK75" s="8"/>
      <c r="AL75" s="8"/>
      <c r="AM75" s="8"/>
      <c r="AN75" s="8"/>
      <c r="AO75" s="8"/>
    </row>
    <row r="76" spans="1:50" x14ac:dyDescent="0.25">
      <c r="A76" s="12" t="s">
        <v>144</v>
      </c>
      <c r="B76" t="e">
        <f>_xlfn.STDEV.S(#REF!,#REF!)</f>
        <v>#REF!</v>
      </c>
      <c r="X76" s="1"/>
      <c r="AF76" s="8"/>
      <c r="AG76" s="8"/>
      <c r="AH76" s="8"/>
      <c r="AI76" s="8"/>
      <c r="AJ76" s="8"/>
      <c r="AK76" s="8"/>
      <c r="AL76" s="8"/>
      <c r="AM76" s="8"/>
      <c r="AN76" s="8"/>
      <c r="AO76" s="8"/>
    </row>
    <row r="77" spans="1:50" x14ac:dyDescent="0.25">
      <c r="A77" s="12"/>
      <c r="B77" t="e">
        <f>_xlfn.VAR.S(#REF!)</f>
        <v>#REF!</v>
      </c>
      <c r="X77" s="1"/>
      <c r="AF77" s="8"/>
      <c r="AG77" s="8"/>
      <c r="AH77" s="8"/>
      <c r="AI77" s="8"/>
      <c r="AJ77" s="8"/>
      <c r="AK77" s="8"/>
      <c r="AL77" s="8"/>
      <c r="AM77" s="8"/>
      <c r="AN77" s="8"/>
      <c r="AO77" s="8"/>
    </row>
    <row r="78" spans="1:50" x14ac:dyDescent="0.25">
      <c r="A78" s="12" t="s">
        <v>158</v>
      </c>
      <c r="X78" s="1"/>
      <c r="AF78" s="8"/>
      <c r="AG78" s="8"/>
      <c r="AH78" s="8"/>
      <c r="AI78" s="8"/>
      <c r="AJ78" s="8"/>
      <c r="AK78" s="8"/>
      <c r="AL78" s="8"/>
      <c r="AM78" s="8"/>
      <c r="AN78" s="8"/>
      <c r="AO78" s="8"/>
    </row>
    <row r="79" spans="1:50" x14ac:dyDescent="0.25">
      <c r="X79" s="1"/>
      <c r="AF79" s="8"/>
      <c r="AG79" s="8"/>
      <c r="AH79" s="8"/>
      <c r="AI79" s="8"/>
      <c r="AJ79" s="8"/>
      <c r="AK79" s="8"/>
      <c r="AL79" s="8"/>
      <c r="AM79" s="8"/>
      <c r="AN79" s="8"/>
      <c r="AO79" s="8"/>
    </row>
    <row r="80" spans="1:50" x14ac:dyDescent="0.25">
      <c r="X80" s="1"/>
      <c r="AF80" s="8"/>
      <c r="AG80" s="8"/>
      <c r="AH80" s="8"/>
      <c r="AI80" s="8"/>
      <c r="AJ80" s="8"/>
      <c r="AK80" s="8"/>
      <c r="AL80" s="8"/>
      <c r="AM80" s="8"/>
      <c r="AN80" s="8"/>
      <c r="AO80" s="8"/>
    </row>
    <row r="81" spans="24:33" x14ac:dyDescent="0.25">
      <c r="X81" s="1"/>
    </row>
    <row r="82" spans="24:33" x14ac:dyDescent="0.25">
      <c r="X82" s="1"/>
    </row>
    <row r="83" spans="24:33" x14ac:dyDescent="0.25">
      <c r="X83" s="1"/>
    </row>
    <row r="84" spans="24:33" x14ac:dyDescent="0.25">
      <c r="X84" s="1"/>
    </row>
    <row r="85" spans="24:33" x14ac:dyDescent="0.25">
      <c r="X85" s="1"/>
    </row>
    <row r="86" spans="24:33" x14ac:dyDescent="0.25">
      <c r="X86" s="1"/>
    </row>
    <row r="87" spans="24:33" x14ac:dyDescent="0.25">
      <c r="X87" s="1"/>
    </row>
    <row r="88" spans="24:33" x14ac:dyDescent="0.25">
      <c r="X88" s="1"/>
    </row>
    <row r="89" spans="24:33" x14ac:dyDescent="0.25">
      <c r="X89" s="1"/>
    </row>
    <row r="90" spans="24:33" x14ac:dyDescent="0.25">
      <c r="X90" s="1"/>
    </row>
    <row r="91" spans="24:33" x14ac:dyDescent="0.25">
      <c r="X91" s="1"/>
    </row>
    <row r="92" spans="24:33" x14ac:dyDescent="0.25">
      <c r="X92" s="1"/>
    </row>
    <row r="93" spans="24:33" x14ac:dyDescent="0.25">
      <c r="X93" s="1"/>
    </row>
    <row r="94" spans="24:33" x14ac:dyDescent="0.25">
      <c r="X94" s="1"/>
    </row>
    <row r="95" spans="24:33" x14ac:dyDescent="0.25">
      <c r="X95" s="1"/>
    </row>
    <row r="96" spans="24:33" ht="39" x14ac:dyDescent="0.6">
      <c r="X96" s="1"/>
      <c r="AG96" s="14"/>
    </row>
    <row r="97" spans="24:35" ht="34.5" x14ac:dyDescent="0.55000000000000004">
      <c r="X97" s="1"/>
      <c r="AG97" s="13"/>
    </row>
    <row r="98" spans="24:35" x14ac:dyDescent="0.25">
      <c r="X98" s="1"/>
    </row>
    <row r="99" spans="24:35" x14ac:dyDescent="0.25">
      <c r="X99" s="1"/>
    </row>
    <row r="100" spans="24:35" ht="29.25" customHeight="1" x14ac:dyDescent="0.25">
      <c r="X100" s="1"/>
      <c r="AI100" s="19"/>
    </row>
    <row r="101" spans="24:35" ht="31.5" customHeight="1" x14ac:dyDescent="0.25">
      <c r="X101" s="1"/>
      <c r="AI101" s="19"/>
    </row>
    <row r="102" spans="24:35" ht="29.25" customHeight="1" x14ac:dyDescent="0.25">
      <c r="X102" s="1"/>
      <c r="AI102" s="19"/>
    </row>
    <row r="103" spans="24:35" x14ac:dyDescent="0.25">
      <c r="X103" s="1"/>
    </row>
    <row r="104" spans="24:35" x14ac:dyDescent="0.25">
      <c r="X104" s="1"/>
    </row>
    <row r="105" spans="24:35" x14ac:dyDescent="0.25">
      <c r="X105" s="1"/>
    </row>
    <row r="106" spans="24:35" x14ac:dyDescent="0.25">
      <c r="X106" s="1"/>
    </row>
    <row r="107" spans="24:35" x14ac:dyDescent="0.25">
      <c r="X107" s="1"/>
    </row>
    <row r="108" spans="24:35" x14ac:dyDescent="0.25">
      <c r="X108" s="1"/>
    </row>
    <row r="109" spans="24:35" x14ac:dyDescent="0.25">
      <c r="X109" s="1"/>
    </row>
    <row r="110" spans="24:35" x14ac:dyDescent="0.25">
      <c r="X110" s="1"/>
    </row>
    <row r="111" spans="24:35" x14ac:dyDescent="0.25">
      <c r="X111" s="1"/>
    </row>
    <row r="112" spans="24:35" x14ac:dyDescent="0.25">
      <c r="X112" s="1"/>
    </row>
    <row r="113" spans="24:24" x14ac:dyDescent="0.25">
      <c r="X113" s="1"/>
    </row>
    <row r="114" spans="24:24" x14ac:dyDescent="0.25">
      <c r="X114" s="1"/>
    </row>
    <row r="115" spans="24:24" x14ac:dyDescent="0.25">
      <c r="X115" s="1"/>
    </row>
    <row r="116" spans="24:24" x14ac:dyDescent="0.25">
      <c r="X116" s="1"/>
    </row>
    <row r="117" spans="24:24" x14ac:dyDescent="0.25">
      <c r="X117" s="1"/>
    </row>
    <row r="118" spans="24:24" x14ac:dyDescent="0.25">
      <c r="X118" s="1"/>
    </row>
    <row r="119" spans="24:24" x14ac:dyDescent="0.25">
      <c r="X119" s="1"/>
    </row>
    <row r="120" spans="24:24" x14ac:dyDescent="0.25">
      <c r="X120" s="1"/>
    </row>
    <row r="121" spans="24:24" x14ac:dyDescent="0.25">
      <c r="X121" s="1"/>
    </row>
    <row r="122" spans="24:24" x14ac:dyDescent="0.25">
      <c r="X122" s="1"/>
    </row>
    <row r="123" spans="24:24" x14ac:dyDescent="0.25">
      <c r="X123" s="1"/>
    </row>
    <row r="124" spans="24:24" x14ac:dyDescent="0.25">
      <c r="X124" s="1"/>
    </row>
    <row r="125" spans="24:24" x14ac:dyDescent="0.25">
      <c r="X125" s="1"/>
    </row>
    <row r="126" spans="24:24" x14ac:dyDescent="0.25">
      <c r="X126" s="1"/>
    </row>
    <row r="127" spans="24:24" x14ac:dyDescent="0.25">
      <c r="X127" s="1"/>
    </row>
    <row r="128" spans="24:24" x14ac:dyDescent="0.25">
      <c r="X128" s="1"/>
    </row>
    <row r="129" spans="24:24" x14ac:dyDescent="0.25">
      <c r="X129" s="1"/>
    </row>
    <row r="130" spans="24:24" x14ac:dyDescent="0.25">
      <c r="X130" s="1"/>
    </row>
    <row r="131" spans="24:24" x14ac:dyDescent="0.25">
      <c r="X131" s="1"/>
    </row>
    <row r="132" spans="24:24" x14ac:dyDescent="0.25">
      <c r="X132" s="1"/>
    </row>
    <row r="133" spans="24:24" x14ac:dyDescent="0.25">
      <c r="X133" s="1"/>
    </row>
    <row r="134" spans="24:24" x14ac:dyDescent="0.25">
      <c r="X134" s="1"/>
    </row>
    <row r="135" spans="24:24" x14ac:dyDescent="0.25">
      <c r="X135" s="1"/>
    </row>
    <row r="136" spans="24:24" x14ac:dyDescent="0.25">
      <c r="X136" s="1"/>
    </row>
    <row r="137" spans="24:24" x14ac:dyDescent="0.25">
      <c r="X137" s="1"/>
    </row>
    <row r="138" spans="24:24" x14ac:dyDescent="0.25">
      <c r="X138" s="1"/>
    </row>
    <row r="139" spans="24:24" x14ac:dyDescent="0.25">
      <c r="X139" s="1"/>
    </row>
    <row r="140" spans="24:24" x14ac:dyDescent="0.25">
      <c r="X140" s="1"/>
    </row>
    <row r="141" spans="24:24" x14ac:dyDescent="0.25">
      <c r="X141" s="1"/>
    </row>
    <row r="142" spans="24:24" x14ac:dyDescent="0.25">
      <c r="X142" s="1"/>
    </row>
    <row r="143" spans="24:24" x14ac:dyDescent="0.25">
      <c r="X143" s="1"/>
    </row>
    <row r="144" spans="24:24" x14ac:dyDescent="0.25">
      <c r="X144" s="1"/>
    </row>
    <row r="145" spans="24:24" x14ac:dyDescent="0.25">
      <c r="X145" s="1"/>
    </row>
    <row r="146" spans="24:24" x14ac:dyDescent="0.25">
      <c r="X146" s="1"/>
    </row>
    <row r="147" spans="24:24" x14ac:dyDescent="0.25">
      <c r="X147" s="1"/>
    </row>
    <row r="148" spans="24:24" x14ac:dyDescent="0.25">
      <c r="X148" s="1"/>
    </row>
    <row r="149" spans="24:24" x14ac:dyDescent="0.25">
      <c r="X149" s="1"/>
    </row>
    <row r="150" spans="24:24" x14ac:dyDescent="0.25">
      <c r="X150" s="1"/>
    </row>
    <row r="151" spans="24:24" x14ac:dyDescent="0.25">
      <c r="X151" s="1"/>
    </row>
    <row r="152" spans="24:24" x14ac:dyDescent="0.25">
      <c r="X152" s="1"/>
    </row>
    <row r="153" spans="24:24" x14ac:dyDescent="0.25">
      <c r="X153" s="1"/>
    </row>
    <row r="154" spans="24:24" x14ac:dyDescent="0.25">
      <c r="X154" s="1"/>
    </row>
  </sheetData>
  <phoneticPr fontId="21" type="noConversion"/>
  <pageMargins left="0.7" right="0.7" top="0.75" bottom="0.75" header="0.3" footer="0.3"/>
  <pageSetup orientation="portrait" r:id="rId1"/>
  <drawing r:id="rId2"/>
  <tableParts count="9"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telecom_churn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23691A32E1</dc:creator>
  <cp:lastModifiedBy>23691A32E1@mits.com</cp:lastModifiedBy>
  <dcterms:created xsi:type="dcterms:W3CDTF">2026-06-01T05:31:05Z</dcterms:created>
  <dcterms:modified xsi:type="dcterms:W3CDTF">2026-06-02T11:14:45Z</dcterms:modified>
</cp:coreProperties>
</file>