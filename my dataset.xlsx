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.MITS.135\Documents\"/>
    </mc:Choice>
  </mc:AlternateContent>
  <xr:revisionPtr revIDLastSave="0" documentId="13_ncr:1_{DC2F067F-D907-48A1-A865-AED8276DA597}" xr6:coauthVersionLast="47" xr6:coauthVersionMax="47" xr10:uidLastSave="{00000000-0000-0000-0000-000000000000}"/>
  <bookViews>
    <workbookView xWindow="-120" yWindow="-120" windowWidth="29040" windowHeight="15720" activeTab="2" xr2:uid="{8F8EE440-A567-4AF8-9284-AC653E480759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L3" i="1"/>
  <c r="L4" i="1"/>
  <c r="L5" i="1"/>
  <c r="L6" i="1"/>
  <c r="L7" i="1"/>
  <c r="L2" i="1"/>
  <c r="K4" i="1"/>
  <c r="K5" i="1"/>
  <c r="K6" i="1"/>
  <c r="K7" i="1"/>
  <c r="K3" i="1"/>
  <c r="K2" i="1"/>
  <c r="J7" i="1"/>
  <c r="J6" i="1"/>
  <c r="J5" i="1"/>
  <c r="J4" i="1"/>
  <c r="J3" i="1"/>
  <c r="J2" i="1"/>
  <c r="H2" i="1"/>
  <c r="I2" i="1"/>
  <c r="I7" i="1"/>
  <c r="I6" i="1"/>
  <c r="I5" i="1"/>
  <c r="I4" i="1"/>
  <c r="I3" i="1"/>
  <c r="H7" i="1"/>
  <c r="H6" i="1"/>
  <c r="H5" i="1"/>
  <c r="H3" i="1"/>
  <c r="M7" i="1"/>
  <c r="H4" i="1"/>
  <c r="M2" i="1" l="1"/>
  <c r="M6" i="1"/>
  <c r="M4" i="1"/>
  <c r="M3" i="1"/>
  <c r="M5" i="1"/>
</calcChain>
</file>

<file path=xl/sharedStrings.xml><?xml version="1.0" encoding="utf-8"?>
<sst xmlns="http://schemas.openxmlformats.org/spreadsheetml/2006/main" count="59" uniqueCount="53">
  <si>
    <t>S.NO</t>
  </si>
  <si>
    <t>Name</t>
  </si>
  <si>
    <t>Vardhan</t>
  </si>
  <si>
    <t>Chetan</t>
  </si>
  <si>
    <t>Shanmukha</t>
  </si>
  <si>
    <t>Sunil</t>
  </si>
  <si>
    <t>Vishnu</t>
  </si>
  <si>
    <t>Thiru</t>
  </si>
  <si>
    <t>Subject1  Marks</t>
  </si>
  <si>
    <t>Subject2  Marks</t>
  </si>
  <si>
    <t>Subject3  Marks</t>
  </si>
  <si>
    <t>Mean</t>
  </si>
  <si>
    <t>Median</t>
  </si>
  <si>
    <t>Mode</t>
  </si>
  <si>
    <t>Range</t>
  </si>
  <si>
    <t>Variance</t>
  </si>
  <si>
    <t>Std devation</t>
  </si>
  <si>
    <t>Correlation</t>
  </si>
  <si>
    <t>Study Hours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</si>
  <si>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</si>
  <si>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</si>
  <si>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</si>
  <si>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</si>
  <si>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</si>
  <si>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</si>
  <si>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</si>
  <si>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</si>
  <si>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</si>
  <si>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</si>
  <si>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</si>
  <si>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</si>
  <si>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</si>
  <si>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</si>
  <si>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</si>
  <si>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</si>
  <si>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</si>
  <si>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</si>
  <si>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</si>
  <si>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</si>
  <si>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</si>
  <si>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</si>
  <si>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</si>
  <si>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</si>
  <si>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</si>
  <si>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Column1</t>
  </si>
  <si>
    <t>Standard Deviation</t>
  </si>
  <si>
    <t>Sample Variance</t>
  </si>
  <si>
    <t>Kurtosis</t>
  </si>
  <si>
    <t>Skewness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</si>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</sst>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Sheet1!$B$2:$B$7</c:f>
              <c:strCache>
                <c:ptCount val="6"/>
                <c:pt idx="0">
                  <c:v>Vardhan</c:v>
                </c:pt>
                <c:pt idx="1">
                  <c:v>Chetan</c:v>
                </c:pt>
                <c:pt idx="2">
                  <c:v>Shanmukha</c:v>
                </c:pt>
                <c:pt idx="3">
                  <c:v>Sunil</c:v>
                </c:pt>
                <c:pt idx="4">
                  <c:v>Vishnu</c:v>
                </c:pt>
                <c:pt idx="5">
                  <c:v>Thiru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2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4-45D5-9310-70203093FFAC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Subject1  Marks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Sheet1!$B$2:$B$7</c:f>
              <c:strCache>
                <c:ptCount val="6"/>
                <c:pt idx="0">
                  <c:v>Vardhan</c:v>
                </c:pt>
                <c:pt idx="1">
                  <c:v>Chetan</c:v>
                </c:pt>
                <c:pt idx="2">
                  <c:v>Shanmukha</c:v>
                </c:pt>
                <c:pt idx="3">
                  <c:v>Sunil</c:v>
                </c:pt>
                <c:pt idx="4">
                  <c:v>Vishnu</c:v>
                </c:pt>
                <c:pt idx="5">
                  <c:v>Thiru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67</c:v>
                </c:pt>
                <c:pt idx="4">
                  <c:v>79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C4-45D5-9310-70203093F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Study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Sheet1!$B$2:$B$7</c:f>
              <c:strCache>
                <c:ptCount val="6"/>
                <c:pt idx="0">
                  <c:v>Vardhan</c:v>
                </c:pt>
                <c:pt idx="1">
                  <c:v>Chetan</c:v>
                </c:pt>
                <c:pt idx="2">
                  <c:v>Shanmukha</c:v>
                </c:pt>
                <c:pt idx="3">
                  <c:v>Sunil</c:v>
                </c:pt>
                <c:pt idx="4">
                  <c:v>Vishnu</c:v>
                </c:pt>
                <c:pt idx="5">
                  <c:v>Thiru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9</c:v>
                </c:pt>
                <c:pt idx="1">
                  <c:v>7</c:v>
                </c:pt>
                <c:pt idx="2">
                  <c:v>5</c:v>
                </c:pt>
                <c:pt idx="3">
                  <c:v>2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8EE-AFCE-94EB39C5EDF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Subject1  Marks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Sheet1!$B$2:$B$7</c:f>
              <c:strCache>
                <c:ptCount val="6"/>
                <c:pt idx="0">
                  <c:v>Vardhan</c:v>
                </c:pt>
                <c:pt idx="1">
                  <c:v>Chetan</c:v>
                </c:pt>
                <c:pt idx="2">
                  <c:v>Shanmukha</c:v>
                </c:pt>
                <c:pt idx="3">
                  <c:v>Sunil</c:v>
                </c:pt>
                <c:pt idx="4">
                  <c:v>Vishnu</c:v>
                </c:pt>
                <c:pt idx="5">
                  <c:v>Thiru</c:v>
                </c:pt>
              </c:strCache>
            </c: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67</c:v>
                </c:pt>
                <c:pt idx="4">
                  <c:v>79</c:v>
                </c:pt>
                <c:pt idx="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82-48EE-AFCE-94EB39C5EDF6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  <c:pt idx="0">
                  <c:v>Subject2  Marks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Sheet1!$B$2:$B$7</c:f>
              <c:strCache>
                <c:ptCount val="6"/>
                <c:pt idx="0">
                  <c:v>Vardhan</c:v>
                </c:pt>
                <c:pt idx="1">
                  <c:v>Chetan</c:v>
                </c:pt>
                <c:pt idx="2">
                  <c:v>Shanmukha</c:v>
                </c:pt>
                <c:pt idx="3">
                  <c:v>Sunil</c:v>
                </c:pt>
                <c:pt idx="4">
                  <c:v>Vishnu</c:v>
                </c:pt>
                <c:pt idx="5">
                  <c:v>Thiru</c:v>
                </c:pt>
              </c:strCache>
            </c: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79</c:v>
                </c:pt>
                <c:pt idx="1">
                  <c:v>66</c:v>
                </c:pt>
                <c:pt idx="2">
                  <c:v>80</c:v>
                </c:pt>
                <c:pt idx="3">
                  <c:v>88</c:v>
                </c:pt>
                <c:pt idx="4">
                  <c:v>77</c:v>
                </c:pt>
                <c:pt idx="5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82-48EE-AFCE-94EB39C5EDF6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  <c:pt idx="0">
                  <c:v>Subject3  Marks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Sheet1!$B$2:$B$7</c:f>
              <c:strCache>
                <c:ptCount val="6"/>
                <c:pt idx="0">
                  <c:v>Vardhan</c:v>
                </c:pt>
                <c:pt idx="1">
                  <c:v>Chetan</c:v>
                </c:pt>
                <c:pt idx="2">
                  <c:v>Shanmukha</c:v>
                </c:pt>
                <c:pt idx="3">
                  <c:v>Sunil</c:v>
                </c:pt>
                <c:pt idx="4">
                  <c:v>Vishnu</c:v>
                </c:pt>
                <c:pt idx="5">
                  <c:v>Thiru</c:v>
                </c:pt>
              </c:strCache>
            </c:strRef>
          </c:cat>
          <c:val>
            <c:numRef>
              <c:f>Sheet1!$F$2:$F$7</c:f>
              <c:numCache>
                <c:formatCode>General</c:formatCode>
                <c:ptCount val="6"/>
                <c:pt idx="0">
                  <c:v>89</c:v>
                </c:pt>
                <c:pt idx="1">
                  <c:v>70</c:v>
                </c:pt>
                <c:pt idx="2">
                  <c:v>70</c:v>
                </c:pt>
                <c:pt idx="3">
                  <c:v>91</c:v>
                </c:pt>
                <c:pt idx="4">
                  <c:v>82</c:v>
                </c:pt>
                <c:pt idx="5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82-48EE-AFCE-94EB39C5E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899471"/>
        <c:axId val="217901391"/>
      </c:barChart>
      <c:catAx>
        <c:axId val="21789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901391"/>
        <c:crosses val="autoZero"/>
        <c:auto val="1"/>
        <c:lblAlgn val="ctr"/>
        <c:lblOffset val="100"/>
        <c:noMultiLvlLbl val="0"/>
      </c:catAx>
      <c:valAx>
        <c:axId val="21790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789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706164</xdr:colOff>
      <xdr:row>9</xdr:row>
      <xdr:rowOff>164225</xdr:rowOff>
    </xdr:from>
    <xdr:to>
      <xdr:col>4</xdr:col>
      <xdr:colOff>321880</xdr:colOff>
      <xdr:row>22</xdr:row>
      <xdr:rowOff>65691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8B439C-D277-E913-D11C-C8E829400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446690</xdr:colOff>
      <xdr:row>9</xdr:row>
      <xdr:rowOff>157655</xdr:rowOff>
    </xdr:from>
    <xdr:to>
      <xdr:col>10</xdr:col>
      <xdr:colOff>223343</xdr:colOff>
      <xdr:row>22</xdr:row>
      <xdr:rowOff>164223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EC32EC0-5EBE-005D-3D98-7D974A865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61915-9D36-46F0-8437-8A16616D7223}">
  <dimension ref="A1:I18"/>
  <sheetViews>
    <sheetView workbookViewId="0">
      <selection sqref="A1:I21"/>
    </sheetView>
  </sheetViews>
  <sheetFormatPr defaultRowHeight="15" x14ac:dyDescent="0.25"/>
  <sheetData>
    <row r="1" spans="1:9" x14ac:dyDescent="0.25">
      <c r="A1" t="s">
        <v>19</v>
      </c>
    </row>
    <row r="2" spans="1:9" ht="15.75" thickBot="1" x14ac:dyDescent="0.3"/>
    <row r="3" spans="1:9" x14ac:dyDescent="0.25">
      <c r="A3" s="6" t="s">
        <v>20</v>
      </c>
      <c r="B3" s="6"/>
    </row>
    <row r="4" spans="1:9" x14ac:dyDescent="0.25">
      <c r="A4" s="3" t="s">
        <v>21</v>
      </c>
      <c r="B4" s="3">
        <v>0.24750651346220875</v>
      </c>
    </row>
    <row r="5" spans="1:9" x14ac:dyDescent="0.25">
      <c r="A5" s="3" t="s">
        <v>22</v>
      </c>
      <c r="B5" s="3">
        <v>6.1259474206218523E-2</v>
      </c>
    </row>
    <row r="6" spans="1:9" x14ac:dyDescent="0.25">
      <c r="A6" s="3" t="s">
        <v>23</v>
      </c>
      <c r="B6" s="3">
        <v>-0.17342565724222686</v>
      </c>
    </row>
    <row r="7" spans="1:9" x14ac:dyDescent="0.25">
      <c r="A7" s="3" t="s">
        <v>24</v>
      </c>
      <c r="B7" s="3">
        <v>10.819832087615755</v>
      </c>
    </row>
    <row r="8" spans="1:9" ht="15.75" thickBot="1" x14ac:dyDescent="0.3">
      <c r="A8" s="4" t="s">
        <v>25</v>
      </c>
      <c r="B8" s="4">
        <v>6</v>
      </c>
    </row>
    <row r="10" spans="1:9" ht="15.75" thickBot="1" x14ac:dyDescent="0.3">
      <c r="A10" t="s">
        <v>26</v>
      </c>
    </row>
    <row r="11" spans="1:9" x14ac:dyDescent="0.25">
      <c r="A11" s="5"/>
      <c r="B11" s="5" t="s">
        <v>31</v>
      </c>
      <c r="C11" s="5" t="s">
        <v>32</v>
      </c>
      <c r="D11" s="5" t="s">
        <v>33</v>
      </c>
      <c r="E11" s="5" t="s">
        <v>34</v>
      </c>
      <c r="F11" s="5" t="s">
        <v>35</v>
      </c>
    </row>
    <row r="12" spans="1:9" x14ac:dyDescent="0.25">
      <c r="A12" s="3" t="s">
        <v>27</v>
      </c>
      <c r="B12" s="3">
        <v>1</v>
      </c>
      <c r="C12" s="3">
        <v>30.55826771653534</v>
      </c>
      <c r="D12" s="3">
        <v>30.55826771653534</v>
      </c>
      <c r="E12" s="3">
        <v>0.26102835670983165</v>
      </c>
      <c r="F12" s="3">
        <v>0.63632128924534148</v>
      </c>
    </row>
    <row r="13" spans="1:9" x14ac:dyDescent="0.25">
      <c r="A13" s="3" t="s">
        <v>28</v>
      </c>
      <c r="B13" s="3">
        <v>4</v>
      </c>
      <c r="C13" s="3">
        <v>468.27506561679797</v>
      </c>
      <c r="D13" s="3">
        <v>117.06876640419949</v>
      </c>
      <c r="E13" s="3"/>
      <c r="F13" s="3"/>
    </row>
    <row r="14" spans="1:9" ht="15.75" thickBot="1" x14ac:dyDescent="0.3">
      <c r="A14" s="4" t="s">
        <v>29</v>
      </c>
      <c r="B14" s="4">
        <v>5</v>
      </c>
      <c r="C14" s="4">
        <v>498.83333333333331</v>
      </c>
      <c r="D14" s="4"/>
      <c r="E14" s="4"/>
      <c r="F14" s="4"/>
    </row>
    <row r="15" spans="1:9" ht="15.75" thickBot="1" x14ac:dyDescent="0.3"/>
    <row r="16" spans="1:9" x14ac:dyDescent="0.25">
      <c r="A16" s="5"/>
      <c r="B16" s="5" t="s">
        <v>36</v>
      </c>
      <c r="C16" s="5" t="s">
        <v>24</v>
      </c>
      <c r="D16" s="5" t="s">
        <v>37</v>
      </c>
      <c r="E16" s="5" t="s">
        <v>38</v>
      </c>
      <c r="F16" s="5" t="s">
        <v>39</v>
      </c>
      <c r="G16" s="5" t="s">
        <v>40</v>
      </c>
      <c r="H16" s="5" t="s">
        <v>41</v>
      </c>
      <c r="I16" s="5" t="s">
        <v>42</v>
      </c>
    </row>
    <row r="17" spans="1:9" x14ac:dyDescent="0.25">
      <c r="A17" s="3" t="s">
        <v>30</v>
      </c>
      <c r="B17" s="3">
        <v>107.83044619422574</v>
      </c>
      <c r="C17" s="3">
        <v>48.475946133718239</v>
      </c>
      <c r="D17" s="3">
        <v>2.2244113791359816</v>
      </c>
      <c r="E17" s="3">
        <v>9.0168988954840504E-2</v>
      </c>
      <c r="F17" s="3">
        <v>-26.760357168568163</v>
      </c>
      <c r="G17" s="3">
        <v>242.42124955701965</v>
      </c>
      <c r="H17" s="3">
        <v>-26.760357168568163</v>
      </c>
      <c r="I17" s="3">
        <v>242.42124955701965</v>
      </c>
    </row>
    <row r="18" spans="1:9" ht="15.75" thickBot="1" x14ac:dyDescent="0.3">
      <c r="A18" s="4" t="s">
        <v>43</v>
      </c>
      <c r="B18" s="4">
        <v>-0.31023622047244109</v>
      </c>
      <c r="C18" s="4">
        <v>0.60722361952390735</v>
      </c>
      <c r="D18" s="4">
        <v>-0.51090934294631241</v>
      </c>
      <c r="E18" s="4">
        <v>0.63632128924534093</v>
      </c>
      <c r="F18" s="4">
        <v>-1.9961592666600809</v>
      </c>
      <c r="G18" s="4">
        <v>1.3756868257151986</v>
      </c>
      <c r="H18" s="4">
        <v>-1.9961592666600809</v>
      </c>
      <c r="I18" s="4">
        <v>1.3756868257151986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E628-E11B-47B1-A17F-B7FA2061385D}">
  <dimension ref="A1:B15"/>
  <sheetViews>
    <sheetView workbookViewId="0">
      <selection sqref="A1:B15"/>
    </sheetView>
  </sheetViews>
  <sheetFormatPr defaultRowHeight="15" x14ac:dyDescent="0.25"/>
  <sheetData>
    <row r="1" spans="1:2" x14ac:dyDescent="0.25">
      <c r="A1" s="6" t="s">
        <v>44</v>
      </c>
      <c r="B1" s="6"/>
    </row>
    <row r="2" spans="1:2" x14ac:dyDescent="0.25">
      <c r="A2" s="3"/>
      <c r="B2" s="3"/>
    </row>
    <row r="3" spans="1:2" x14ac:dyDescent="0.25">
      <c r="A3" s="3" t="s">
        <v>11</v>
      </c>
      <c r="B3" s="3">
        <v>79.5</v>
      </c>
    </row>
    <row r="4" spans="1:2" x14ac:dyDescent="0.25">
      <c r="A4" s="3" t="s">
        <v>24</v>
      </c>
      <c r="B4" s="3">
        <v>3.2532035493238562</v>
      </c>
    </row>
    <row r="5" spans="1:2" x14ac:dyDescent="0.25">
      <c r="A5" s="3" t="s">
        <v>12</v>
      </c>
      <c r="B5" s="3">
        <v>79.5</v>
      </c>
    </row>
    <row r="6" spans="1:2" x14ac:dyDescent="0.25">
      <c r="A6" s="3" t="s">
        <v>13</v>
      </c>
      <c r="B6" s="3" t="e">
        <v>#N/A</v>
      </c>
    </row>
    <row r="7" spans="1:2" x14ac:dyDescent="0.25">
      <c r="A7" s="3" t="s">
        <v>45</v>
      </c>
      <c r="B7" s="3">
        <v>7.9686887252546139</v>
      </c>
    </row>
    <row r="8" spans="1:2" x14ac:dyDescent="0.25">
      <c r="A8" s="3" t="s">
        <v>46</v>
      </c>
      <c r="B8" s="3">
        <v>63.5</v>
      </c>
    </row>
    <row r="9" spans="1:2" x14ac:dyDescent="0.25">
      <c r="A9" s="3" t="s">
        <v>47</v>
      </c>
      <c r="B9" s="3">
        <v>0.97843635687271302</v>
      </c>
    </row>
    <row r="10" spans="1:2" x14ac:dyDescent="0.25">
      <c r="A10" s="3" t="s">
        <v>48</v>
      </c>
      <c r="B10" s="3">
        <v>-0.85373514273916329</v>
      </c>
    </row>
    <row r="11" spans="1:2" x14ac:dyDescent="0.25">
      <c r="A11" s="3" t="s">
        <v>14</v>
      </c>
      <c r="B11" s="3">
        <v>22</v>
      </c>
    </row>
    <row r="12" spans="1:2" x14ac:dyDescent="0.25">
      <c r="A12" s="3" t="s">
        <v>49</v>
      </c>
      <c r="B12" s="3">
        <v>66</v>
      </c>
    </row>
    <row r="13" spans="1:2" x14ac:dyDescent="0.25">
      <c r="A13" s="3" t="s">
        <v>50</v>
      </c>
      <c r="B13" s="3">
        <v>88</v>
      </c>
    </row>
    <row r="14" spans="1:2" x14ac:dyDescent="0.25">
      <c r="A14" s="3" t="s">
        <v>51</v>
      </c>
      <c r="B14" s="3">
        <v>477</v>
      </c>
    </row>
    <row r="15" spans="1:2" ht="15.75" thickBot="1" x14ac:dyDescent="0.3">
      <c r="A15" s="4" t="s">
        <v>52</v>
      </c>
      <c r="B15" s="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4283E-54AF-4D1A-9153-168F2C256F4B}">
  <dimension ref="A1:M7"/>
  <sheetViews>
    <sheetView tabSelected="1" zoomScale="145" zoomScaleNormal="145" workbookViewId="0">
      <selection activeCell="M10" sqref="M10"/>
    </sheetView>
  </sheetViews>
  <sheetFormatPr defaultRowHeight="15" x14ac:dyDescent="0.25"/>
  <cols>
    <col min="1" max="1" width="13.28515625" customWidth="1"/>
    <col min="2" max="2" width="14.85546875" customWidth="1"/>
    <col min="3" max="3" width="13.42578125" customWidth="1"/>
    <col min="4" max="4" width="17.85546875" customWidth="1"/>
    <col min="5" max="5" width="17.28515625" customWidth="1"/>
    <col min="6" max="6" width="17.7109375" customWidth="1"/>
    <col min="7" max="7" width="13.42578125" customWidth="1"/>
    <col min="12" max="12" width="14.140625" customWidth="1"/>
    <col min="13" max="13" width="11.140625" customWidth="1"/>
  </cols>
  <sheetData>
    <row r="1" spans="1:13" x14ac:dyDescent="0.25">
      <c r="A1" s="2" t="s">
        <v>0</v>
      </c>
      <c r="B1" s="2" t="s">
        <v>1</v>
      </c>
      <c r="C1" s="2" t="s">
        <v>18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</row>
    <row r="2" spans="1:13" x14ac:dyDescent="0.25">
      <c r="A2" s="1">
        <v>1</v>
      </c>
      <c r="B2" s="1" t="s">
        <v>2</v>
      </c>
      <c r="C2" s="1">
        <v>9</v>
      </c>
      <c r="D2" s="1">
        <v>80</v>
      </c>
      <c r="E2" s="1">
        <v>79</v>
      </c>
      <c r="F2" s="1">
        <v>89</v>
      </c>
      <c r="G2">
        <f>AVERAGE(D2:F2)</f>
        <v>82.666666666666671</v>
      </c>
      <c r="H2">
        <f>MEDIAN(D2:F2)</f>
        <v>80</v>
      </c>
      <c r="I2" t="e">
        <f>MODE(D2:F2)</f>
        <v>#N/A</v>
      </c>
      <c r="J2">
        <f>MAX(D2:F2)-MIN(D2:F2)</f>
        <v>10</v>
      </c>
      <c r="K2">
        <f>_xlfn.VAR.S(D2:F2)</f>
        <v>30.333333333333332</v>
      </c>
      <c r="L2">
        <f>STDEV(D2:F2)</f>
        <v>5.5075705472861021</v>
      </c>
      <c r="M2">
        <f>CORREL(C1:C6,G1:G6)</f>
        <v>0.85256630079968032</v>
      </c>
    </row>
    <row r="3" spans="1:13" x14ac:dyDescent="0.25">
      <c r="A3" s="1">
        <v>2</v>
      </c>
      <c r="B3" s="1" t="s">
        <v>3</v>
      </c>
      <c r="C3" s="1">
        <v>7</v>
      </c>
      <c r="D3" s="1">
        <v>88</v>
      </c>
      <c r="E3" s="1">
        <v>66</v>
      </c>
      <c r="F3" s="1">
        <v>70</v>
      </c>
      <c r="G3">
        <f>AVERAGE(D3:F3)</f>
        <v>74.666666666666671</v>
      </c>
      <c r="H3">
        <f>MEDIAN(D3:F3)</f>
        <v>70</v>
      </c>
      <c r="I3" t="e">
        <f>MODE(D3:F3)</f>
        <v>#N/A</v>
      </c>
      <c r="J3">
        <f>MAX(D3:F3)-MIN(D3:F3)</f>
        <v>22</v>
      </c>
      <c r="K3">
        <f>VAR(D3:F3)</f>
        <v>137.33333333333394</v>
      </c>
      <c r="L3">
        <f t="shared" ref="L3:L7" si="0">STDEV(D3:F3)</f>
        <v>11.718930554164656</v>
      </c>
      <c r="M3">
        <f t="shared" ref="M3:M7" si="1">CORREL(C2:C7,G2:G7)</f>
        <v>0.821449616141954</v>
      </c>
    </row>
    <row r="4" spans="1:13" x14ac:dyDescent="0.25">
      <c r="A4" s="1">
        <v>3</v>
      </c>
      <c r="B4" s="1" t="s">
        <v>4</v>
      </c>
      <c r="C4" s="1">
        <v>5</v>
      </c>
      <c r="D4" s="1">
        <v>90</v>
      </c>
      <c r="E4" s="1">
        <v>80</v>
      </c>
      <c r="F4" s="1">
        <v>70</v>
      </c>
      <c r="G4">
        <f>AVERAGE(D4:F4)</f>
        <v>80</v>
      </c>
      <c r="H4">
        <f>MEDIAN(D4:G4)</f>
        <v>80</v>
      </c>
      <c r="I4" t="e">
        <f>MODE(D4:F4)</f>
        <v>#N/A</v>
      </c>
      <c r="J4">
        <f>MAX(D4:F4)-MIN(D4:F4)</f>
        <v>20</v>
      </c>
      <c r="K4">
        <f t="shared" ref="K4:K7" si="2">VAR(D4:F4)</f>
        <v>100</v>
      </c>
      <c r="L4">
        <f t="shared" si="0"/>
        <v>10</v>
      </c>
      <c r="M4">
        <f t="shared" si="1"/>
        <v>0.78513194433993261</v>
      </c>
    </row>
    <row r="5" spans="1:13" x14ac:dyDescent="0.25">
      <c r="A5" s="1">
        <v>4</v>
      </c>
      <c r="B5" s="1" t="s">
        <v>5</v>
      </c>
      <c r="C5" s="1">
        <v>2</v>
      </c>
      <c r="D5" s="1">
        <v>67</v>
      </c>
      <c r="E5" s="1">
        <v>88</v>
      </c>
      <c r="F5" s="1">
        <v>91</v>
      </c>
      <c r="G5">
        <f>AVERAGE(C5:F5)</f>
        <v>62</v>
      </c>
      <c r="H5">
        <f>MEDIAN(D5:F5)</f>
        <v>88</v>
      </c>
      <c r="I5" t="e">
        <f>MODE(D5:F5)</f>
        <v>#N/A</v>
      </c>
      <c r="J5">
        <f>MAX(D5:F5)-MIN(D5:F5)</f>
        <v>24</v>
      </c>
      <c r="K5">
        <f t="shared" si="2"/>
        <v>171</v>
      </c>
      <c r="L5">
        <f t="shared" si="0"/>
        <v>13.076696830622021</v>
      </c>
      <c r="M5">
        <f t="shared" si="1"/>
        <v>0.84946924752864261</v>
      </c>
    </row>
    <row r="6" spans="1:13" x14ac:dyDescent="0.25">
      <c r="A6" s="1">
        <v>5</v>
      </c>
      <c r="B6" s="1" t="s">
        <v>6</v>
      </c>
      <c r="C6" s="1">
        <v>8</v>
      </c>
      <c r="D6" s="1">
        <v>79</v>
      </c>
      <c r="E6" s="1">
        <v>77</v>
      </c>
      <c r="F6" s="1">
        <v>82</v>
      </c>
      <c r="G6">
        <f>AVERAGE(D6:F6)</f>
        <v>79.333333333333329</v>
      </c>
      <c r="H6">
        <f>MEDIAN(D6:F6)</f>
        <v>79</v>
      </c>
      <c r="I6" t="e">
        <f>MODE(D6:F6)</f>
        <v>#N/A</v>
      </c>
      <c r="J6">
        <f>MAX(D6:F6)-MIN(D6:F6)</f>
        <v>5</v>
      </c>
      <c r="K6">
        <f t="shared" si="2"/>
        <v>6.3333333333333339</v>
      </c>
      <c r="L6">
        <f t="shared" si="0"/>
        <v>2.5166114784235836</v>
      </c>
      <c r="M6">
        <f t="shared" si="1"/>
        <v>0.93371560571254675</v>
      </c>
    </row>
    <row r="7" spans="1:13" x14ac:dyDescent="0.25">
      <c r="A7" s="1">
        <v>6</v>
      </c>
      <c r="B7" s="1" t="s">
        <v>7</v>
      </c>
      <c r="C7" s="1">
        <v>6</v>
      </c>
      <c r="D7" s="1">
        <v>95</v>
      </c>
      <c r="E7" s="1">
        <v>87</v>
      </c>
      <c r="F7" s="1">
        <v>58</v>
      </c>
      <c r="G7">
        <f>AVERAGE(D7:F7)</f>
        <v>80</v>
      </c>
      <c r="H7">
        <f>MEDIAN(D7:F7)</f>
        <v>87</v>
      </c>
      <c r="I7" t="e">
        <f>MODE(D7:F7)</f>
        <v>#N/A</v>
      </c>
      <c r="J7">
        <f>MAX(D7:F7)-MIN(D7:F7)</f>
        <v>37</v>
      </c>
      <c r="K7">
        <f t="shared" si="2"/>
        <v>379</v>
      </c>
      <c r="L7">
        <f t="shared" si="0"/>
        <v>19.467922333931785</v>
      </c>
      <c r="M7">
        <f t="shared" si="1"/>
        <v>-1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23691A32E1</dc:creator>
  <cp:lastModifiedBy>23691A32E1@mits.com</cp:lastModifiedBy>
  <dcterms:created xsi:type="dcterms:W3CDTF">2026-05-26T08:31:32Z</dcterms:created>
  <dcterms:modified xsi:type="dcterms:W3CDTF">2026-05-26T09:59:33Z</dcterms:modified>
</cp:coreProperties>
</file>