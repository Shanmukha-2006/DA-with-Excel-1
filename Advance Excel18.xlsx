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Z:\DA\"/>
    </mc:Choice>
  </mc:AlternateContent>
  <xr:revisionPtr revIDLastSave="0" documentId="8_{851BB95E-EC06-4242-A592-FB155EDDB6E5}" xr6:coauthVersionLast="47" xr6:coauthVersionMax="47" xr10:uidLastSave="{00000000-0000-0000-0000-000000000000}"/>
  <bookViews>
    <workbookView xWindow="-120" yWindow="-120" windowWidth="29040" windowHeight="15720" activeTab="3" xr2:uid="{788101B2-CD41-4C7A-B0AE-4D06B57E7344}"/>
  </bookViews>
  <sheets>
    <sheet name="Chart1" sheetId="2" r:id="rId1"/>
    <sheet name="Sheet12" sheetId="14" r:id="rId2"/>
    <sheet name="Scenario Summary" sheetId="16" r:id="rId3"/>
    <sheet name="telecom_churn" sheetId="1" r:id="rId4"/>
    <sheet name="Sheet3" sheetId="18" r:id="rId5"/>
    <sheet name="Sheet1" sheetId="15" r:id="rId6"/>
    <sheet name="Sheet2" sheetId="17" r:id="rId7"/>
  </sheets>
  <definedNames>
    <definedName name="_xlnm._FilterDatabase" localSheetId="3" hidden="1">telecom_churn!$CG$35:$CR$55</definedName>
    <definedName name="Slicer_Age">#N/A</definedName>
    <definedName name="Slicer_age_bins">#N/A</definedName>
    <definedName name="Slicer_City">#N/A</definedName>
    <definedName name="Slicer_Department">#N/A</definedName>
    <definedName name="Slicer_Department1">#N/A</definedName>
    <definedName name="Slicer_Department2">#N/A</definedName>
    <definedName name="Slicer_Department3">#N/A</definedName>
    <definedName name="Slicer_Department4">#N/A</definedName>
    <definedName name="Slicer_Department5">#N/A</definedName>
    <definedName name="Slicer_Department6">#N/A</definedName>
    <definedName name="Slicer_Experience__Years">#N/A</definedName>
    <definedName name="Slicer_Experience__Years1">#N/A</definedName>
    <definedName name="Slicer_Gender">#N/A</definedName>
    <definedName name="Slicer_Gender1">#N/A</definedName>
    <definedName name="Slicer_Gender2">#N/A</definedName>
    <definedName name="Slicer_Performance">#N/A</definedName>
    <definedName name="Slicer_Role">#N/A</definedName>
    <definedName name="Slicer_Salary">#N/A</definedName>
    <definedName name="Slicer_Salary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B58" i="1" l="1"/>
  <c r="DB57" i="1"/>
  <c r="DB56" i="1"/>
  <c r="DB55" i="1"/>
  <c r="DB54" i="1"/>
  <c r="DA58" i="1"/>
  <c r="DA57" i="1"/>
  <c r="DA55" i="1"/>
  <c r="DA56" i="1"/>
  <c r="DA54" i="1"/>
  <c r="DF40" i="1"/>
  <c r="DM38" i="1" s="1"/>
  <c r="DF41" i="1"/>
  <c r="DF42" i="1"/>
  <c r="DF43" i="1"/>
  <c r="DF39" i="1"/>
  <c r="DJ38" i="1" s="1"/>
  <c r="CR54" i="1"/>
  <c r="CR46" i="1"/>
  <c r="CR36" i="1"/>
  <c r="CR51" i="1"/>
  <c r="CR42" i="1"/>
  <c r="CR48" i="1"/>
  <c r="CR39" i="1"/>
  <c r="CR53" i="1"/>
  <c r="CR47" i="1"/>
  <c r="CR38" i="1"/>
  <c r="CR52" i="1"/>
  <c r="CR43" i="1"/>
  <c r="CR55" i="1"/>
  <c r="CR50" i="1"/>
  <c r="CR41" i="1"/>
  <c r="CR45" i="1"/>
  <c r="CR40" i="1"/>
  <c r="CR49" i="1"/>
  <c r="CR44" i="1"/>
  <c r="CR37" i="1"/>
  <c r="AK3" i="1"/>
  <c r="AS25" i="15"/>
  <c r="U2" i="1"/>
  <c r="S2" i="1"/>
  <c r="R2" i="1"/>
  <c r="Q2" i="1"/>
  <c r="O2" i="1"/>
  <c r="O4" i="1"/>
  <c r="O5" i="1"/>
  <c r="O6" i="1"/>
  <c r="O3" i="1"/>
  <c r="N2" i="1" s="1"/>
  <c r="M2" i="1"/>
  <c r="CJ5" i="1"/>
  <c r="CJ4" i="1"/>
  <c r="CJ6" i="1"/>
  <c r="CJ7" i="1"/>
  <c r="CJ8" i="1"/>
  <c r="CJ9" i="1"/>
  <c r="CJ10" i="1"/>
  <c r="CJ11" i="1"/>
  <c r="CJ12" i="1"/>
  <c r="CJ13" i="1"/>
  <c r="BO102" i="1"/>
  <c r="BN101" i="1"/>
  <c r="BA100" i="1"/>
  <c r="AZ99" i="1"/>
  <c r="BU12" i="1" l="1"/>
  <c r="BT11" i="1"/>
  <c r="BS10" i="1"/>
  <c r="B70" i="1" l="1"/>
  <c r="AF15" i="1"/>
  <c r="AG15" i="1"/>
  <c r="AH15" i="1"/>
  <c r="AI15" i="1"/>
  <c r="AJ15" i="1"/>
  <c r="AK15" i="1"/>
  <c r="AF16" i="1"/>
  <c r="AG16" i="1"/>
  <c r="AH16" i="1"/>
  <c r="AI16" i="1"/>
  <c r="AJ16" i="1"/>
  <c r="AK16" i="1"/>
  <c r="K55" i="1"/>
  <c r="L55" i="1"/>
  <c r="M55" i="1"/>
  <c r="N55" i="1"/>
  <c r="O55" i="1"/>
  <c r="P55" i="1"/>
  <c r="Q55" i="1"/>
  <c r="R55" i="1"/>
  <c r="S55" i="1"/>
  <c r="K56" i="1"/>
  <c r="L56" i="1"/>
  <c r="M56" i="1"/>
  <c r="N56" i="1"/>
  <c r="O56" i="1"/>
  <c r="P56" i="1"/>
  <c r="Q56" i="1"/>
  <c r="R56" i="1"/>
  <c r="S56" i="1"/>
  <c r="K57" i="1"/>
  <c r="L57" i="1"/>
  <c r="M57" i="1"/>
  <c r="N57" i="1"/>
  <c r="O57" i="1"/>
  <c r="P57" i="1"/>
  <c r="Q57" i="1"/>
  <c r="R57" i="1"/>
  <c r="S57" i="1"/>
  <c r="K58" i="1"/>
  <c r="L58" i="1"/>
  <c r="M58" i="1"/>
  <c r="N58" i="1"/>
  <c r="O58" i="1"/>
  <c r="P58" i="1"/>
  <c r="Q58" i="1"/>
  <c r="R58" i="1"/>
  <c r="S58" i="1"/>
  <c r="K59" i="1"/>
  <c r="L59" i="1"/>
  <c r="M59" i="1"/>
  <c r="N59" i="1"/>
  <c r="O59" i="1"/>
  <c r="P59" i="1"/>
  <c r="Q59" i="1" a="1"/>
  <c r="Q59" i="1" s="1"/>
  <c r="R59" i="1"/>
  <c r="S59" i="1"/>
  <c r="K60" i="1"/>
  <c r="L60" i="1"/>
  <c r="M60" i="1"/>
  <c r="N60" i="1"/>
  <c r="O60" i="1"/>
  <c r="P60" i="1"/>
  <c r="Q60" i="1" a="1"/>
  <c r="Q60" i="1" s="1"/>
  <c r="R60" i="1"/>
  <c r="S60" i="1"/>
  <c r="K61" i="1"/>
  <c r="L61" i="1" a="1"/>
  <c r="L61" i="1" s="1"/>
  <c r="M61" i="1"/>
  <c r="N61" i="1"/>
  <c r="O61" i="1"/>
  <c r="P61" i="1"/>
  <c r="R61" i="1"/>
  <c r="S61" i="1"/>
  <c r="K62" i="1"/>
  <c r="L62" i="1" a="1"/>
  <c r="L62" i="1" s="1"/>
  <c r="M62" i="1"/>
  <c r="N62" i="1"/>
  <c r="O62" i="1"/>
  <c r="P62" i="1"/>
  <c r="R62" i="1"/>
  <c r="S62" i="1"/>
  <c r="K63" i="1"/>
  <c r="L63" i="1" a="1"/>
  <c r="L63" i="1" s="1"/>
  <c r="M63" i="1"/>
  <c r="N63" i="1"/>
  <c r="O63" i="1"/>
  <c r="P63" i="1"/>
  <c r="R63" i="1"/>
  <c r="S63" i="1"/>
  <c r="K64" i="1"/>
  <c r="L64" i="1" a="1"/>
  <c r="L64" i="1" s="1"/>
  <c r="M64" i="1"/>
  <c r="N64" i="1"/>
  <c r="O64" i="1"/>
  <c r="P64" i="1"/>
  <c r="R64" i="1"/>
  <c r="S64" i="1"/>
  <c r="B77" i="1"/>
  <c r="B76" i="1"/>
  <c r="B75" i="1"/>
  <c r="B74" i="1"/>
  <c r="G73" i="1"/>
  <c r="F73" i="1"/>
  <c r="E73" i="1"/>
  <c r="B73" i="1"/>
  <c r="G72" i="1"/>
  <c r="F72" i="1"/>
  <c r="E72" i="1"/>
  <c r="B72" i="1"/>
  <c r="F71" i="1"/>
  <c r="E71" i="1"/>
  <c r="F70" i="1"/>
  <c r="E70" i="1"/>
  <c r="AB2" i="1"/>
  <c r="AB3" i="1"/>
  <c r="AB4" i="1"/>
  <c r="AB5" i="1"/>
  <c r="AB6" i="1"/>
  <c r="AB7" i="1"/>
  <c r="AB8" i="1"/>
  <c r="AB9" i="1"/>
  <c r="AB10" i="1"/>
  <c r="AB11" i="1"/>
  <c r="AB12" i="1"/>
  <c r="AB13" i="1"/>
  <c r="AB14" i="1"/>
  <c r="AB15" i="1"/>
  <c r="AB16" i="1"/>
  <c r="AB17" i="1"/>
  <c r="AB18" i="1"/>
  <c r="AB19" i="1"/>
  <c r="AB20" i="1"/>
  <c r="P2" i="1"/>
  <c r="V2" i="1"/>
  <c r="W2" i="1"/>
  <c r="Y2" i="1"/>
  <c r="M3" i="1"/>
  <c r="N3" i="1" s="1"/>
  <c r="P3" i="1"/>
  <c r="Q3" i="1"/>
  <c r="R3" i="1"/>
  <c r="S3" i="1"/>
  <c r="U3" i="1"/>
  <c r="V3" i="1"/>
  <c r="W3" i="1"/>
  <c r="Y3" i="1"/>
  <c r="M4" i="1"/>
  <c r="N4" i="1" s="1"/>
  <c r="P4" i="1"/>
  <c r="Q4" i="1"/>
  <c r="R4" i="1"/>
  <c r="S4" i="1"/>
  <c r="U4" i="1"/>
  <c r="V4" i="1"/>
  <c r="W4" i="1"/>
  <c r="Y4" i="1"/>
  <c r="M5" i="1"/>
  <c r="N5" i="1" s="1"/>
  <c r="P5" i="1"/>
  <c r="Q5" i="1"/>
  <c r="R5" i="1"/>
  <c r="S5" i="1"/>
  <c r="U5" i="1"/>
  <c r="V5" i="1"/>
  <c r="W5" i="1"/>
  <c r="Y5" i="1"/>
  <c r="M6" i="1"/>
  <c r="N6" i="1" s="1"/>
  <c r="P6" i="1"/>
  <c r="Q6" i="1"/>
  <c r="R6" i="1"/>
  <c r="S6" i="1"/>
  <c r="U6" i="1"/>
  <c r="V6" i="1"/>
  <c r="W6" i="1"/>
  <c r="Y6" i="1"/>
  <c r="M7" i="1"/>
  <c r="N7" i="1"/>
  <c r="O7" i="1"/>
  <c r="P7" i="1"/>
  <c r="Q7" i="1"/>
  <c r="R7" i="1"/>
  <c r="S7" i="1"/>
  <c r="U7" i="1"/>
  <c r="V7" i="1"/>
  <c r="W7" i="1"/>
  <c r="Y7" i="1"/>
  <c r="M8" i="1"/>
  <c r="N8" i="1" s="1"/>
  <c r="O8" i="1"/>
  <c r="P8" i="1"/>
  <c r="Q8" i="1"/>
  <c r="R8" i="1"/>
  <c r="S8" i="1"/>
  <c r="U8" i="1"/>
  <c r="V8" i="1"/>
  <c r="W8" i="1"/>
  <c r="Y8" i="1"/>
  <c r="M9" i="1"/>
  <c r="N9" i="1" s="1"/>
  <c r="O9" i="1"/>
  <c r="P9" i="1"/>
  <c r="Q9" i="1"/>
  <c r="R9" i="1"/>
  <c r="S9" i="1"/>
  <c r="U9" i="1"/>
  <c r="V9" i="1"/>
  <c r="W9" i="1"/>
  <c r="Y9" i="1"/>
  <c r="M10" i="1"/>
  <c r="N10" i="1" s="1"/>
  <c r="O10" i="1"/>
  <c r="P10" i="1"/>
  <c r="Q10" i="1"/>
  <c r="R10" i="1"/>
  <c r="S10" i="1"/>
  <c r="U10" i="1"/>
  <c r="V10" i="1"/>
  <c r="W10" i="1"/>
  <c r="Y10" i="1"/>
  <c r="M11" i="1"/>
  <c r="N11" i="1" s="1"/>
  <c r="O11" i="1"/>
  <c r="P11" i="1"/>
  <c r="Q11" i="1"/>
  <c r="R11" i="1"/>
  <c r="S11" i="1"/>
  <c r="U11" i="1"/>
  <c r="V11" i="1"/>
  <c r="W11" i="1"/>
  <c r="Y11" i="1"/>
  <c r="M12" i="1"/>
  <c r="N12" i="1" s="1"/>
  <c r="O12" i="1"/>
  <c r="P12" i="1"/>
  <c r="Q12" i="1"/>
  <c r="R12" i="1"/>
  <c r="S12" i="1"/>
  <c r="U12" i="1"/>
  <c r="V12" i="1"/>
  <c r="W12" i="1"/>
  <c r="Y12" i="1"/>
  <c r="M13" i="1"/>
  <c r="N13" i="1" s="1"/>
  <c r="O13" i="1"/>
  <c r="P13" i="1"/>
  <c r="Q13" i="1"/>
  <c r="R13" i="1"/>
  <c r="S13" i="1"/>
  <c r="U13" i="1"/>
  <c r="V13" i="1"/>
  <c r="W13" i="1"/>
  <c r="Y13" i="1"/>
  <c r="M14" i="1"/>
  <c r="N14" i="1" s="1"/>
  <c r="O14" i="1"/>
  <c r="P14" i="1"/>
  <c r="Q14" i="1"/>
  <c r="R14" i="1"/>
  <c r="S14" i="1"/>
  <c r="U14" i="1"/>
  <c r="V14" i="1"/>
  <c r="W14" i="1"/>
  <c r="Y14" i="1"/>
  <c r="M15" i="1"/>
  <c r="N15" i="1" s="1"/>
  <c r="O15" i="1"/>
  <c r="P15" i="1"/>
  <c r="Q15" i="1"/>
  <c r="R15" i="1"/>
  <c r="S15" i="1"/>
  <c r="U15" i="1"/>
  <c r="V15" i="1"/>
  <c r="W15" i="1"/>
  <c r="Y15" i="1"/>
  <c r="M16" i="1"/>
  <c r="N16" i="1" s="1"/>
  <c r="O16" i="1"/>
  <c r="P16" i="1"/>
  <c r="Q16" i="1"/>
  <c r="R16" i="1"/>
  <c r="S16" i="1"/>
  <c r="U16" i="1"/>
  <c r="V16" i="1"/>
  <c r="W16" i="1"/>
  <c r="Y16" i="1"/>
  <c r="M17" i="1"/>
  <c r="N17" i="1" s="1"/>
  <c r="O17" i="1"/>
  <c r="P17" i="1"/>
  <c r="Q17" i="1"/>
  <c r="R17" i="1"/>
  <c r="S17" i="1"/>
  <c r="U17" i="1"/>
  <c r="V17" i="1"/>
  <c r="W17" i="1"/>
  <c r="Y17" i="1"/>
  <c r="M18" i="1"/>
  <c r="N18" i="1" s="1"/>
  <c r="O18" i="1"/>
  <c r="P18" i="1"/>
  <c r="Q18" i="1"/>
  <c r="R18" i="1"/>
  <c r="S18" i="1"/>
  <c r="U18" i="1"/>
  <c r="V18" i="1"/>
  <c r="W18" i="1"/>
  <c r="Y18" i="1"/>
  <c r="M19" i="1"/>
  <c r="N19" i="1" s="1"/>
  <c r="O19" i="1"/>
  <c r="P19" i="1"/>
  <c r="Q19" i="1"/>
  <c r="R19" i="1"/>
  <c r="S19" i="1"/>
  <c r="U19" i="1"/>
  <c r="V19" i="1"/>
  <c r="W19" i="1"/>
  <c r="Y19" i="1"/>
  <c r="M20" i="1"/>
  <c r="N20" i="1" s="1"/>
  <c r="O20" i="1"/>
  <c r="P20" i="1"/>
  <c r="Q20" i="1"/>
  <c r="R20" i="1"/>
  <c r="S20" i="1"/>
  <c r="U20" i="1"/>
  <c r="V20" i="1"/>
  <c r="W20" i="1"/>
  <c r="Y20" i="1"/>
  <c r="AL20" i="1"/>
  <c r="AL21" i="1"/>
  <c r="AL22" i="1"/>
  <c r="AJ25" i="1"/>
  <c r="AJ26" i="1"/>
  <c r="AJ27" i="1"/>
  <c r="AJ28" i="1"/>
  <c r="AH7" i="1"/>
  <c r="AH6" i="1"/>
  <c r="AL5" i="1"/>
  <c r="AH5" i="1"/>
  <c r="AM4" i="1"/>
  <c r="AL4" i="1"/>
  <c r="AK4" i="1"/>
  <c r="AJ4" i="1"/>
  <c r="AH4" i="1"/>
  <c r="AN3" i="1"/>
  <c r="AM3" i="1"/>
  <c r="AL3" i="1"/>
  <c r="AJ3" i="1"/>
  <c r="AH3" i="1"/>
  <c r="AG55" i="1"/>
  <c r="AG54" i="1"/>
  <c r="AG53" i="1"/>
  <c r="AG52" i="1"/>
  <c r="AO53" i="1"/>
  <c r="AO52" i="1"/>
  <c r="AI52" i="1"/>
  <c r="AL54" i="1"/>
  <c r="AL53" i="1"/>
  <c r="AL52" i="1"/>
  <c r="AI54" i="1"/>
  <c r="AI53" i="1"/>
  <c r="AF53" i="1"/>
  <c r="AF52" i="1"/>
  <c r="AC4" i="1"/>
  <c r="AD4" i="1" s="1"/>
  <c r="AC5" i="1"/>
  <c r="AD5" i="1" s="1"/>
  <c r="AC6" i="1"/>
  <c r="AD6" i="1" s="1"/>
  <c r="AC7" i="1"/>
  <c r="AD7" i="1" s="1"/>
  <c r="AC8" i="1"/>
  <c r="AD8" i="1" s="1"/>
  <c r="AC9" i="1"/>
  <c r="AD9" i="1" s="1"/>
  <c r="AC10" i="1"/>
  <c r="AD10" i="1" s="1"/>
  <c r="AC11" i="1"/>
  <c r="AD11" i="1" s="1"/>
  <c r="AC12" i="1"/>
  <c r="AD12" i="1" s="1"/>
  <c r="AC13" i="1"/>
  <c r="AD13" i="1" s="1"/>
  <c r="AC14" i="1"/>
  <c r="AD14" i="1" s="1"/>
  <c r="AC15" i="1"/>
  <c r="AD15" i="1" s="1"/>
  <c r="AC16" i="1"/>
  <c r="AD16" i="1" s="1"/>
  <c r="AC17" i="1"/>
  <c r="AD17" i="1" s="1"/>
  <c r="AC18" i="1"/>
  <c r="AD18" i="1" s="1"/>
  <c r="AC19" i="1"/>
  <c r="AD19" i="1" s="1"/>
  <c r="AC20" i="1"/>
  <c r="AD20" i="1" s="1"/>
  <c r="AA3" i="1"/>
  <c r="AA4" i="1"/>
  <c r="AA5" i="1"/>
  <c r="AA6" i="1"/>
  <c r="AA7" i="1"/>
  <c r="AA8" i="1"/>
  <c r="AA9" i="1"/>
  <c r="AA10" i="1"/>
  <c r="AA11" i="1"/>
  <c r="AA12" i="1"/>
  <c r="AA13" i="1"/>
  <c r="AA14" i="1"/>
  <c r="AA15" i="1"/>
  <c r="AA16" i="1"/>
  <c r="AA17" i="1"/>
  <c r="AA18" i="1"/>
  <c r="AA19" i="1"/>
  <c r="AA20" i="1"/>
  <c r="Z3" i="1"/>
  <c r="Z4" i="1"/>
  <c r="Z5" i="1"/>
  <c r="Z6" i="1"/>
  <c r="Z7" i="1"/>
  <c r="Z8" i="1"/>
  <c r="Z9" i="1"/>
  <c r="Z10" i="1"/>
  <c r="Z11" i="1"/>
  <c r="Z12" i="1"/>
  <c r="Z13" i="1"/>
  <c r="Z14" i="1"/>
  <c r="Z15" i="1"/>
  <c r="Z16" i="1"/>
  <c r="Z17" i="1"/>
  <c r="Z18" i="1"/>
  <c r="Z19" i="1"/>
  <c r="Z20" i="1"/>
  <c r="AA2" i="1"/>
  <c r="AC3" i="1"/>
  <c r="AD3" i="1" s="1"/>
  <c r="AC2" i="1"/>
  <c r="AD2" i="1" s="1"/>
  <c r="Z2" i="1"/>
  <c r="T3" i="1" l="1"/>
  <c r="T18" i="1"/>
  <c r="T5" i="1"/>
  <c r="T14" i="1"/>
  <c r="T7" i="1"/>
  <c r="T16" i="1"/>
  <c r="T20" i="1"/>
  <c r="T13" i="1"/>
  <c r="T6" i="1"/>
  <c r="T8" i="1"/>
  <c r="T11" i="1"/>
  <c r="T15" i="1"/>
  <c r="T17" i="1"/>
  <c r="T19" i="1"/>
  <c r="T4" i="1"/>
  <c r="T10" i="1"/>
  <c r="T12" i="1"/>
  <c r="T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<sst xmlns="http://schemas.openxmlformats.org/spreadsheetml/2006/main" count="1598" uniqueCount="500">
  <si>
    <t>Churn</t>
  </si>
  <si>
    <t>AccountWeeks</t>
  </si>
  <si>
    <t>ContractRenewal</t>
  </si>
  <si>
    <t>DataPlan</t>
  </si>
  <si>
    <t>DataUsage</t>
  </si>
  <si>
    <t>CustServCalls</t>
  </si>
  <si>
    <t>DayMins</t>
  </si>
  <si>
    <t>DayCalls</t>
  </si>
  <si>
    <t>MonthlyCharge</t>
  </si>
  <si>
    <t>OverageFee</t>
  </si>
  <si>
    <t>RoamMins</t>
  </si>
  <si>
    <t>SQRT</t>
  </si>
  <si>
    <t>ROUND</t>
  </si>
  <si>
    <t>MIN</t>
  </si>
  <si>
    <t>MAX</t>
  </si>
  <si>
    <t>AVERAGE</t>
  </si>
  <si>
    <t>SUM</t>
  </si>
  <si>
    <t>MEDAIN</t>
  </si>
  <si>
    <t>RANK</t>
  </si>
  <si>
    <t>LEFT</t>
  </si>
  <si>
    <t>GENDER</t>
  </si>
  <si>
    <t>Female</t>
  </si>
  <si>
    <t>Male</t>
  </si>
  <si>
    <t>Right</t>
  </si>
  <si>
    <t>Length</t>
  </si>
  <si>
    <t>Date</t>
  </si>
  <si>
    <t>Year</t>
  </si>
  <si>
    <t>Month</t>
  </si>
  <si>
    <t>FIND</t>
  </si>
  <si>
    <t>A</t>
  </si>
  <si>
    <t>E</t>
  </si>
  <si>
    <t>P</t>
  </si>
  <si>
    <t>L</t>
  </si>
  <si>
    <t>APPLE</t>
  </si>
  <si>
    <t>REPLACE</t>
  </si>
  <si>
    <t>INPUT</t>
  </si>
  <si>
    <t>ABC-2026-011</t>
  </si>
  <si>
    <t>SUBSTITUTE</t>
  </si>
  <si>
    <t>MID</t>
  </si>
  <si>
    <t>SEARCH</t>
  </si>
  <si>
    <t>CONCAT</t>
  </si>
  <si>
    <t>MANGO</t>
  </si>
  <si>
    <t>EOMONTH</t>
  </si>
  <si>
    <t>NETWORK DAYS</t>
  </si>
  <si>
    <t>WEEKDAYS</t>
  </si>
  <si>
    <t>DAY</t>
  </si>
  <si>
    <t>INPUT2</t>
  </si>
  <si>
    <t>INPUT3</t>
  </si>
  <si>
    <t>PRODUCT</t>
  </si>
  <si>
    <t>MOD</t>
  </si>
  <si>
    <t>FACT</t>
  </si>
  <si>
    <t>ROUNDUP</t>
  </si>
  <si>
    <t>ROUNDDOWN</t>
  </si>
  <si>
    <t>DATE</t>
  </si>
  <si>
    <t>COLOR</t>
  </si>
  <si>
    <t>REGION</t>
  </si>
  <si>
    <t>VALUE</t>
  </si>
  <si>
    <t>MOUSE</t>
  </si>
  <si>
    <t>KEYBOARD</t>
  </si>
  <si>
    <t>RED</t>
  </si>
  <si>
    <t>BLUE</t>
  </si>
  <si>
    <t>YELLOW</t>
  </si>
  <si>
    <t>AP</t>
  </si>
  <si>
    <t>MH</t>
  </si>
  <si>
    <t>TOTAL</t>
  </si>
  <si>
    <t>RED+AP</t>
  </si>
  <si>
    <t>RED+AP+MOUSE</t>
  </si>
  <si>
    <t>AVG</t>
  </si>
  <si>
    <t>MATHEMATICAL FUNCTIONS</t>
  </si>
  <si>
    <t>VLOOKUP</t>
  </si>
  <si>
    <t>Employee_ID</t>
  </si>
  <si>
    <t>Name</t>
  </si>
  <si>
    <t>Age</t>
  </si>
  <si>
    <t>Gender</t>
  </si>
  <si>
    <t>Department</t>
  </si>
  <si>
    <t>Job_Role</t>
  </si>
  <si>
    <t>Salary</t>
  </si>
  <si>
    <t>Experience_Years</t>
  </si>
  <si>
    <t>Performance_Rating</t>
  </si>
  <si>
    <t>Location</t>
  </si>
  <si>
    <t>EMP001</t>
  </si>
  <si>
    <t>Rahul Sharma</t>
  </si>
  <si>
    <t>IT</t>
  </si>
  <si>
    <t>Data Analyst</t>
  </si>
  <si>
    <t>Hyderabad</t>
  </si>
  <si>
    <t>EMP002</t>
  </si>
  <si>
    <t>Priya Reddy</t>
  </si>
  <si>
    <t>HR</t>
  </si>
  <si>
    <t>HR Manager</t>
  </si>
  <si>
    <t>Bangalore</t>
  </si>
  <si>
    <t>EMP003</t>
  </si>
  <si>
    <t>Arjun Kumar</t>
  </si>
  <si>
    <t>Sales</t>
  </si>
  <si>
    <t>Sales Executive</t>
  </si>
  <si>
    <t>Chennai</t>
  </si>
  <si>
    <t>EMP004</t>
  </si>
  <si>
    <t>Sneha Patel</t>
  </si>
  <si>
    <t>Finance</t>
  </si>
  <si>
    <t>Financial Analyst</t>
  </si>
  <si>
    <t>Mumbai</t>
  </si>
  <si>
    <t>EMP005</t>
  </si>
  <si>
    <t>Vikram Singh</t>
  </si>
  <si>
    <t>Software Engineer</t>
  </si>
  <si>
    <t>Pune</t>
  </si>
  <si>
    <t>EMP006</t>
  </si>
  <si>
    <t>Ananya Rao</t>
  </si>
  <si>
    <t>Marketing</t>
  </si>
  <si>
    <t>Marketing Specialist</t>
  </si>
  <si>
    <t>EMP007</t>
  </si>
  <si>
    <t>Kiran Verma</t>
  </si>
  <si>
    <t>Operations</t>
  </si>
  <si>
    <t>Operations Manager</t>
  </si>
  <si>
    <t>Delhi</t>
  </si>
  <si>
    <t>EMP008</t>
  </si>
  <si>
    <t>Neha Gupta</t>
  </si>
  <si>
    <t>Data Engineer</t>
  </si>
  <si>
    <t>EMP009</t>
  </si>
  <si>
    <t>Rohit Mehta</t>
  </si>
  <si>
    <t>Sales Manager</t>
  </si>
  <si>
    <t>EMP010</t>
  </si>
  <si>
    <t>Pooja Nair</t>
  </si>
  <si>
    <t>Customer Support</t>
  </si>
  <si>
    <t>Support Executive</t>
  </si>
  <si>
    <t>Kochi</t>
  </si>
  <si>
    <t>HLOOKUP</t>
  </si>
  <si>
    <t>MATCH</t>
  </si>
  <si>
    <t>INDEX</t>
  </si>
  <si>
    <t>XLOOKUP</t>
  </si>
  <si>
    <t>Age status</t>
  </si>
  <si>
    <t>age_bins</t>
  </si>
  <si>
    <t>AND</t>
  </si>
  <si>
    <t>OR</t>
  </si>
  <si>
    <t>NOT</t>
  </si>
  <si>
    <t>ERROR</t>
  </si>
  <si>
    <t>XOR</t>
  </si>
  <si>
    <t>ISBLANK</t>
  </si>
  <si>
    <t>ISNUMBER</t>
  </si>
  <si>
    <t>STATISTICAL FUNCTIONS</t>
  </si>
  <si>
    <t>MEAN</t>
  </si>
  <si>
    <t>MODE</t>
  </si>
  <si>
    <t>MEDIAN</t>
  </si>
  <si>
    <t>STD DEVATION</t>
  </si>
  <si>
    <t>CORRELATION</t>
  </si>
  <si>
    <t>STD DEV.S</t>
  </si>
  <si>
    <t>VAR.S</t>
  </si>
  <si>
    <t>COUNT A</t>
  </si>
  <si>
    <t>COUNT BLANK</t>
  </si>
  <si>
    <t>COUNT IF</t>
  </si>
  <si>
    <t>COUNT IFS</t>
  </si>
  <si>
    <t>VARIANCE</t>
  </si>
  <si>
    <t>Column1</t>
  </si>
  <si>
    <t>Column2</t>
  </si>
  <si>
    <t>Column3</t>
  </si>
  <si>
    <t>Column4</t>
  </si>
  <si>
    <t>Column5</t>
  </si>
  <si>
    <t>Column6</t>
  </si>
  <si>
    <t>LOGICAL AND ERROR FUNCTIONS</t>
  </si>
  <si>
    <t>LOOKUP FUNCTIONS</t>
  </si>
  <si>
    <t>IMAGES IN EXCEL</t>
  </si>
  <si>
    <t>TEXT FUNCTIONS</t>
  </si>
  <si>
    <t>COMPANY</t>
  </si>
  <si>
    <t>LOGO</t>
  </si>
  <si>
    <t>SALES</t>
  </si>
  <si>
    <t>AMAZON</t>
  </si>
  <si>
    <t>NETFLIX</t>
  </si>
  <si>
    <t>GOOGLE</t>
  </si>
  <si>
    <t>Average</t>
  </si>
  <si>
    <t>0</t>
  </si>
  <si>
    <t>ID</t>
  </si>
  <si>
    <t>Employee Role</t>
  </si>
  <si>
    <t>Experience (Years)</t>
  </si>
  <si>
    <t>City</t>
  </si>
  <si>
    <t>Rahul Kumar</t>
  </si>
  <si>
    <t>Priya Singh</t>
  </si>
  <si>
    <t>HR Executive</t>
  </si>
  <si>
    <t>Arjun Reddy</t>
  </si>
  <si>
    <t>Bengaluru</t>
  </si>
  <si>
    <t>Accountant</t>
  </si>
  <si>
    <t>Kiran Rao</t>
  </si>
  <si>
    <t>Project Manager</t>
  </si>
  <si>
    <t>Anjali Devi</t>
  </si>
  <si>
    <t>Marketing Executive</t>
  </si>
  <si>
    <t>Vikas Sharma</t>
  </si>
  <si>
    <t>Team Lead</t>
  </si>
  <si>
    <t>Kolkata</t>
  </si>
  <si>
    <t>Meera Nair</t>
  </si>
  <si>
    <t>Business Analyst</t>
  </si>
  <si>
    <t>Business</t>
  </si>
  <si>
    <t>Ramesh Gupta</t>
  </si>
  <si>
    <t>General Manager</t>
  </si>
  <si>
    <t>Management</t>
  </si>
  <si>
    <t>Jaipur</t>
  </si>
  <si>
    <t>Pooja Verma</t>
  </si>
  <si>
    <t>UI/UX Designer</t>
  </si>
  <si>
    <t>Design</t>
  </si>
  <si>
    <t>Noida</t>
  </si>
  <si>
    <t>Sunil Kumar</t>
  </si>
  <si>
    <t>Network Engineer</t>
  </si>
  <si>
    <t>Vijayawada</t>
  </si>
  <si>
    <t>Kavya Reddy</t>
  </si>
  <si>
    <t>Content Writer</t>
  </si>
  <si>
    <t>Guntur</t>
  </si>
  <si>
    <t>Manoj Sharma</t>
  </si>
  <si>
    <t>Senior Developer</t>
  </si>
  <si>
    <t>Deepika Das</t>
  </si>
  <si>
    <t>Recruiter</t>
  </si>
  <si>
    <t>Bhubaneswar</t>
  </si>
  <si>
    <t>Akash Jain</t>
  </si>
  <si>
    <t>Indore</t>
  </si>
  <si>
    <t>Neha Kapoor</t>
  </si>
  <si>
    <t>Chandigarh</t>
  </si>
  <si>
    <t>Ravi Teja</t>
  </si>
  <si>
    <t>Junior Developer</t>
  </si>
  <si>
    <t>Visakhapatnam</t>
  </si>
  <si>
    <t>Shreya Gupta</t>
  </si>
  <si>
    <t>Lucknow</t>
  </si>
  <si>
    <t>Suresh Babu</t>
  </si>
  <si>
    <t>Branch Manager</t>
  </si>
  <si>
    <t>Tirupati</t>
  </si>
  <si>
    <t>Divya Sharma</t>
  </si>
  <si>
    <t>Graphic Designer</t>
  </si>
  <si>
    <t>Nagpur</t>
  </si>
  <si>
    <t>Subject1 Marks</t>
  </si>
  <si>
    <t>Subject2 Marks</t>
  </si>
  <si>
    <t>Fee</t>
  </si>
  <si>
    <t>Attendance (%)</t>
  </si>
  <si>
    <t>Time</t>
  </si>
  <si>
    <t>Profit</t>
  </si>
  <si>
    <t>Rahul</t>
  </si>
  <si>
    <t>Priya</t>
  </si>
  <si>
    <t>Arjun</t>
  </si>
  <si>
    <t>Sneha</t>
  </si>
  <si>
    <t>Kiran</t>
  </si>
  <si>
    <t>Divya</t>
  </si>
  <si>
    <t>Vikram</t>
  </si>
  <si>
    <t>Anjali</t>
  </si>
  <si>
    <t>Rohan</t>
  </si>
  <si>
    <t>Meena</t>
  </si>
  <si>
    <t>CHARTS IN EXCEL</t>
  </si>
  <si>
    <t>Maths</t>
  </si>
  <si>
    <t>Science</t>
  </si>
  <si>
    <t>English</t>
  </si>
  <si>
    <t>Performance</t>
  </si>
  <si>
    <t>Excellent</t>
  </si>
  <si>
    <t>Good</t>
  </si>
  <si>
    <t>Nellore</t>
  </si>
  <si>
    <t>Kakinada</t>
  </si>
  <si>
    <t>Ongole</t>
  </si>
  <si>
    <t>Rajahmundry</t>
  </si>
  <si>
    <t>0-10</t>
  </si>
  <si>
    <t>20-30</t>
  </si>
  <si>
    <t>CONDITIONAL FORMATTING</t>
  </si>
  <si>
    <t>CUSTOM FORMATTING</t>
  </si>
  <si>
    <t>STATISTICAL ANALYSIS</t>
  </si>
  <si>
    <t>Student ID</t>
  </si>
  <si>
    <t>Math Marks</t>
  </si>
  <si>
    <t>Science Marks</t>
  </si>
  <si>
    <t>English Marks</t>
  </si>
  <si>
    <t>Tenali</t>
  </si>
  <si>
    <t>Ramesh</t>
  </si>
  <si>
    <t>Anitha</t>
  </si>
  <si>
    <t>Suresh</t>
  </si>
  <si>
    <t>Kavya</t>
  </si>
  <si>
    <t>Anova: Two-Factor Without Replication</t>
  </si>
  <si>
    <t>SUMMARY</t>
  </si>
  <si>
    <t>Count</t>
  </si>
  <si>
    <t>Sum</t>
  </si>
  <si>
    <t>Variance</t>
  </si>
  <si>
    <t>Row 1</t>
  </si>
  <si>
    <t>Row 2</t>
  </si>
  <si>
    <t>Row 3</t>
  </si>
  <si>
    <t>Row 4</t>
  </si>
  <si>
    <t>Row 5</t>
  </si>
  <si>
    <t>Row 6</t>
  </si>
  <si>
    <t>Row 7</t>
  </si>
  <si>
    <t>Row 8</t>
  </si>
  <si>
    <t>Row 9</t>
  </si>
  <si>
    <t>Row 10</t>
  </si>
  <si>
    <t>Column 1</t>
  </si>
  <si>
    <t>Column 2</t>
  </si>
  <si>
    <t>Column 3</t>
  </si>
  <si>
    <t>ANOVA</t>
  </si>
  <si>
    <t>Source of Variation</t>
  </si>
  <si>
    <t>SS</t>
  </si>
  <si>
    <t>df</t>
  </si>
  <si>
    <t>MS</t>
  </si>
  <si>
    <t>F</t>
  </si>
  <si>
    <t>P-value</t>
  </si>
  <si>
    <t>F crit</t>
  </si>
  <si>
    <t>Rows</t>
  </si>
  <si>
    <t>Columns</t>
  </si>
  <si>
    <t>Error</t>
  </si>
  <si>
    <t>Total</t>
  </si>
  <si>
    <t>Anova: Single Factor</t>
  </si>
  <si>
    <t>Groups</t>
  </si>
  <si>
    <t>Between Groups</t>
  </si>
  <si>
    <t>Within Groups</t>
  </si>
  <si>
    <t>Anova: Two-Factor With Replication</t>
  </si>
  <si>
    <t>Sample</t>
  </si>
  <si>
    <t>Interaction</t>
  </si>
  <si>
    <t>Within</t>
  </si>
  <si>
    <t>correlation</t>
  </si>
  <si>
    <t>CO-VARIANCE</t>
  </si>
  <si>
    <t>Mean</t>
  </si>
  <si>
    <t>Standard Error</t>
  </si>
  <si>
    <t>Median</t>
  </si>
  <si>
    <t>Mode</t>
  </si>
  <si>
    <t>Standard Deviation</t>
  </si>
  <si>
    <t>Sample Variance</t>
  </si>
  <si>
    <t>Kurtosis</t>
  </si>
  <si>
    <t>Skewness</t>
  </si>
  <si>
    <t>Range</t>
  </si>
  <si>
    <t>Minimum</t>
  </si>
  <si>
    <t>Maximum</t>
  </si>
  <si>
    <t>Descriptive statistics</t>
  </si>
  <si>
    <t>Employee ID</t>
  </si>
  <si>
    <t>Experience</t>
  </si>
  <si>
    <t>Performance Score</t>
  </si>
  <si>
    <t>Q1 Sales</t>
  </si>
  <si>
    <t>Q2 Sales</t>
  </si>
  <si>
    <t>Q3 Sales</t>
  </si>
  <si>
    <t>HR Q1</t>
  </si>
  <si>
    <t>HR Q2</t>
  </si>
  <si>
    <t>HR Q3</t>
  </si>
  <si>
    <t>Sales Q1</t>
  </si>
  <si>
    <t>Sales Q2</t>
  </si>
  <si>
    <t>Sales Q3</t>
  </si>
  <si>
    <t>covariance</t>
  </si>
  <si>
    <t>F-Test Two-Sample for Variances</t>
  </si>
  <si>
    <t>Observations</t>
  </si>
  <si>
    <t>P(F&lt;=f) one-tail</t>
  </si>
  <si>
    <t>F Critical one-tail</t>
  </si>
  <si>
    <t>t-Test: Two-Sample Assuming Unequal Variances</t>
  </si>
  <si>
    <t>Hypothesized Mean Difference</t>
  </si>
  <si>
    <t>t Stat</t>
  </si>
  <si>
    <t>P(T&lt;=t) one-tail</t>
  </si>
  <si>
    <t>t Critical one-tail</t>
  </si>
  <si>
    <t>P(T&lt;=t) two-tail</t>
  </si>
  <si>
    <t>t Critical two-tail</t>
  </si>
  <si>
    <t>z-Test: Two Sample for Means</t>
  </si>
  <si>
    <t>Known Variance</t>
  </si>
  <si>
    <t>z</t>
  </si>
  <si>
    <t>P(Z&lt;=z) one-tail</t>
  </si>
  <si>
    <t>z Critical one-tail</t>
  </si>
  <si>
    <t>P(Z&lt;=z) two-tail</t>
  </si>
  <si>
    <t>z Critical two-tail</t>
  </si>
  <si>
    <t>Rohit</t>
  </si>
  <si>
    <t>Varun</t>
  </si>
  <si>
    <t>Pooja</t>
  </si>
  <si>
    <t>Row Labels</t>
  </si>
  <si>
    <t>Grand Total</t>
  </si>
  <si>
    <t>Sum of Age</t>
  </si>
  <si>
    <t>Sum of Salary</t>
  </si>
  <si>
    <t>age bins</t>
  </si>
  <si>
    <t>Count of ID</t>
  </si>
  <si>
    <t>20-25</t>
  </si>
  <si>
    <t>26-30</t>
  </si>
  <si>
    <t>31-35</t>
  </si>
  <si>
    <t>Emp ID</t>
  </si>
  <si>
    <t>Role</t>
  </si>
  <si>
    <t>Joining Year</t>
  </si>
  <si>
    <t>E001</t>
  </si>
  <si>
    <t>Developer</t>
  </si>
  <si>
    <t>E002</t>
  </si>
  <si>
    <t>E003</t>
  </si>
  <si>
    <t>Analyst</t>
  </si>
  <si>
    <t>E004</t>
  </si>
  <si>
    <t>Tester</t>
  </si>
  <si>
    <t>E005</t>
  </si>
  <si>
    <t>Manager</t>
  </si>
  <si>
    <t>E006</t>
  </si>
  <si>
    <t>Executive</t>
  </si>
  <si>
    <t>E007</t>
  </si>
  <si>
    <t>Sai</t>
  </si>
  <si>
    <t>E008</t>
  </si>
  <si>
    <t>E009</t>
  </si>
  <si>
    <t>Vikas</t>
  </si>
  <si>
    <t>E010</t>
  </si>
  <si>
    <t>E011</t>
  </si>
  <si>
    <t>E012</t>
  </si>
  <si>
    <t>E013</t>
  </si>
  <si>
    <t>Ajay</t>
  </si>
  <si>
    <t>E014</t>
  </si>
  <si>
    <t>E015</t>
  </si>
  <si>
    <t>Naveen</t>
  </si>
  <si>
    <t>E016</t>
  </si>
  <si>
    <t>Swathi</t>
  </si>
  <si>
    <t>E017</t>
  </si>
  <si>
    <t>E018</t>
  </si>
  <si>
    <t>Harika</t>
  </si>
  <si>
    <t>E019</t>
  </si>
  <si>
    <t>Teja</t>
  </si>
  <si>
    <t>E020</t>
  </si>
  <si>
    <t>Nisha</t>
  </si>
  <si>
    <t>Sum of Experience (Years)</t>
  </si>
  <si>
    <t>Count of Emp ID</t>
  </si>
  <si>
    <t>Column Labels</t>
  </si>
  <si>
    <t>Address</t>
  </si>
  <si>
    <t>Error checking</t>
  </si>
  <si>
    <t>Rahul kumar</t>
  </si>
  <si>
    <t>Priya mani</t>
  </si>
  <si>
    <t>Arjun Rao</t>
  </si>
  <si>
    <t>Sneha reddy</t>
  </si>
  <si>
    <t>Kiran kumar</t>
  </si>
  <si>
    <t>kumar</t>
  </si>
  <si>
    <t>First Name</t>
  </si>
  <si>
    <t>Second Name</t>
  </si>
  <si>
    <t>mani</t>
  </si>
  <si>
    <t>Nandavaram(v),Banaganapalle(m),Nandyal(D)</t>
  </si>
  <si>
    <t>Student Name</t>
  </si>
  <si>
    <t>Semester 1 Marks</t>
  </si>
  <si>
    <t>Semester 2 Marks</t>
  </si>
  <si>
    <t>Semester 3 Marks</t>
  </si>
  <si>
    <t>Semester 4 Marks</t>
  </si>
  <si>
    <t>Overall Score</t>
  </si>
  <si>
    <t>Priya Sharma</t>
  </si>
  <si>
    <t xml:space="preserve">Capstone </t>
  </si>
  <si>
    <t>What-If Analysis</t>
  </si>
  <si>
    <t>Input Marks</t>
  </si>
  <si>
    <t>Overall score</t>
  </si>
  <si>
    <t>$DE$39</t>
  </si>
  <si>
    <t>$DE$40</t>
  </si>
  <si>
    <t>$DE$41</t>
  </si>
  <si>
    <t>$DE$42</t>
  </si>
  <si>
    <t>$DE$43</t>
  </si>
  <si>
    <t>$DJ$39</t>
  </si>
  <si>
    <t>$DJ$40</t>
  </si>
  <si>
    <t>$DJ$41</t>
  </si>
  <si>
    <t>$DJ$42</t>
  </si>
  <si>
    <t>$DJ$43</t>
  </si>
  <si>
    <t>$DJ$44</t>
  </si>
  <si>
    <t>Best Case</t>
  </si>
  <si>
    <t>Created by 23691A32E1 on 08-06-2026</t>
  </si>
  <si>
    <t>Best Case 1</t>
  </si>
  <si>
    <t>Best Case 2</t>
  </si>
  <si>
    <t>Average Case</t>
  </si>
  <si>
    <t>Created by 23691A32E1 on 08-06-2026
Modified by 23691A32E1 on 08-06-2026</t>
  </si>
  <si>
    <t>Worse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</si>
  <si>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</si>
  <si>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</si>
  <si>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</si>
  <si>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</si>
  <si>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</si>
  <si>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</si>
  <si>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</si>
  <si>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Voucher Type</t>
  </si>
  <si>
    <t>Voucher NO</t>
  </si>
  <si>
    <t>State</t>
  </si>
  <si>
    <t>courses</t>
  </si>
  <si>
    <t>Quantity</t>
  </si>
  <si>
    <t>Lmp/345</t>
  </si>
  <si>
    <t>Lmp/346</t>
  </si>
  <si>
    <t>Lmp/347</t>
  </si>
  <si>
    <t>Andhra Pradesh</t>
  </si>
  <si>
    <t>Tamilnadu</t>
  </si>
  <si>
    <t>kerala</t>
  </si>
  <si>
    <t>Lmp/348</t>
  </si>
  <si>
    <t>Maharsatra</t>
  </si>
  <si>
    <t>MS-Office</t>
  </si>
  <si>
    <t>Tally Prime</t>
  </si>
  <si>
    <t>Ms Excel</t>
  </si>
  <si>
    <t>DA</t>
  </si>
  <si>
    <t>Course Name</t>
  </si>
  <si>
    <t>Sales ($)</t>
  </si>
  <si>
    <t>Python Basics</t>
  </si>
  <si>
    <t>Data Analytics</t>
  </si>
  <si>
    <t>Excel Advanced</t>
  </si>
  <si>
    <t>SQL Fundamentals</t>
  </si>
  <si>
    <t>Power BI</t>
  </si>
  <si>
    <t>Java Programming</t>
  </si>
  <si>
    <t>Web Development</t>
  </si>
  <si>
    <t>Machine Learning</t>
  </si>
  <si>
    <t>Digital Marketing</t>
  </si>
  <si>
    <t>Cloud Computing</t>
  </si>
  <si>
    <t>course Name</t>
  </si>
  <si>
    <t>sum</t>
  </si>
  <si>
    <t>V.TYPE</t>
  </si>
  <si>
    <t>V.NO</t>
  </si>
  <si>
    <t>STATE</t>
  </si>
  <si>
    <t>COURSES</t>
  </si>
  <si>
    <t>QUANTITY</t>
  </si>
  <si>
    <t>LMP/35</t>
  </si>
  <si>
    <t>LMP/36</t>
  </si>
  <si>
    <t>LMP/37</t>
  </si>
  <si>
    <t>LMP/38</t>
  </si>
  <si>
    <t>LMP/39</t>
  </si>
  <si>
    <t>LMP/40</t>
  </si>
  <si>
    <t>LMP/41</t>
  </si>
  <si>
    <t>LMP/42</t>
  </si>
  <si>
    <t>LMP/43</t>
  </si>
  <si>
    <t>LMP/44</t>
  </si>
  <si>
    <t>LMP/45</t>
  </si>
  <si>
    <t>TG</t>
  </si>
  <si>
    <t>TS</t>
  </si>
  <si>
    <t>PYTHON</t>
  </si>
  <si>
    <t>JAVA</t>
  </si>
  <si>
    <t>MPL</t>
  </si>
  <si>
    <t>Macros and Automation</t>
  </si>
  <si>
    <t>Absolute Reference Macros</t>
  </si>
  <si>
    <t>Relative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</si>
</sst>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quot;₹&quot;\ #,##0.00"/>
  </numFmts>
  <fonts count="4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24"/>
      <color rgb="FFFF0000"/>
      <name val="Algerian"/>
      <family val="5"/>
    </font>
    <font>
      <sz val="8"/>
      <name val="Calibri"/>
      <family val="2"/>
      <scheme val="minor"/>
    </font>
    <font>
      <sz val="28"/>
      <color rgb="FFFF0000"/>
      <name val="Algerian"/>
      <family val="5"/>
    </font>
    <font>
      <sz val="18"/>
      <color rgb="FFFF0000"/>
      <name val="Arial Black"/>
      <family val="2"/>
    </font>
    <font>
      <sz val="11"/>
      <color rgb="FFFF0000"/>
      <name val="Arial Black"/>
      <family val="2"/>
    </font>
    <font>
      <i/>
      <sz val="11"/>
      <color theme="1"/>
      <name val="Calibri"/>
      <family val="2"/>
      <scheme val="minor"/>
    </font>
    <font>
      <i/>
      <sz val="10"/>
      <color theme="1"/>
      <name val="Calibri"/>
      <family val="2"/>
      <scheme val="minor"/>
    </font>
    <font>
      <sz val="12"/>
      <color rgb="FFFF0000"/>
      <name val="Algerian"/>
      <family val="5"/>
    </font>
    <font>
      <sz val="14"/>
      <color rgb="FFFF0000"/>
      <name val="Algerian"/>
      <family val="5"/>
    </font>
    <font>
      <sz val="12"/>
      <color rgb="FFFF0000"/>
      <name val="Arial Black"/>
      <family val="2"/>
    </font>
    <font>
      <b/>
      <sz val="11"/>
      <color rgb="FFFF0000"/>
      <name val="Calibri"/>
      <family val="2"/>
      <scheme val="minor"/>
    </font>
    <font>
      <b/>
      <sz val="12"/>
      <color rgb="FFFF0000"/>
      <name val="Arial Black"/>
      <family val="2"/>
    </font>
    <font>
      <sz val="11"/>
      <color theme="8" tint="-0.499984740745262"/>
      <name val="Calibri"/>
      <family val="2"/>
      <scheme val="minor"/>
    </font>
    <font>
      <b/>
      <sz val="14"/>
      <color rgb="FFFF0000"/>
      <name val="Algerian"/>
      <family val="5"/>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1"/>
      <color theme="4"/>
      <name val="Arial Black"/>
      <family val="2"/>
    </font>
    <font>
      <b/>
      <sz val="12"/>
      <color theme="1"/>
      <name val="Calibri"/>
      <family val="2"/>
      <scheme val="minor"/>
    </font>
    <font>
      <b/>
      <sz val="12"/>
      <color theme="4"/>
      <name val="Calibri"/>
      <family val="2"/>
      <scheme val="minor"/>
    </font>
    <font>
      <sz val="12"/>
      <color theme="4"/>
      <name val="Arial Black"/>
      <family val="2"/>
    </font>
    <font>
      <b/>
      <sz val="12"/>
      <color theme="4"/>
      <name val="Arial Black"/>
      <family val="2"/>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AA9CDC"/>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57B7B"/>
        <bgColor indexed="64"/>
      </patternFill>
    </fill>
    <fill>
      <patternFill patternType="solid">
        <fgColor rgb="FF66FF66"/>
        <bgColor indexed="64"/>
      </patternFill>
    </fill>
    <fill>
      <patternFill patternType="solid">
        <fgColor rgb="FF99CCFF"/>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99FF99"/>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6"/>
        <bgColor indexed="64"/>
      </patternFill>
    </fill>
    <fill>
      <patternFill patternType="solid">
        <fgColor rgb="FFACD5D6"/>
        <bgColor indexed="64"/>
      </patternFill>
    </fill>
    <fill>
      <patternFill patternType="solid">
        <fgColor theme="0"/>
        <bgColor indexed="64"/>
      </patternFill>
    </fill>
    <fill>
      <patternFill patternType="solid">
        <fgColor rgb="FFFFC000"/>
        <bgColor indexed="64"/>
      </patternFill>
    </fill>
    <fill>
      <patternFill patternType="solid">
        <fgColor theme="7" tint="0.59999389629810485"/>
        <bgColor indexed="64"/>
      </patternFill>
    </fill>
    <fill>
      <patternFill patternType="solid">
        <fgColor rgb="FFCCFF99"/>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39994506668294322"/>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cellStyleXfs>
  <cellXfs count="295">
    <xf numFmtId="0" fontId="0" fillId="0" borderId="0" xfId="0"/>
    <xf numFmtId="14" fontId="0" fillId="0" borderId="0" xfId="0" applyNumberFormat="1"/>
    <xf numFmtId="0" fontId="18" fillId="0" borderId="0" xfId="0" applyFont="1" applyAlignment="1">
      <alignment horizontal="center" vertical="center" wrapText="1"/>
    </xf>
    <xf numFmtId="0" fontId="19" fillId="0" borderId="0" xfId="0" applyFont="1" applyAlignment="1">
      <alignment vertical="center" wrapText="1"/>
    </xf>
    <xf numFmtId="0" fontId="6" fillId="2" borderId="0" xfId="6"/>
    <xf numFmtId="0" fontId="20" fillId="0" borderId="0" xfId="0" applyFont="1"/>
    <xf numFmtId="0" fontId="22" fillId="0" borderId="0" xfId="0" applyFont="1"/>
    <xf numFmtId="3" fontId="0" fillId="0" borderId="0" xfId="0" applyNumberFormat="1"/>
    <xf numFmtId="0" fontId="0" fillId="34" borderId="10" xfId="0" applyFill="1" applyBorder="1"/>
    <xf numFmtId="0" fontId="0" fillId="37"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4" borderId="18" xfId="0" applyFill="1" applyBorder="1"/>
    <xf numFmtId="0" fontId="0" fillId="39" borderId="10" xfId="0" applyFill="1" applyBorder="1"/>
    <xf numFmtId="0" fontId="23" fillId="0" borderId="0" xfId="0" applyFont="1"/>
    <xf numFmtId="0" fontId="0" fillId="37" borderId="12" xfId="0" applyFill="1" applyBorder="1"/>
    <xf numFmtId="0" fontId="0" fillId="0" borderId="22" xfId="0" applyBorder="1"/>
    <xf numFmtId="0" fontId="0" fillId="37" borderId="23" xfId="0" applyFill="1" applyBorder="1"/>
    <xf numFmtId="0" fontId="0" fillId="37" borderId="24" xfId="0" applyFill="1" applyBorder="1"/>
    <xf numFmtId="0" fontId="0" fillId="37" borderId="25" xfId="0" applyFill="1" applyBorder="1"/>
    <xf numFmtId="0" fontId="0" fillId="34" borderId="26" xfId="0" applyFill="1" applyBorder="1"/>
    <xf numFmtId="0" fontId="0" fillId="34" borderId="27" xfId="0" applyFill="1" applyBorder="1"/>
    <xf numFmtId="0" fontId="0" fillId="34" borderId="28" xfId="0" applyFill="1" applyBorder="1"/>
    <xf numFmtId="0" fontId="0" fillId="34" borderId="29" xfId="0" applyFill="1" applyBorder="1"/>
    <xf numFmtId="0" fontId="0" fillId="34" borderId="30" xfId="0" applyFill="1" applyBorder="1"/>
    <xf numFmtId="0" fontId="0" fillId="33" borderId="23" xfId="0" applyFill="1" applyBorder="1"/>
    <xf numFmtId="0" fontId="0" fillId="33" borderId="24" xfId="0" applyFill="1" applyBorder="1"/>
    <xf numFmtId="0" fontId="0" fillId="33" borderId="25" xfId="0" applyFill="1" applyBorder="1"/>
    <xf numFmtId="0" fontId="0" fillId="37" borderId="11" xfId="0" applyFill="1" applyBorder="1"/>
    <xf numFmtId="0" fontId="0" fillId="37" borderId="13" xfId="0" applyFill="1" applyBorder="1"/>
    <xf numFmtId="0" fontId="0" fillId="41" borderId="14" xfId="0" applyFill="1" applyBorder="1"/>
    <xf numFmtId="0" fontId="0" fillId="41" borderId="10" xfId="0" applyFill="1" applyBorder="1"/>
    <xf numFmtId="0" fontId="0" fillId="41" borderId="15" xfId="0" applyFill="1" applyBorder="1"/>
    <xf numFmtId="0" fontId="0" fillId="41" borderId="16" xfId="0" applyFill="1" applyBorder="1"/>
    <xf numFmtId="0" fontId="0" fillId="41" borderId="17" xfId="0" applyFill="1" applyBorder="1"/>
    <xf numFmtId="0" fontId="0" fillId="41" borderId="18" xfId="0" applyFill="1" applyBorder="1"/>
    <xf numFmtId="0" fontId="0" fillId="42" borderId="10" xfId="0" applyFill="1" applyBorder="1"/>
    <xf numFmtId="0" fontId="16" fillId="43" borderId="10" xfId="0" applyFont="1" applyFill="1" applyBorder="1" applyAlignment="1">
      <alignment horizontal="center"/>
    </xf>
    <xf numFmtId="0" fontId="0" fillId="44" borderId="10" xfId="0" applyFill="1" applyBorder="1"/>
    <xf numFmtId="0" fontId="0" fillId="45" borderId="14" xfId="0" applyFill="1" applyBorder="1"/>
    <xf numFmtId="0" fontId="0" fillId="45" borderId="10" xfId="0" applyFill="1" applyBorder="1"/>
    <xf numFmtId="0" fontId="0" fillId="45" borderId="15" xfId="0" applyFill="1" applyBorder="1"/>
    <xf numFmtId="0" fontId="0" fillId="45" borderId="16" xfId="0" applyFill="1" applyBorder="1"/>
    <xf numFmtId="0" fontId="0" fillId="45" borderId="17" xfId="0" applyFill="1" applyBorder="1"/>
    <xf numFmtId="0" fontId="0" fillId="45" borderId="18" xfId="0" applyFill="1" applyBorder="1"/>
    <xf numFmtId="0" fontId="0" fillId="46" borderId="26" xfId="0" applyFill="1" applyBorder="1"/>
    <xf numFmtId="0" fontId="0" fillId="46" borderId="10" xfId="0" applyFill="1" applyBorder="1"/>
    <xf numFmtId="0" fontId="0" fillId="46" borderId="27" xfId="0" applyFill="1" applyBorder="1"/>
    <xf numFmtId="0" fontId="0" fillId="46" borderId="28" xfId="0" applyFill="1" applyBorder="1"/>
    <xf numFmtId="0" fontId="0" fillId="46" borderId="29" xfId="0" applyFill="1" applyBorder="1"/>
    <xf numFmtId="0" fontId="0" fillId="46" borderId="30" xfId="0" applyFill="1" applyBorder="1"/>
    <xf numFmtId="0" fontId="0" fillId="35" borderId="10" xfId="0" applyFill="1" applyBorder="1" applyAlignment="1">
      <alignment vertical="center" wrapText="1"/>
    </xf>
    <xf numFmtId="0" fontId="16" fillId="36" borderId="10" xfId="0" applyFont="1" applyFill="1" applyBorder="1" applyAlignment="1">
      <alignment horizontal="center" vertical="center" wrapText="1"/>
    </xf>
    <xf numFmtId="0" fontId="0" fillId="48" borderId="10" xfId="0" applyFill="1" applyBorder="1" applyAlignment="1">
      <alignment vertical="center" wrapText="1"/>
    </xf>
    <xf numFmtId="18" fontId="0" fillId="48" borderId="10" xfId="0" applyNumberFormat="1" applyFill="1" applyBorder="1" applyAlignment="1">
      <alignment vertical="center" wrapText="1"/>
    </xf>
    <xf numFmtId="0" fontId="0" fillId="35" borderId="10" xfId="0" applyFill="1" applyBorder="1" applyAlignment="1">
      <alignment vertical="center"/>
    </xf>
    <xf numFmtId="0" fontId="0" fillId="0" borderId="0" xfId="0" pivotButton="1"/>
    <xf numFmtId="14" fontId="19" fillId="0" borderId="0" xfId="0" applyNumberFormat="1" applyFont="1" applyAlignment="1">
      <alignment vertical="center" wrapText="1"/>
    </xf>
    <xf numFmtId="164" fontId="19" fillId="0" borderId="0" xfId="0" applyNumberFormat="1" applyFont="1" applyAlignment="1">
      <alignment vertical="center" wrapText="1"/>
    </xf>
    <xf numFmtId="44" fontId="19" fillId="0" borderId="0" xfId="42" applyFont="1" applyAlignment="1">
      <alignment vertical="center" wrapText="1"/>
    </xf>
    <xf numFmtId="9" fontId="18" fillId="0" borderId="0" xfId="43" applyFont="1" applyAlignment="1">
      <alignment horizontal="center" vertical="center"/>
    </xf>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6" fillId="36" borderId="12" xfId="0" applyFont="1" applyFill="1" applyBorder="1" applyAlignment="1">
      <alignment horizontal="center" vertical="center" wrapText="1"/>
    </xf>
    <xf numFmtId="0" fontId="0" fillId="50" borderId="10" xfId="0" applyFill="1" applyBorder="1" applyAlignment="1">
      <alignment vertical="center" wrapText="1"/>
    </xf>
    <xf numFmtId="0" fontId="16" fillId="49" borderId="10" xfId="0" applyFont="1" applyFill="1" applyBorder="1" applyAlignment="1">
      <alignment horizontal="center" vertical="center" wrapText="1"/>
    </xf>
    <xf numFmtId="0" fontId="25" fillId="0" borderId="0" xfId="0" applyFont="1" applyAlignment="1">
      <alignment horizontal="center"/>
    </xf>
    <xf numFmtId="0" fontId="25" fillId="0" borderId="10" xfId="0" applyFont="1" applyBorder="1" applyAlignment="1">
      <alignment horizontal="center"/>
    </xf>
    <xf numFmtId="0" fontId="0" fillId="0" borderId="10" xfId="0" applyBorder="1"/>
    <xf numFmtId="0" fontId="25" fillId="0" borderId="23" xfId="0" applyFont="1" applyBorder="1" applyAlignment="1">
      <alignment horizontal="center"/>
    </xf>
    <xf numFmtId="0" fontId="25" fillId="0" borderId="24" xfId="0" applyFont="1" applyBorder="1" applyAlignment="1">
      <alignment horizontal="center"/>
    </xf>
    <xf numFmtId="0" fontId="25" fillId="0" borderId="25" xfId="0" applyFont="1" applyBorder="1" applyAlignment="1">
      <alignment horizont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26" fillId="0" borderId="10" xfId="0" applyFont="1" applyBorder="1" applyAlignment="1">
      <alignment horizontal="right"/>
    </xf>
    <xf numFmtId="0" fontId="0" fillId="0" borderId="23" xfId="0" applyBorder="1"/>
    <xf numFmtId="0" fontId="0" fillId="0" borderId="24" xfId="0" applyBorder="1"/>
    <xf numFmtId="0" fontId="0" fillId="0" borderId="25" xfId="0" applyBorder="1"/>
    <xf numFmtId="0" fontId="26" fillId="0" borderId="26" xfId="0" applyFont="1" applyBorder="1" applyAlignment="1">
      <alignment horizontal="right"/>
    </xf>
    <xf numFmtId="0" fontId="26" fillId="0" borderId="27" xfId="0" applyFont="1" applyBorder="1" applyAlignment="1">
      <alignment horizontal="right"/>
    </xf>
    <xf numFmtId="0" fontId="25" fillId="0" borderId="27" xfId="0" applyFont="1" applyBorder="1" applyAlignment="1">
      <alignment horizontal="center"/>
    </xf>
    <xf numFmtId="0" fontId="25" fillId="0" borderId="32" xfId="0" applyFont="1" applyBorder="1" applyAlignment="1">
      <alignment horizontal="center"/>
    </xf>
    <xf numFmtId="0" fontId="25" fillId="0" borderId="26" xfId="0" applyFont="1" applyBorder="1" applyAlignment="1">
      <alignment horizontal="center"/>
    </xf>
    <xf numFmtId="0" fontId="0" fillId="43" borderId="20" xfId="0" applyFill="1" applyBorder="1"/>
    <xf numFmtId="0" fontId="0" fillId="43" borderId="21" xfId="0" applyFill="1" applyBorder="1"/>
    <xf numFmtId="0" fontId="27" fillId="43" borderId="37" xfId="0" applyFont="1" applyFill="1" applyBorder="1"/>
    <xf numFmtId="0" fontId="0" fillId="43" borderId="22" xfId="0" applyFill="1" applyBorder="1"/>
    <xf numFmtId="0" fontId="27" fillId="43" borderId="38" xfId="0" applyFont="1" applyFill="1" applyBorder="1"/>
    <xf numFmtId="0" fontId="27" fillId="43" borderId="40" xfId="0" applyFont="1" applyFill="1" applyBorder="1"/>
    <xf numFmtId="0" fontId="25" fillId="0" borderId="42" xfId="0" applyFont="1" applyBorder="1" applyAlignment="1">
      <alignment horizontal="center"/>
    </xf>
    <xf numFmtId="0" fontId="0" fillId="0" borderId="41" xfId="0" applyBorder="1"/>
    <xf numFmtId="0" fontId="25" fillId="0" borderId="43" xfId="0" applyFont="1" applyBorder="1" applyAlignment="1">
      <alignment horizontal="center"/>
    </xf>
    <xf numFmtId="0" fontId="25" fillId="0" borderId="44" xfId="0" applyFont="1" applyBorder="1" applyAlignment="1">
      <alignment horizontal="center"/>
    </xf>
    <xf numFmtId="0" fontId="25" fillId="0" borderId="45" xfId="0" applyFont="1" applyBorder="1" applyAlignment="1">
      <alignment horizontal="center"/>
    </xf>
    <xf numFmtId="0" fontId="0" fillId="0" borderId="46" xfId="0" applyBorder="1"/>
    <xf numFmtId="0" fontId="0" fillId="0" borderId="47" xfId="0" applyBorder="1"/>
    <xf numFmtId="0" fontId="23" fillId="43" borderId="19" xfId="0" applyFont="1" applyFill="1" applyBorder="1"/>
    <xf numFmtId="0" fontId="0" fillId="42" borderId="10" xfId="0" applyFill="1" applyBorder="1" applyAlignment="1">
      <alignment horizontal="center" vertical="center" wrapText="1"/>
    </xf>
    <xf numFmtId="0" fontId="16" fillId="40" borderId="23" xfId="0" applyFont="1" applyFill="1" applyBorder="1" applyAlignment="1">
      <alignment horizontal="center" vertical="center" wrapText="1"/>
    </xf>
    <xf numFmtId="0" fontId="16" fillId="40" borderId="24" xfId="0" applyFont="1" applyFill="1" applyBorder="1" applyAlignment="1">
      <alignment horizontal="center" vertical="center" wrapText="1"/>
    </xf>
    <xf numFmtId="0" fontId="16" fillId="40" borderId="25" xfId="0" applyFont="1" applyFill="1" applyBorder="1" applyAlignment="1">
      <alignment horizontal="center" vertical="center" wrapText="1"/>
    </xf>
    <xf numFmtId="0" fontId="0" fillId="42" borderId="26" xfId="0" applyFill="1" applyBorder="1" applyAlignment="1">
      <alignment horizontal="center" vertical="center" wrapText="1"/>
    </xf>
    <xf numFmtId="0" fontId="0" fillId="42" borderId="27" xfId="0" applyFill="1" applyBorder="1" applyAlignment="1">
      <alignment horizontal="center" vertical="center" wrapText="1"/>
    </xf>
    <xf numFmtId="0" fontId="0" fillId="42" borderId="28" xfId="0" applyFill="1" applyBorder="1" applyAlignment="1">
      <alignment horizontal="center" vertical="center" wrapText="1"/>
    </xf>
    <xf numFmtId="0" fontId="0" fillId="42" borderId="29" xfId="0" applyFill="1" applyBorder="1" applyAlignment="1">
      <alignment horizontal="center" vertical="center" wrapText="1"/>
    </xf>
    <xf numFmtId="0" fontId="0" fillId="42" borderId="30" xfId="0" applyFill="1" applyBorder="1" applyAlignment="1">
      <alignment horizontal="center" vertical="center" wrapText="1"/>
    </xf>
    <xf numFmtId="0" fontId="23" fillId="41" borderId="37" xfId="0" applyFont="1" applyFill="1" applyBorder="1"/>
    <xf numFmtId="0" fontId="23" fillId="41" borderId="31" xfId="0" applyFont="1" applyFill="1" applyBorder="1"/>
    <xf numFmtId="0" fontId="24" fillId="41" borderId="22" xfId="0" applyFont="1" applyFill="1" applyBorder="1"/>
    <xf numFmtId="0" fontId="0" fillId="41" borderId="22" xfId="0" applyFill="1" applyBorder="1"/>
    <xf numFmtId="0" fontId="16" fillId="47" borderId="23" xfId="0" applyFont="1" applyFill="1" applyBorder="1" applyAlignment="1">
      <alignment horizontal="center" vertical="center" wrapText="1"/>
    </xf>
    <xf numFmtId="0" fontId="16" fillId="47" borderId="24" xfId="0" applyFont="1" applyFill="1" applyBorder="1" applyAlignment="1">
      <alignment horizontal="center" vertical="center" wrapText="1"/>
    </xf>
    <xf numFmtId="0" fontId="16" fillId="47" borderId="25" xfId="0" applyFont="1" applyFill="1" applyBorder="1" applyAlignment="1">
      <alignment horizontal="center" vertical="center" wrapText="1"/>
    </xf>
    <xf numFmtId="0" fontId="0" fillId="48" borderId="26" xfId="0" applyFill="1" applyBorder="1" applyAlignment="1">
      <alignment vertical="center" wrapText="1"/>
    </xf>
    <xf numFmtId="0" fontId="0" fillId="48" borderId="27" xfId="0" applyFill="1" applyBorder="1" applyAlignment="1">
      <alignment vertical="center" wrapText="1"/>
    </xf>
    <xf numFmtId="0" fontId="0" fillId="48" borderId="28" xfId="0" applyFill="1" applyBorder="1" applyAlignment="1">
      <alignment vertical="center" wrapText="1"/>
    </xf>
    <xf numFmtId="0" fontId="0" fillId="48" borderId="29" xfId="0" applyFill="1" applyBorder="1" applyAlignment="1">
      <alignment vertical="center" wrapText="1"/>
    </xf>
    <xf numFmtId="18" fontId="0" fillId="48" borderId="29" xfId="0" applyNumberFormat="1" applyFill="1" applyBorder="1" applyAlignment="1">
      <alignment vertical="center" wrapText="1"/>
    </xf>
    <xf numFmtId="0" fontId="0" fillId="48" borderId="30" xfId="0" applyFill="1" applyBorder="1" applyAlignment="1">
      <alignment vertical="center" wrapText="1"/>
    </xf>
    <xf numFmtId="0" fontId="0" fillId="39" borderId="12" xfId="0" applyFill="1" applyBorder="1"/>
    <xf numFmtId="0" fontId="0" fillId="39" borderId="50" xfId="0" applyFill="1" applyBorder="1"/>
    <xf numFmtId="3" fontId="0" fillId="39" borderId="41" xfId="0" applyNumberFormat="1" applyFill="1" applyBorder="1"/>
    <xf numFmtId="0" fontId="0" fillId="39" borderId="26" xfId="0" applyFill="1" applyBorder="1"/>
    <xf numFmtId="3" fontId="0" fillId="39" borderId="27" xfId="0" applyNumberFormat="1" applyFill="1" applyBorder="1"/>
    <xf numFmtId="0" fontId="0" fillId="39" borderId="28" xfId="0" applyFill="1" applyBorder="1"/>
    <xf numFmtId="0" fontId="0" fillId="39" borderId="29" xfId="0" applyFill="1" applyBorder="1"/>
    <xf numFmtId="3" fontId="0" fillId="39" borderId="30" xfId="0" applyNumberFormat="1" applyFill="1" applyBorder="1"/>
    <xf numFmtId="0" fontId="1" fillId="38" borderId="43" xfId="6" applyFont="1" applyFill="1" applyBorder="1"/>
    <xf numFmtId="0" fontId="1" fillId="38" borderId="44" xfId="6" applyFont="1" applyFill="1" applyBorder="1"/>
    <xf numFmtId="0" fontId="1" fillId="38" borderId="45" xfId="6" applyFont="1" applyFill="1" applyBorder="1"/>
    <xf numFmtId="0" fontId="25" fillId="0" borderId="39" xfId="0" applyFont="1" applyBorder="1" applyAlignment="1">
      <alignment horizontal="center"/>
    </xf>
    <xf numFmtId="0" fontId="0" fillId="0" borderId="38" xfId="0" applyBorder="1"/>
    <xf numFmtId="0" fontId="25" fillId="0" borderId="48" xfId="0" applyFont="1" applyBorder="1" applyAlignment="1">
      <alignment horizontal="center"/>
    </xf>
    <xf numFmtId="0" fontId="25" fillId="0" borderId="49" xfId="0" applyFont="1" applyBorder="1" applyAlignment="1">
      <alignment horizontal="center"/>
    </xf>
    <xf numFmtId="0" fontId="29" fillId="42" borderId="40" xfId="0" applyFont="1" applyFill="1" applyBorder="1"/>
    <xf numFmtId="0" fontId="29" fillId="42" borderId="19" xfId="0" applyFont="1" applyFill="1" applyBorder="1"/>
    <xf numFmtId="0" fontId="0" fillId="42" borderId="21" xfId="0" applyFill="1" applyBorder="1"/>
    <xf numFmtId="0" fontId="0" fillId="0" borderId="12" xfId="0" applyBorder="1"/>
    <xf numFmtId="0" fontId="25" fillId="0" borderId="19" xfId="0" applyFont="1" applyBorder="1" applyAlignment="1">
      <alignment horizontal="center"/>
    </xf>
    <xf numFmtId="0" fontId="25" fillId="0" borderId="20" xfId="0" applyFont="1" applyBorder="1" applyAlignment="1">
      <alignment horizontal="center"/>
    </xf>
    <xf numFmtId="0" fontId="25" fillId="0" borderId="21" xfId="0" applyFont="1" applyBorder="1" applyAlignment="1">
      <alignment horizontal="center"/>
    </xf>
    <xf numFmtId="0" fontId="0" fillId="42" borderId="20" xfId="0" applyFill="1" applyBorder="1"/>
    <xf numFmtId="0" fontId="29" fillId="42" borderId="38" xfId="0" applyFont="1" applyFill="1" applyBorder="1"/>
    <xf numFmtId="0" fontId="0" fillId="0" borderId="10" xfId="0" applyBorder="1" applyAlignment="1">
      <alignment vertical="center" wrapText="1"/>
    </xf>
    <xf numFmtId="0" fontId="30" fillId="42" borderId="10" xfId="0" applyFont="1" applyFill="1" applyBorder="1" applyAlignment="1">
      <alignment horizontal="center" vertical="center" wrapText="1"/>
    </xf>
    <xf numFmtId="0" fontId="30" fillId="42" borderId="26" xfId="0" applyFont="1" applyFill="1" applyBorder="1" applyAlignment="1">
      <alignment horizontal="center" vertical="center" wrapText="1"/>
    </xf>
    <xf numFmtId="0" fontId="0" fillId="0" borderId="26" xfId="0" applyBorder="1" applyAlignment="1">
      <alignment vertical="center" wrapText="1"/>
    </xf>
    <xf numFmtId="0" fontId="0" fillId="51" borderId="0" xfId="0" applyFill="1"/>
    <xf numFmtId="0" fontId="0" fillId="51" borderId="10" xfId="0" applyFill="1" applyBorder="1"/>
    <xf numFmtId="0" fontId="29" fillId="51" borderId="10" xfId="0" applyFont="1" applyFill="1" applyBorder="1"/>
    <xf numFmtId="0" fontId="30" fillId="51" borderId="10" xfId="0" applyFont="1" applyFill="1" applyBorder="1" applyAlignment="1">
      <alignment horizontal="center" vertical="center" wrapText="1"/>
    </xf>
    <xf numFmtId="0" fontId="0" fillId="51" borderId="10" xfId="0" applyFill="1" applyBorder="1" applyAlignment="1">
      <alignment vertical="center" wrapText="1"/>
    </xf>
    <xf numFmtId="0" fontId="25" fillId="51" borderId="10" xfId="0" applyFont="1" applyFill="1" applyBorder="1" applyAlignment="1">
      <alignment horizontal="center"/>
    </xf>
    <xf numFmtId="0" fontId="14" fillId="51" borderId="10" xfId="0" applyFont="1" applyFill="1" applyBorder="1"/>
    <xf numFmtId="0" fontId="26" fillId="51" borderId="10" xfId="0" applyFont="1" applyFill="1" applyBorder="1" applyAlignment="1">
      <alignment horizontal="right"/>
    </xf>
    <xf numFmtId="0" fontId="29" fillId="52" borderId="19" xfId="0" applyFont="1" applyFill="1" applyBorder="1"/>
    <xf numFmtId="0" fontId="14" fillId="52" borderId="20" xfId="0" applyFont="1" applyFill="1" applyBorder="1"/>
    <xf numFmtId="0" fontId="14" fillId="52" borderId="21" xfId="0" applyFont="1" applyFill="1" applyBorder="1"/>
    <xf numFmtId="0" fontId="0" fillId="52" borderId="21" xfId="0" applyFill="1" applyBorder="1"/>
    <xf numFmtId="0" fontId="30" fillId="50" borderId="19" xfId="0" applyFont="1" applyFill="1" applyBorder="1"/>
    <xf numFmtId="0" fontId="16" fillId="50" borderId="21" xfId="0" applyFont="1" applyFill="1" applyBorder="1"/>
    <xf numFmtId="0" fontId="31" fillId="53" borderId="21" xfId="0" applyFont="1" applyFill="1" applyBorder="1"/>
    <xf numFmtId="0" fontId="31" fillId="51" borderId="0" xfId="0" applyFont="1" applyFill="1"/>
    <xf numFmtId="0" fontId="31" fillId="53" borderId="19" xfId="0" applyFont="1" applyFill="1" applyBorder="1"/>
    <xf numFmtId="0" fontId="0" fillId="53" borderId="21" xfId="0" applyFill="1" applyBorder="1"/>
    <xf numFmtId="0" fontId="31" fillId="54" borderId="19" xfId="0" applyFont="1" applyFill="1" applyBorder="1"/>
    <xf numFmtId="0" fontId="31" fillId="54" borderId="20" xfId="0" applyFont="1" applyFill="1" applyBorder="1"/>
    <xf numFmtId="0" fontId="31" fillId="54" borderId="38" xfId="0" applyFont="1" applyFill="1" applyBorder="1"/>
    <xf numFmtId="0" fontId="0" fillId="0" borderId="51" xfId="0" applyBorder="1"/>
    <xf numFmtId="0" fontId="0" fillId="0" borderId="0" xfId="0" applyAlignment="1">
      <alignment horizontal="left"/>
    </xf>
    <xf numFmtId="0" fontId="0" fillId="0" borderId="31" xfId="0" pivotButton="1" applyBorder="1"/>
    <xf numFmtId="0" fontId="0" fillId="0" borderId="35" xfId="0" pivotButton="1" applyBorder="1"/>
    <xf numFmtId="0" fontId="0" fillId="0" borderId="35" xfId="0" applyBorder="1" applyAlignment="1">
      <alignment horizontal="left"/>
    </xf>
    <xf numFmtId="0" fontId="0" fillId="0" borderId="37" xfId="0" pivotButton="1" applyBorder="1"/>
    <xf numFmtId="0" fontId="0" fillId="0" borderId="36" xfId="0" applyBorder="1" applyAlignment="1">
      <alignment horizontal="left"/>
    </xf>
    <xf numFmtId="0" fontId="0" fillId="0" borderId="35" xfId="0" applyBorder="1" applyAlignment="1">
      <alignment horizontal="left" indent="1"/>
    </xf>
    <xf numFmtId="0" fontId="0" fillId="0" borderId="28" xfId="0" applyBorder="1" applyAlignment="1">
      <alignment vertical="center" wrapText="1"/>
    </xf>
    <xf numFmtId="0" fontId="0" fillId="0" borderId="29" xfId="0" applyBorder="1" applyAlignment="1">
      <alignment vertical="center" wrapText="1"/>
    </xf>
    <xf numFmtId="0" fontId="0" fillId="0" borderId="15" xfId="0" applyBorder="1"/>
    <xf numFmtId="0" fontId="0" fillId="51" borderId="15" xfId="0" applyFill="1" applyBorder="1" applyAlignment="1">
      <alignment vertical="center" wrapText="1"/>
    </xf>
    <xf numFmtId="0" fontId="0" fillId="51" borderId="15" xfId="0" applyFill="1" applyBorder="1"/>
    <xf numFmtId="0" fontId="0" fillId="51" borderId="14" xfId="0" applyFill="1" applyBorder="1"/>
    <xf numFmtId="0" fontId="0" fillId="51" borderId="17" xfId="0" applyFill="1" applyBorder="1" applyAlignment="1">
      <alignment vertical="center" wrapText="1"/>
    </xf>
    <xf numFmtId="0" fontId="0" fillId="51" borderId="17" xfId="0" applyFill="1" applyBorder="1"/>
    <xf numFmtId="0" fontId="0" fillId="0" borderId="27" xfId="0" applyBorder="1" applyAlignment="1">
      <alignment vertical="center" wrapText="1"/>
    </xf>
    <xf numFmtId="0" fontId="0" fillId="0" borderId="30" xfId="0" applyBorder="1" applyAlignment="1">
      <alignment vertical="center" wrapText="1"/>
    </xf>
    <xf numFmtId="0" fontId="0" fillId="0" borderId="50" xfId="0" applyBorder="1" applyAlignment="1">
      <alignment vertical="center" wrapText="1"/>
    </xf>
    <xf numFmtId="0" fontId="0" fillId="0" borderId="12" xfId="0" applyBorder="1" applyAlignment="1">
      <alignment vertical="center" wrapText="1"/>
    </xf>
    <xf numFmtId="0" fontId="0" fillId="0" borderId="41" xfId="0" applyBorder="1" applyAlignment="1">
      <alignment vertical="center" wrapText="1"/>
    </xf>
    <xf numFmtId="0" fontId="30" fillId="42" borderId="43" xfId="0" applyFont="1" applyFill="1" applyBorder="1" applyAlignment="1">
      <alignment horizontal="center" vertical="center" wrapText="1"/>
    </xf>
    <xf numFmtId="0" fontId="30" fillId="42" borderId="44" xfId="0" applyFont="1" applyFill="1" applyBorder="1" applyAlignment="1">
      <alignment horizontal="center" vertical="center" wrapText="1"/>
    </xf>
    <xf numFmtId="0" fontId="30" fillId="42" borderId="45" xfId="0" applyFont="1" applyFill="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45" xfId="0" applyFont="1" applyBorder="1" applyAlignment="1">
      <alignment horizontal="center" vertical="center" wrapText="1"/>
    </xf>
    <xf numFmtId="0" fontId="0" fillId="0" borderId="53" xfId="0" applyBorder="1"/>
    <xf numFmtId="0" fontId="0" fillId="0" borderId="52" xfId="0" applyBorder="1"/>
    <xf numFmtId="0" fontId="0" fillId="0" borderId="52" xfId="0" applyBorder="1" applyAlignment="1">
      <alignment horizontal="left"/>
    </xf>
    <xf numFmtId="0" fontId="0" fillId="0" borderId="38" xfId="0" pivotButton="1" applyBorder="1"/>
    <xf numFmtId="0" fontId="0" fillId="0" borderId="40" xfId="0" applyBorder="1"/>
    <xf numFmtId="0" fontId="0" fillId="0" borderId="38" xfId="0" applyBorder="1" applyAlignment="1">
      <alignment horizontal="left"/>
    </xf>
    <xf numFmtId="0" fontId="0" fillId="0" borderId="53" xfId="0" applyBorder="1" applyAlignment="1">
      <alignment horizontal="left"/>
    </xf>
    <xf numFmtId="0" fontId="0" fillId="0" borderId="40" xfId="0" applyBorder="1" applyAlignment="1">
      <alignment horizontal="left"/>
    </xf>
    <xf numFmtId="0" fontId="25" fillId="0" borderId="35" xfId="0" applyFont="1" applyBorder="1"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165" fontId="0" fillId="0" borderId="0" xfId="0" applyNumberFormat="1"/>
    <xf numFmtId="0" fontId="0" fillId="0" borderId="0" xfId="0" applyAlignment="1">
      <alignment horizontal="left" vertical="center" wrapText="1"/>
    </xf>
    <xf numFmtId="0" fontId="0" fillId="0" borderId="0" xfId="0" applyAlignment="1">
      <alignment wrapText="1"/>
    </xf>
    <xf numFmtId="0" fontId="14" fillId="0" borderId="0" xfId="0" applyFont="1"/>
    <xf numFmtId="0" fontId="34" fillId="56" borderId="54" xfId="0" applyFont="1" applyFill="1" applyBorder="1" applyAlignment="1">
      <alignment horizontal="left"/>
    </xf>
    <xf numFmtId="0" fontId="34" fillId="56" borderId="31" xfId="0" applyFont="1" applyFill="1" applyBorder="1" applyAlignment="1">
      <alignment horizontal="left"/>
    </xf>
    <xf numFmtId="0" fontId="0" fillId="0" borderId="55" xfId="0" applyBorder="1"/>
    <xf numFmtId="0" fontId="35" fillId="57" borderId="0" xfId="0" applyFont="1" applyFill="1" applyAlignment="1">
      <alignment horizontal="left"/>
    </xf>
    <xf numFmtId="0" fontId="36" fillId="57" borderId="55" xfId="0" applyFont="1" applyFill="1" applyBorder="1" applyAlignment="1">
      <alignment horizontal="left"/>
    </xf>
    <xf numFmtId="0" fontId="35" fillId="57" borderId="33" xfId="0" applyFont="1" applyFill="1" applyBorder="1" applyAlignment="1">
      <alignment horizontal="left"/>
    </xf>
    <xf numFmtId="0" fontId="37" fillId="56" borderId="31" xfId="0" applyFont="1" applyFill="1" applyBorder="1" applyAlignment="1">
      <alignment horizontal="right"/>
    </xf>
    <xf numFmtId="0" fontId="37" fillId="56" borderId="54" xfId="0" applyFont="1" applyFill="1" applyBorder="1" applyAlignment="1">
      <alignment horizontal="right"/>
    </xf>
    <xf numFmtId="0" fontId="0" fillId="58" borderId="0" xfId="0" applyFill="1"/>
    <xf numFmtId="0" fontId="38" fillId="0" borderId="0" xfId="0" applyFont="1" applyAlignment="1">
      <alignment vertical="top" wrapText="1"/>
    </xf>
    <xf numFmtId="0" fontId="39" fillId="59" borderId="23" xfId="0" applyFont="1" applyFill="1" applyBorder="1" applyAlignment="1">
      <alignment vertical="center" wrapText="1"/>
    </xf>
    <xf numFmtId="0" fontId="39" fillId="59" borderId="24" xfId="0" applyFont="1" applyFill="1" applyBorder="1"/>
    <xf numFmtId="14" fontId="0" fillId="0" borderId="26" xfId="0" applyNumberFormat="1" applyBorder="1"/>
    <xf numFmtId="0" fontId="41" fillId="48" borderId="23" xfId="0" applyFont="1" applyFill="1" applyBorder="1"/>
    <xf numFmtId="0" fontId="41" fillId="48" borderId="24" xfId="0" applyFont="1" applyFill="1" applyBorder="1"/>
    <xf numFmtId="0" fontId="41" fillId="48" borderId="25" xfId="0" applyFont="1" applyFill="1" applyBorder="1"/>
    <xf numFmtId="0" fontId="0" fillId="50" borderId="26" xfId="0" applyFill="1" applyBorder="1"/>
    <xf numFmtId="0" fontId="0" fillId="50" borderId="10" xfId="0" applyFill="1" applyBorder="1"/>
    <xf numFmtId="0" fontId="0" fillId="50" borderId="27" xfId="0" applyFill="1" applyBorder="1"/>
    <xf numFmtId="0" fontId="0" fillId="50" borderId="28" xfId="0" applyFill="1" applyBorder="1"/>
    <xf numFmtId="0" fontId="0" fillId="50" borderId="29" xfId="0" applyFill="1" applyBorder="1"/>
    <xf numFmtId="0" fontId="0" fillId="50" borderId="30" xfId="0" applyFill="1" applyBorder="1"/>
    <xf numFmtId="0" fontId="16" fillId="50" borderId="10" xfId="0" applyFont="1" applyFill="1" applyBorder="1"/>
    <xf numFmtId="0" fontId="40" fillId="0" borderId="0" xfId="0" applyFont="1"/>
    <xf numFmtId="0" fontId="42" fillId="0" borderId="31" xfId="0" applyFont="1" applyBorder="1"/>
    <xf numFmtId="0" fontId="43" fillId="0" borderId="38" xfId="0" applyFont="1" applyBorder="1"/>
    <xf numFmtId="0" fontId="0" fillId="50" borderId="50" xfId="0" applyFill="1" applyBorder="1"/>
    <xf numFmtId="0" fontId="0" fillId="50" borderId="12" xfId="0" applyFill="1" applyBorder="1"/>
    <xf numFmtId="0" fontId="0" fillId="50" borderId="41" xfId="0" applyFill="1" applyBorder="1"/>
    <xf numFmtId="0" fontId="41" fillId="48" borderId="43" xfId="0" applyFont="1" applyFill="1" applyBorder="1"/>
    <xf numFmtId="0" fontId="41" fillId="48" borderId="44" xfId="0" applyFont="1" applyFill="1" applyBorder="1"/>
    <xf numFmtId="0" fontId="41" fillId="48" borderId="45" xfId="0" applyFont="1" applyFill="1" applyBorder="1"/>
    <xf numFmtId="0" fontId="0" fillId="0" borderId="21" xfId="0" applyBorder="1"/>
    <xf numFmtId="0" fontId="16" fillId="50" borderId="17" xfId="0" applyFont="1" applyFill="1" applyBorder="1"/>
    <xf numFmtId="0" fontId="16" fillId="50" borderId="56" xfId="0" applyFont="1" applyFill="1" applyBorder="1"/>
    <xf numFmtId="0" fontId="0" fillId="0" borderId="0" xfId="0" applyBorder="1"/>
    <xf numFmtId="14" fontId="0" fillId="0" borderId="10" xfId="0" applyNumberFormat="1" applyBorder="1"/>
    <xf numFmtId="0" fontId="16" fillId="48" borderId="23" xfId="0" applyFont="1" applyFill="1" applyBorder="1" applyAlignment="1">
      <alignment horizontal="center" vertical="center" wrapText="1"/>
    </xf>
    <xf numFmtId="0" fontId="16" fillId="48" borderId="24" xfId="0" applyFont="1" applyFill="1" applyBorder="1" applyAlignment="1">
      <alignment horizontal="center" vertical="center" wrapText="1"/>
    </xf>
    <xf numFmtId="0" fontId="16" fillId="48" borderId="25" xfId="0" applyFont="1" applyFill="1" applyBorder="1" applyAlignment="1">
      <alignment horizontal="center" vertical="center" wrapText="1"/>
    </xf>
    <xf numFmtId="0" fontId="39" fillId="59" borderId="25" xfId="0" applyFont="1" applyFill="1" applyBorder="1"/>
    <xf numFmtId="14" fontId="0" fillId="0" borderId="28" xfId="0" applyNumberFormat="1" applyBorder="1"/>
    <xf numFmtId="0" fontId="33" fillId="55" borderId="37" xfId="0" applyFont="1" applyFill="1" applyBorder="1"/>
    <xf numFmtId="0" fontId="32" fillId="55" borderId="22" xfId="0" applyFont="1" applyFill="1" applyBorder="1"/>
    <xf numFmtId="0" fontId="0" fillId="0" borderId="10" xfId="0"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xf numFmtId="0" fontId="23" fillId="43" borderId="19" xfId="0" applyFont="1" applyFill="1" applyBorder="1" applyAlignment="1">
      <alignment horizontal="center"/>
    </xf>
    <xf numFmtId="0" fontId="23" fillId="43" borderId="20" xfId="0" applyFont="1" applyFill="1" applyBorder="1" applyAlignment="1">
      <alignment horizontal="center"/>
    </xf>
    <xf numFmtId="0" fontId="23" fillId="43" borderId="21" xfId="0" applyFont="1" applyFill="1" applyBorder="1" applyAlignment="1">
      <alignment horizontal="center"/>
    </xf>
    <xf numFmtId="0" fontId="23" fillId="35" borderId="19" xfId="0" applyFont="1" applyFill="1" applyBorder="1" applyAlignment="1">
      <alignment horizontal="center"/>
    </xf>
    <xf numFmtId="0" fontId="23" fillId="35" borderId="20" xfId="0" applyFont="1" applyFill="1" applyBorder="1" applyAlignment="1">
      <alignment horizontal="center"/>
    </xf>
    <xf numFmtId="0" fontId="23" fillId="35" borderId="21" xfId="0" applyFont="1" applyFill="1" applyBorder="1" applyAlignment="1">
      <alignment horizontal="center"/>
    </xf>
    <xf numFmtId="0" fontId="27" fillId="43" borderId="19" xfId="0" applyFont="1" applyFill="1" applyBorder="1" applyAlignment="1">
      <alignment horizontal="center"/>
    </xf>
    <xf numFmtId="0" fontId="27" fillId="43" borderId="20" xfId="0" applyFont="1" applyFill="1" applyBorder="1" applyAlignment="1">
      <alignment horizontal="center"/>
    </xf>
    <xf numFmtId="0" fontId="27" fillId="43" borderId="21" xfId="0" applyFont="1" applyFill="1" applyBorder="1" applyAlignment="1">
      <alignment horizontal="center"/>
    </xf>
    <xf numFmtId="0" fontId="27" fillId="43" borderId="37" xfId="0" applyFont="1" applyFill="1" applyBorder="1" applyAlignment="1">
      <alignment horizontal="center"/>
    </xf>
    <xf numFmtId="0" fontId="27" fillId="43" borderId="31" xfId="0" applyFont="1" applyFill="1" applyBorder="1" applyAlignment="1">
      <alignment horizontal="center"/>
    </xf>
    <xf numFmtId="0" fontId="27" fillId="43" borderId="22" xfId="0" applyFont="1" applyFill="1" applyBorder="1" applyAlignment="1">
      <alignment horizontal="center"/>
    </xf>
    <xf numFmtId="0" fontId="27" fillId="43" borderId="35" xfId="0" applyFont="1" applyFill="1" applyBorder="1" applyAlignment="1">
      <alignment horizontal="center"/>
    </xf>
    <xf numFmtId="0" fontId="27" fillId="43" borderId="0" xfId="0" applyFont="1" applyFill="1" applyAlignment="1">
      <alignment horizontal="center"/>
    </xf>
    <xf numFmtId="0" fontId="27" fillId="43" borderId="32" xfId="0" applyFont="1" applyFill="1" applyBorder="1" applyAlignment="1">
      <alignment horizontal="center"/>
    </xf>
    <xf numFmtId="0" fontId="28" fillId="43" borderId="19" xfId="0" applyFont="1" applyFill="1" applyBorder="1" applyAlignment="1">
      <alignment horizontal="center"/>
    </xf>
    <xf numFmtId="0" fontId="28" fillId="43" borderId="20" xfId="0" applyFont="1" applyFill="1" applyBorder="1" applyAlignment="1">
      <alignment horizontal="center"/>
    </xf>
    <xf numFmtId="0" fontId="28" fillId="43" borderId="21" xfId="0" applyFont="1" applyFill="1" applyBorder="1" applyAlignment="1">
      <alignment horizontal="center"/>
    </xf>
    <xf numFmtId="0" fontId="23" fillId="44" borderId="48" xfId="0" applyFont="1" applyFill="1" applyBorder="1" applyAlignment="1">
      <alignment horizontal="center"/>
    </xf>
    <xf numFmtId="0" fontId="23" fillId="44" borderId="39" xfId="0" applyFont="1" applyFill="1" applyBorder="1" applyAlignment="1">
      <alignment horizontal="center"/>
    </xf>
    <xf numFmtId="0" fontId="23" fillId="44" borderId="49" xfId="0" applyFont="1" applyFill="1" applyBorder="1" applyAlignment="1">
      <alignment horizontal="center"/>
    </xf>
    <xf numFmtId="0" fontId="23" fillId="41" borderId="19" xfId="0" applyFont="1" applyFill="1" applyBorder="1" applyAlignment="1">
      <alignment horizontal="center"/>
    </xf>
    <xf numFmtId="0" fontId="23" fillId="41" borderId="20" xfId="0" applyFont="1" applyFill="1" applyBorder="1" applyAlignment="1">
      <alignment horizontal="center"/>
    </xf>
    <xf numFmtId="0" fontId="23" fillId="41" borderId="21" xfId="0" applyFont="1" applyFill="1" applyBorder="1" applyAlignment="1">
      <alignment horizont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Style 1" xfId="44" xr:uid="{A1ACFB5F-A295-4858-9579-E9706B262514}"/>
    <cellStyle name="Style 2" xfId="45" xr:uid="{1D78A586-3633-41CE-ABF1-33470A73C158}"/>
    <cellStyle name="Title" xfId="1" builtinId="15" customBuiltin="1"/>
    <cellStyle name="Total" xfId="17" builtinId="25" customBuiltin="1"/>
    <cellStyle name="Warning Text" xfId="14" builtinId="11" customBuiltin="1"/>
  </cellStyles>
  <dxfs count="172">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FFFF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3399"/>
        </patternFill>
      </fill>
    </dxf>
    <dxf>
      <font>
        <color rgb="FF006100"/>
      </font>
      <fill>
        <patternFill>
          <bgColor rgb="FFC6EFCE"/>
        </patternFill>
      </fill>
    </dxf>
    <dxf>
      <fill>
        <patternFill>
          <bgColor rgb="FFFF33CC"/>
        </patternFill>
      </fill>
    </dxf>
    <dxf>
      <font>
        <color rgb="FF006100"/>
      </font>
      <fill>
        <patternFill>
          <bgColor rgb="FFC6EFCE"/>
        </patternFill>
      </fill>
    </dxf>
    <dxf>
      <fill>
        <patternFill patternType="solid">
          <fgColor indexed="64"/>
          <bgColor rgb="FFAA9CDC"/>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rgb="FFAA9CDC"/>
        </patternFill>
      </fill>
    </dxf>
    <dxf>
      <border>
        <bottom style="thin">
          <color indexed="64"/>
        </bottom>
      </border>
    </dxf>
    <dxf>
      <fill>
        <patternFill patternType="solid">
          <fgColor indexed="64"/>
          <bgColor theme="5" tint="0.3999755851924192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Calibri"/>
        <family val="2"/>
        <scheme val="minor"/>
      </font>
      <fill>
        <patternFill patternType="solid">
          <fgColor indexed="64"/>
          <bgColor theme="7" tint="0.79998168889431442"/>
        </patternFill>
      </fill>
    </dxf>
    <dxf>
      <border>
        <bottom style="thin">
          <color indexed="64"/>
        </bottom>
      </border>
    </dxf>
    <dxf>
      <fill>
        <patternFill patternType="solid">
          <fgColor indexed="64"/>
          <bgColor rgb="FFF57B7B"/>
        </patternFill>
      </fill>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ill>
        <patternFill patternType="solid">
          <fgColor indexed="64"/>
          <bgColor rgb="FFF57B7B"/>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border>
        <bottom style="thin">
          <color indexed="64"/>
        </bottom>
      </border>
    </dxf>
    <dxf>
      <font>
        <b/>
      </font>
      <fill>
        <patternFill patternType="solid">
          <fgColor indexed="64"/>
          <bgColor rgb="FF99FF99"/>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ACD5D6"/>
      <color rgb="FF00FF00"/>
      <color rgb="FFAA9CDC"/>
      <color rgb="FFCCFF99"/>
      <color rgb="FFF57B7B"/>
      <color rgb="FF99FF99"/>
      <color rgb="FF66FF99"/>
      <color rgb="FF66FF66"/>
      <color rgb="FF99CC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7.xml"/><Relationship Id="rId39" Type="http://schemas.openxmlformats.org/officeDocument/2006/relationships/theme" Target="theme/theme1.xml"/><Relationship Id="rId21" Type="http://schemas.microsoft.com/office/2007/relationships/slicerCache" Target="slicerCaches/slicerCache2.xml"/><Relationship Id="rId34" Type="http://schemas.microsoft.com/office/2007/relationships/slicerCache" Target="slicerCaches/slicerCache15.xml"/><Relationship Id="rId42" Type="http://schemas.openxmlformats.org/officeDocument/2006/relationships/sheetMetadata" Target="metadata.xml"/><Relationship Id="rId7" Type="http://schemas.openxmlformats.org/officeDocument/2006/relationships/worksheet" Target="worksheets/sheet6.xml"/><Relationship Id="rId2" Type="http://schemas.openxmlformats.org/officeDocument/2006/relationships/worksheet" Target="worksheets/sheet1.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microsoft.com/office/2007/relationships/slicerCache" Target="slicerCaches/slicerCache10.xml"/><Relationship Id="rId41" Type="http://schemas.openxmlformats.org/officeDocument/2006/relationships/sharedStrings" Target="sharedString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pivotCacheDefinition" Target="pivotCache/pivotCacheDefinition4.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openxmlformats.org/officeDocument/2006/relationships/styles" Target="styles.xml"/><Relationship Id="rId5" Type="http://schemas.openxmlformats.org/officeDocument/2006/relationships/worksheet" Target="worksheets/sheet4.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12.xml"/><Relationship Id="rId4" Type="http://schemas.openxmlformats.org/officeDocument/2006/relationships/worksheet" Target="worksheets/sheet3.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openxmlformats.org/officeDocument/2006/relationships/calcChain" Target="calcChain.xml"/><Relationship Id="rId8" Type="http://schemas.openxmlformats.org/officeDocument/2006/relationships/pivotCacheDefinition" Target="pivotCache/pivotCacheDefinition1.xml"/><Relationship Id="rId3" Type="http://schemas.openxmlformats.org/officeDocument/2006/relationships/worksheet" Target="worksheets/sheet2.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telecom_churn!$B$69</c:f>
              <c:strCache>
                <c:ptCount val="1"/>
                <c:pt idx="0">
                  <c:v>0</c:v>
                </c:pt>
              </c:strCache>
            </c:strRef>
          </c:tx>
          <c:spPr>
            <a:solidFill>
              <a:schemeClr val="accent1"/>
            </a:solidFill>
            <a:ln>
              <a:noFill/>
            </a:ln>
            <a:effectLst/>
          </c:spPr>
          <c:invertIfNegative val="0"/>
          <c:val>
            <c:numRef>
              <c:f>telecom_churn!$B$70:$B$77</c:f>
              <c:numCache>
                <c:formatCode>General</c:formatCode>
                <c:ptCount val="8"/>
                <c:pt idx="0">
                  <c:v>#N/A</c:v>
                </c:pt>
                <c:pt idx="2">
                  <c:v>0</c:v>
                </c:pt>
                <c:pt idx="3">
                  <c:v>0</c:v>
                </c:pt>
                <c:pt idx="4">
                  <c:v>0</c:v>
                </c:pt>
                <c:pt idx="5">
                  <c:v>0</c:v>
                </c:pt>
                <c:pt idx="6">
                  <c:v>0</c:v>
                </c:pt>
                <c:pt idx="7">
                  <c:v>0</c:v>
                </c:pt>
              </c:numCache>
            </c:numRef>
          </c:val>
          <c:extLst>
            <c:ext xmlns:c16="http://schemas.microsoft.com/office/drawing/2014/chart" uri="{C3380CC4-5D6E-409C-BE32-E72D297353CC}">
              <c16:uniqueId val="{00000000-0ED4-42A0-8CCE-69141E054C14}"/>
            </c:ext>
          </c:extLst>
        </c:ser>
        <c:ser>
          <c:idx val="1"/>
          <c:order val="1"/>
          <c:tx>
            <c:strRef>
              <c:f>telecom_churn!$C$69</c:f>
              <c:strCache>
                <c:ptCount val="1"/>
                <c:pt idx="0">
                  <c:v>Column1</c:v>
                </c:pt>
              </c:strCache>
            </c:strRef>
          </c:tx>
          <c:spPr>
            <a:solidFill>
              <a:schemeClr val="accent2"/>
            </a:solidFill>
            <a:ln>
              <a:noFill/>
            </a:ln>
            <a:effectLst/>
          </c:spPr>
          <c:invertIfNegative val="0"/>
          <c:val>
            <c:numRef>
              <c:f>telecom_churn!$C$70:$C$77</c:f>
              <c:numCache>
                <c:formatCode>General</c:formatCode>
                <c:ptCount val="8"/>
              </c:numCache>
            </c:numRef>
          </c:val>
          <c:extLst>
            <c:ext xmlns:c16="http://schemas.microsoft.com/office/drawing/2014/chart" uri="{C3380CC4-5D6E-409C-BE32-E72D297353CC}">
              <c16:uniqueId val="{00000001-0ED4-42A0-8CCE-69141E054C14}"/>
            </c:ext>
          </c:extLst>
        </c:ser>
        <c:ser>
          <c:idx val="2"/>
          <c:order val="2"/>
          <c:tx>
            <c:strRef>
              <c:f>telecom_churn!$D$69</c:f>
              <c:strCache>
                <c:ptCount val="1"/>
                <c:pt idx="0">
                  <c:v>Column2</c:v>
                </c:pt>
              </c:strCache>
            </c:strRef>
          </c:tx>
          <c:spPr>
            <a:solidFill>
              <a:schemeClr val="accent3"/>
            </a:solidFill>
            <a:ln>
              <a:noFill/>
            </a:ln>
            <a:effectLst/>
          </c:spPr>
          <c:invertIfNegative val="0"/>
          <c:val>
            <c:numRef>
              <c:f>telecom_churn!$D$70:$D$77</c:f>
              <c:numCache>
                <c:formatCode>General</c:formatCode>
                <c:ptCount val="8"/>
                <c:pt idx="0">
                  <c:v>0</c:v>
                </c:pt>
                <c:pt idx="1">
                  <c:v>0</c:v>
                </c:pt>
                <c:pt idx="2">
                  <c:v>0</c:v>
                </c:pt>
                <c:pt idx="3">
                  <c:v>0</c:v>
                </c:pt>
              </c:numCache>
            </c:numRef>
          </c:val>
          <c:extLst>
            <c:ext xmlns:c16="http://schemas.microsoft.com/office/drawing/2014/chart" uri="{C3380CC4-5D6E-409C-BE32-E72D297353CC}">
              <c16:uniqueId val="{00000002-0ED4-42A0-8CCE-69141E054C14}"/>
            </c:ext>
          </c:extLst>
        </c:ser>
        <c:ser>
          <c:idx val="3"/>
          <c:order val="3"/>
          <c:tx>
            <c:strRef>
              <c:f>telecom_churn!$E$69</c:f>
              <c:strCache>
                <c:ptCount val="1"/>
                <c:pt idx="0">
                  <c:v>Column3</c:v>
                </c:pt>
              </c:strCache>
            </c:strRef>
          </c:tx>
          <c:spPr>
            <a:solidFill>
              <a:schemeClr val="accent4"/>
            </a:solidFill>
            <a:ln>
              <a:noFill/>
            </a:ln>
            <a:effectLst/>
          </c:spPr>
          <c:invertIfNegative val="0"/>
          <c:val>
            <c:numRef>
              <c:f>telecom_churn!$E$70:$E$77</c:f>
              <c:numCache>
                <c:formatCode>General</c:formatCode>
                <c:ptCount val="8"/>
                <c:pt idx="0">
                  <c:v>1</c:v>
                </c:pt>
                <c:pt idx="1">
                  <c:v>4</c:v>
                </c:pt>
                <c:pt idx="2">
                  <c:v>0</c:v>
                </c:pt>
                <c:pt idx="3">
                  <c:v>0</c:v>
                </c:pt>
              </c:numCache>
            </c:numRef>
          </c:val>
          <c:extLst>
            <c:ext xmlns:c16="http://schemas.microsoft.com/office/drawing/2014/chart" uri="{C3380CC4-5D6E-409C-BE32-E72D297353CC}">
              <c16:uniqueId val="{00000003-0ED4-42A0-8CCE-69141E054C14}"/>
            </c:ext>
          </c:extLst>
        </c:ser>
        <c:ser>
          <c:idx val="4"/>
          <c:order val="4"/>
          <c:tx>
            <c:strRef>
              <c:f>telecom_churn!$F$69</c:f>
              <c:strCache>
                <c:ptCount val="1"/>
                <c:pt idx="0">
                  <c:v>Column5</c:v>
                </c:pt>
              </c:strCache>
            </c:strRef>
          </c:tx>
          <c:spPr>
            <a:solidFill>
              <a:schemeClr val="accent5"/>
            </a:solidFill>
            <a:ln>
              <a:noFill/>
            </a:ln>
            <a:effectLst/>
          </c:spPr>
          <c:invertIfNegative val="0"/>
          <c:val>
            <c:numRef>
              <c:f>telecom_churn!$F$70:$F$77</c:f>
              <c:numCache>
                <c:formatCode>General</c:formatCode>
                <c:ptCount val="8"/>
                <c:pt idx="0">
                  <c:v>2</c:v>
                </c:pt>
                <c:pt idx="1">
                  <c:v>3</c:v>
                </c:pt>
                <c:pt idx="2">
                  <c:v>0</c:v>
                </c:pt>
                <c:pt idx="3">
                  <c:v>0</c:v>
                </c:pt>
              </c:numCache>
            </c:numRef>
          </c:val>
          <c:extLst>
            <c:ext xmlns:c16="http://schemas.microsoft.com/office/drawing/2014/chart" uri="{C3380CC4-5D6E-409C-BE32-E72D297353CC}">
              <c16:uniqueId val="{00000004-0ED4-42A0-8CCE-69141E054C14}"/>
            </c:ext>
          </c:extLst>
        </c:ser>
        <c:ser>
          <c:idx val="5"/>
          <c:order val="5"/>
          <c:tx>
            <c:strRef>
              <c:f>telecom_churn!$G$69</c:f>
              <c:strCache>
                <c:ptCount val="1"/>
                <c:pt idx="0">
                  <c:v>Column6</c:v>
                </c:pt>
              </c:strCache>
            </c:strRef>
          </c:tx>
          <c:spPr>
            <a:solidFill>
              <a:schemeClr val="accent6"/>
            </a:solidFill>
            <a:ln>
              <a:noFill/>
            </a:ln>
            <a:effectLst/>
          </c:spPr>
          <c:invertIfNegative val="0"/>
          <c:val>
            <c:numRef>
              <c:f>telecom_churn!$G$70:$G$77</c:f>
              <c:numCache>
                <c:formatCode>General</c:formatCode>
                <c:ptCount val="8"/>
                <c:pt idx="2">
                  <c:v>0</c:v>
                </c:pt>
                <c:pt idx="3">
                  <c:v>0</c:v>
                </c:pt>
              </c:numCache>
            </c:numRef>
          </c:val>
          <c:extLst>
            <c:ext xmlns:c16="http://schemas.microsoft.com/office/drawing/2014/chart" uri="{C3380CC4-5D6E-409C-BE32-E72D297353CC}">
              <c16:uniqueId val="{00000005-0ED4-42A0-8CCE-69141E054C14}"/>
            </c:ext>
          </c:extLst>
        </c:ser>
        <c:dLbls>
          <c:showLegendKey val="0"/>
          <c:showVal val="0"/>
          <c:showCatName val="0"/>
          <c:showSerName val="0"/>
          <c:showPercent val="0"/>
          <c:showBubbleSize val="0"/>
        </c:dLbls>
        <c:gapWidth val="219"/>
        <c:overlap val="-27"/>
        <c:axId val="247961136"/>
        <c:axId val="247985136"/>
      </c:barChart>
      <c:catAx>
        <c:axId val="24796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85136"/>
        <c:crosses val="autoZero"/>
        <c:auto val="1"/>
        <c:lblAlgn val="ctr"/>
        <c:lblOffset val="100"/>
        <c:noMultiLvlLbl val="0"/>
      </c:catAx>
      <c:valAx>
        <c:axId val="24798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80495241125165E-2"/>
          <c:y val="0.1754882154882155"/>
          <c:w val="0.80520989421776823"/>
          <c:h val="0.72934559947683308"/>
        </c:manualLayout>
      </c:layout>
      <c:barChart>
        <c:barDir val="col"/>
        <c:grouping val="clustered"/>
        <c:varyColors val="0"/>
        <c:ser>
          <c:idx val="0"/>
          <c:order val="0"/>
          <c:tx>
            <c:v>Total</c:v>
          </c:tx>
          <c:spPr>
            <a:solidFill>
              <a:schemeClr val="accent1"/>
            </a:solidFill>
            <a:ln>
              <a:noFill/>
            </a:ln>
            <a:effectLst/>
          </c:spPr>
          <c:invertIfNegative val="0"/>
          <c:cat>
            <c:strLit>
              <c:ptCount val="1"/>
              <c:pt idx="0">
                <c:v>Female</c:v>
              </c:pt>
            </c:strLit>
          </c:cat>
          <c:val>
            <c:numLit>
              <c:formatCode>General</c:formatCode>
              <c:ptCount val="1"/>
              <c:pt idx="0">
                <c:v>5</c:v>
              </c:pt>
            </c:numLit>
          </c:val>
          <c:extLst>
            <c:ext xmlns:c16="http://schemas.microsoft.com/office/drawing/2014/chart" uri="{C3380CC4-5D6E-409C-BE32-E72D297353CC}">
              <c16:uniqueId val="{00000000-ED40-4E2F-9209-7A797440E026}"/>
            </c:ext>
          </c:extLst>
        </c:ser>
        <c:dLbls>
          <c:showLegendKey val="0"/>
          <c:showVal val="0"/>
          <c:showCatName val="0"/>
          <c:showSerName val="0"/>
          <c:showPercent val="0"/>
          <c:showBubbleSize val="0"/>
        </c:dLbls>
        <c:gapWidth val="219"/>
        <c:overlap val="-27"/>
        <c:axId val="323310303"/>
        <c:axId val="323255583"/>
      </c:barChart>
      <c:catAx>
        <c:axId val="3233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55583"/>
        <c:crosses val="autoZero"/>
        <c:auto val="1"/>
        <c:lblAlgn val="ctr"/>
        <c:lblOffset val="100"/>
        <c:noMultiLvlLbl val="0"/>
      </c:catAx>
      <c:valAx>
        <c:axId val="32325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Excel18.xlsx]Sheet12!PivotTable4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Sheet12!$C$11</c:f>
              <c:strCache>
                <c:ptCount val="1"/>
                <c:pt idx="0">
                  <c:v>Total</c:v>
                </c:pt>
              </c:strCache>
            </c:strRef>
          </c:tx>
          <c:spPr>
            <a:solidFill>
              <a:schemeClr val="accent1"/>
            </a:solidFill>
            <a:ln>
              <a:noFill/>
            </a:ln>
            <a:effectLst/>
          </c:spPr>
          <c:invertIfNegative val="0"/>
          <c:cat>
            <c:multiLvlStrRef>
              <c:f>Sheet12!$B$12:$B$14</c:f>
              <c:multiLvlStrCache>
                <c:ptCount val="1"/>
                <c:lvl>
                  <c:pt idx="0">
                    <c:v>Sales</c:v>
                  </c:pt>
                </c:lvl>
                <c:lvl>
                  <c:pt idx="0">
                    <c:v>Male</c:v>
                  </c:pt>
                </c:lvl>
              </c:multiLvlStrCache>
            </c:multiLvlStrRef>
          </c:cat>
          <c:val>
            <c:numRef>
              <c:f>Sheet12!$C$12:$C$14</c:f>
              <c:numCache>
                <c:formatCode>General</c:formatCode>
                <c:ptCount val="1"/>
                <c:pt idx="0">
                  <c:v>2</c:v>
                </c:pt>
              </c:numCache>
            </c:numRef>
          </c:val>
          <c:extLst>
            <c:ext xmlns:c16="http://schemas.microsoft.com/office/drawing/2014/chart" uri="{C3380CC4-5D6E-409C-BE32-E72D297353CC}">
              <c16:uniqueId val="{00000000-3B2E-4427-B57E-9858B9B16BA3}"/>
            </c:ext>
          </c:extLst>
        </c:ser>
        <c:dLbls>
          <c:showLegendKey val="0"/>
          <c:showVal val="0"/>
          <c:showCatName val="0"/>
          <c:showSerName val="0"/>
          <c:showPercent val="0"/>
          <c:showBubbleSize val="0"/>
        </c:dLbls>
        <c:gapWidth val="219"/>
        <c:overlap val="-27"/>
        <c:axId val="323270943"/>
        <c:axId val="323274783"/>
      </c:barChart>
      <c:catAx>
        <c:axId val="32327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74783"/>
        <c:crosses val="autoZero"/>
        <c:auto val="1"/>
        <c:lblAlgn val="ctr"/>
        <c:lblOffset val="100"/>
        <c:noMultiLvlLbl val="0"/>
      </c:catAx>
      <c:valAx>
        <c:axId val="32327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7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Excel18.xlsx]Sheet12!PivotTable7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Sheet12!$L$29</c:f>
              <c:strCache>
                <c:ptCount val="1"/>
                <c:pt idx="0">
                  <c:v>Total</c:v>
                </c:pt>
              </c:strCache>
            </c:strRef>
          </c:tx>
          <c:spPr>
            <a:solidFill>
              <a:schemeClr val="accent1"/>
            </a:solidFill>
            <a:ln>
              <a:noFill/>
            </a:ln>
            <a:effectLst/>
          </c:spPr>
          <c:invertIfNegative val="0"/>
          <c:cat>
            <c:strRef>
              <c:f>Sheet12!$K$30:$K$31</c:f>
              <c:strCache>
                <c:ptCount val="1"/>
                <c:pt idx="0">
                  <c:v>Female</c:v>
                </c:pt>
              </c:strCache>
            </c:strRef>
          </c:cat>
          <c:val>
            <c:numRef>
              <c:f>Sheet12!$L$30:$L$31</c:f>
              <c:numCache>
                <c:formatCode>General</c:formatCode>
                <c:ptCount val="1"/>
                <c:pt idx="0">
                  <c:v>28</c:v>
                </c:pt>
              </c:numCache>
            </c:numRef>
          </c:val>
          <c:extLst>
            <c:ext xmlns:c16="http://schemas.microsoft.com/office/drawing/2014/chart" uri="{C3380CC4-5D6E-409C-BE32-E72D297353CC}">
              <c16:uniqueId val="{00000000-FDA0-437C-B604-4627C7D6C0CD}"/>
            </c:ext>
          </c:extLst>
        </c:ser>
        <c:dLbls>
          <c:showLegendKey val="0"/>
          <c:showVal val="0"/>
          <c:showCatName val="0"/>
          <c:showSerName val="0"/>
          <c:showPercent val="0"/>
          <c:showBubbleSize val="0"/>
        </c:dLbls>
        <c:gapWidth val="219"/>
        <c:overlap val="-27"/>
        <c:axId val="627923919"/>
        <c:axId val="627930639"/>
      </c:barChart>
      <c:catAx>
        <c:axId val="62792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30639"/>
        <c:crosses val="autoZero"/>
        <c:auto val="1"/>
        <c:lblAlgn val="ctr"/>
        <c:lblOffset val="100"/>
        <c:noMultiLvlLbl val="0"/>
      </c:catAx>
      <c:valAx>
        <c:axId val="6279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Attendance (%)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467</c:v>
              </c:pt>
              <c:pt idx="1">
                <c:v>443</c:v>
              </c:pt>
            </c:numLit>
          </c:val>
          <c:extLst>
            <c:ext xmlns:c16="http://schemas.microsoft.com/office/drawing/2014/chart" uri="{C3380CC4-5D6E-409C-BE32-E72D297353CC}">
              <c16:uniqueId val="{00000000-D66B-49BD-8DEF-41E37E786B04}"/>
            </c:ext>
          </c:extLst>
        </c:ser>
        <c:dLbls>
          <c:showLegendKey val="0"/>
          <c:showVal val="0"/>
          <c:showCatName val="0"/>
          <c:showSerName val="0"/>
          <c:showPercent val="0"/>
          <c:showBubbleSize val="0"/>
        </c:dLbls>
        <c:gapWidth val="219"/>
        <c:overlap val="-27"/>
        <c:axId val="505479840"/>
        <c:axId val="403504400"/>
      </c:barChart>
      <c:catAx>
        <c:axId val="5054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504400"/>
        <c:crosses val="autoZero"/>
        <c:auto val="1"/>
        <c:lblAlgn val="ctr"/>
        <c:lblOffset val="100"/>
        <c:noMultiLvlLbl val="0"/>
      </c:catAx>
      <c:valAx>
        <c:axId val="403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47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82633420822402"/>
          <c:y val="4.099821874755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14260717410313E-2"/>
          <c:y val="0.16440285717770128"/>
          <c:w val="0.89019685039370078"/>
          <c:h val="0.72536537913847066"/>
        </c:manualLayout>
      </c:layout>
      <c:lineChart>
        <c:grouping val="standard"/>
        <c:varyColors val="0"/>
        <c:ser>
          <c:idx val="0"/>
          <c:order val="0"/>
          <c:spPr>
            <a:ln w="28575" cap="rnd">
              <a:solidFill>
                <a:schemeClr val="accent1"/>
              </a:solidFill>
              <a:round/>
            </a:ln>
            <a:effectLst/>
          </c:spPr>
          <c:marker>
            <c:symbol val="none"/>
          </c:marker>
          <c:val>
            <c:numRef>
              <c:f>telecom_churn!$AY$42:$AY$51</c:f>
              <c:numCache>
                <c:formatCode>General</c:formatCode>
                <c:ptCount val="10"/>
                <c:pt idx="0">
                  <c:v>92</c:v>
                </c:pt>
                <c:pt idx="1">
                  <c:v>89</c:v>
                </c:pt>
                <c:pt idx="2">
                  <c:v>96</c:v>
                </c:pt>
                <c:pt idx="3">
                  <c:v>91</c:v>
                </c:pt>
                <c:pt idx="4">
                  <c:v>86</c:v>
                </c:pt>
                <c:pt idx="5">
                  <c:v>94</c:v>
                </c:pt>
                <c:pt idx="6">
                  <c:v>82</c:v>
                </c:pt>
                <c:pt idx="7">
                  <c:v>98</c:v>
                </c:pt>
                <c:pt idx="8">
                  <c:v>87</c:v>
                </c:pt>
                <c:pt idx="9">
                  <c:v>95</c:v>
                </c:pt>
              </c:numCache>
            </c:numRef>
          </c:val>
          <c:smooth val="0"/>
          <c:extLst>
            <c:ext xmlns:c16="http://schemas.microsoft.com/office/drawing/2014/chart" uri="{C3380CC4-5D6E-409C-BE32-E72D297353CC}">
              <c16:uniqueId val="{00000000-6FD1-4920-97BC-F411D419B7C9}"/>
            </c:ext>
          </c:extLst>
        </c:ser>
        <c:dLbls>
          <c:showLegendKey val="0"/>
          <c:showVal val="0"/>
          <c:showCatName val="0"/>
          <c:showSerName val="0"/>
          <c:showPercent val="0"/>
          <c:showBubbleSize val="0"/>
        </c:dLbls>
        <c:smooth val="0"/>
        <c:axId val="430908640"/>
        <c:axId val="430907680"/>
      </c:lineChart>
      <c:catAx>
        <c:axId val="4309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7680"/>
        <c:crosses val="autoZero"/>
        <c:auto val="1"/>
        <c:lblAlgn val="ctr"/>
        <c:lblOffset val="100"/>
        <c:noMultiLvlLbl val="0"/>
      </c:catAx>
      <c:valAx>
        <c:axId val="43090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telecom_churn!$AV$42:$AV$51</c:f>
              <c:numCache>
                <c:formatCode>General</c:formatCode>
                <c:ptCount val="10"/>
                <c:pt idx="0">
                  <c:v>85</c:v>
                </c:pt>
                <c:pt idx="1">
                  <c:v>78</c:v>
                </c:pt>
                <c:pt idx="2">
                  <c:v>92</c:v>
                </c:pt>
                <c:pt idx="3">
                  <c:v>81</c:v>
                </c:pt>
                <c:pt idx="4">
                  <c:v>75</c:v>
                </c:pt>
                <c:pt idx="5">
                  <c:v>88</c:v>
                </c:pt>
                <c:pt idx="6">
                  <c:v>67</c:v>
                </c:pt>
                <c:pt idx="7">
                  <c:v>95</c:v>
                </c:pt>
                <c:pt idx="8">
                  <c:v>73</c:v>
                </c:pt>
                <c:pt idx="9">
                  <c:v>89</c:v>
                </c:pt>
              </c:numCache>
            </c:numRef>
          </c:xVal>
          <c:y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yVal>
          <c:smooth val="0"/>
          <c:extLst>
            <c:ext xmlns:c16="http://schemas.microsoft.com/office/drawing/2014/chart" uri="{C3380CC4-5D6E-409C-BE32-E72D297353CC}">
              <c16:uniqueId val="{00000000-23A1-4D10-B3C7-9B61CA365693}"/>
            </c:ext>
          </c:extLst>
        </c:ser>
        <c:dLbls>
          <c:showLegendKey val="0"/>
          <c:showVal val="0"/>
          <c:showCatName val="0"/>
          <c:showSerName val="0"/>
          <c:showPercent val="0"/>
          <c:showBubbleSize val="0"/>
        </c:dLbls>
        <c:axId val="514992176"/>
        <c:axId val="514992656"/>
      </c:scatterChart>
      <c:valAx>
        <c:axId val="51499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92656"/>
        <c:crosses val="autoZero"/>
        <c:crossBetween val="midCat"/>
      </c:valAx>
      <c:valAx>
        <c:axId val="5149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92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2826334208224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telecom_churn!$AV$42:$AV$51</c:f>
              <c:numCache>
                <c:formatCode>General</c:formatCode>
                <c:ptCount val="10"/>
                <c:pt idx="0">
                  <c:v>85</c:v>
                </c:pt>
                <c:pt idx="1">
                  <c:v>78</c:v>
                </c:pt>
                <c:pt idx="2">
                  <c:v>92</c:v>
                </c:pt>
                <c:pt idx="3">
                  <c:v>81</c:v>
                </c:pt>
                <c:pt idx="4">
                  <c:v>75</c:v>
                </c:pt>
                <c:pt idx="5">
                  <c:v>88</c:v>
                </c:pt>
                <c:pt idx="6">
                  <c:v>67</c:v>
                </c:pt>
                <c:pt idx="7">
                  <c:v>95</c:v>
                </c:pt>
                <c:pt idx="8">
                  <c:v>73</c:v>
                </c:pt>
                <c:pt idx="9">
                  <c:v>89</c:v>
                </c:pt>
              </c:numCache>
            </c:numRef>
          </c:val>
          <c:extLst>
            <c:ext xmlns:c16="http://schemas.microsoft.com/office/drawing/2014/chart" uri="{C3380CC4-5D6E-409C-BE32-E72D297353CC}">
              <c16:uniqueId val="{00000000-1B7A-46D3-AA31-121BB363E32F}"/>
            </c:ext>
          </c:extLst>
        </c:ser>
        <c:ser>
          <c:idx val="1"/>
          <c:order val="1"/>
          <c:spPr>
            <a:solidFill>
              <a:schemeClr val="accent2"/>
            </a:solidFill>
            <a:ln>
              <a:noFill/>
            </a:ln>
            <a:effectLst/>
          </c:spPr>
          <c:invertIfNegative val="0"/>
          <c: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val>
          <c:extLst>
            <c:ext xmlns:c16="http://schemas.microsoft.com/office/drawing/2014/chart" uri="{C3380CC4-5D6E-409C-BE32-E72D297353CC}">
              <c16:uniqueId val="{00000001-1B7A-46D3-AA31-121BB363E32F}"/>
            </c:ext>
          </c:extLst>
        </c:ser>
        <c:dLbls>
          <c:showLegendKey val="0"/>
          <c:showVal val="0"/>
          <c:showCatName val="0"/>
          <c:showSerName val="0"/>
          <c:showPercent val="0"/>
          <c:showBubbleSize val="0"/>
        </c:dLbls>
        <c:gapWidth val="219"/>
        <c:overlap val="-27"/>
        <c:axId val="481051072"/>
        <c:axId val="481047232"/>
      </c:barChart>
      <c:catAx>
        <c:axId val="4810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47232"/>
        <c:crosses val="autoZero"/>
        <c:auto val="1"/>
        <c:lblAlgn val="ctr"/>
        <c:lblOffset val="100"/>
        <c:noMultiLvlLbl val="0"/>
      </c:catAx>
      <c:valAx>
        <c:axId val="4810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5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val>
          <c:extLst>
            <c:ext xmlns:c16="http://schemas.microsoft.com/office/drawing/2014/chart" uri="{C3380CC4-5D6E-409C-BE32-E72D297353CC}">
              <c16:uniqueId val="{00000000-5E8E-42BE-BAC3-B46BF3B5894B}"/>
            </c:ext>
          </c:extLst>
        </c:ser>
        <c:ser>
          <c:idx val="1"/>
          <c:order val="1"/>
          <c:spPr>
            <a:solidFill>
              <a:schemeClr val="accent2"/>
            </a:solidFill>
            <a:ln>
              <a:noFill/>
            </a:ln>
            <a:effectLst/>
          </c:spPr>
          <c:invertIfNegative val="0"/>
          <c:val>
            <c:numRef>
              <c:f>telecom_churn!$AX$42:$AX$51</c:f>
              <c:numCache>
                <c:formatCode>General</c:formatCode>
                <c:ptCount val="10"/>
                <c:pt idx="0">
                  <c:v>88</c:v>
                </c:pt>
                <c:pt idx="1">
                  <c:v>84</c:v>
                </c:pt>
                <c:pt idx="2">
                  <c:v>91</c:v>
                </c:pt>
                <c:pt idx="3">
                  <c:v>79</c:v>
                </c:pt>
                <c:pt idx="4">
                  <c:v>77</c:v>
                </c:pt>
                <c:pt idx="5">
                  <c:v>89</c:v>
                </c:pt>
                <c:pt idx="6">
                  <c:v>70</c:v>
                </c:pt>
                <c:pt idx="7">
                  <c:v>96</c:v>
                </c:pt>
                <c:pt idx="8">
                  <c:v>75</c:v>
                </c:pt>
                <c:pt idx="9">
                  <c:v>90</c:v>
                </c:pt>
              </c:numCache>
            </c:numRef>
          </c:val>
          <c:extLst>
            <c:ext xmlns:c16="http://schemas.microsoft.com/office/drawing/2014/chart" uri="{C3380CC4-5D6E-409C-BE32-E72D297353CC}">
              <c16:uniqueId val="{00000001-5E8E-42BE-BAC3-B46BF3B5894B}"/>
            </c:ext>
          </c:extLst>
        </c:ser>
        <c:dLbls>
          <c:showLegendKey val="0"/>
          <c:showVal val="0"/>
          <c:showCatName val="0"/>
          <c:showSerName val="0"/>
          <c:showPercent val="0"/>
          <c:showBubbleSize val="0"/>
        </c:dLbls>
        <c:gapWidth val="150"/>
        <c:overlap val="100"/>
        <c:axId val="362292896"/>
        <c:axId val="362293376"/>
      </c:barChart>
      <c:catAx>
        <c:axId val="3622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93376"/>
        <c:crosses val="autoZero"/>
        <c:auto val="1"/>
        <c:lblAlgn val="ctr"/>
        <c:lblOffset val="100"/>
        <c:noMultiLvlLbl val="0"/>
      </c:catAx>
      <c:valAx>
        <c:axId val="36229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92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Count of Performance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411019460547589E-2"/>
          <c:y val="0.24272574848740477"/>
          <c:w val="0.91135043715214581"/>
          <c:h val="0.51007535043793217"/>
        </c:manualLayout>
      </c:layout>
      <c:barChart>
        <c:barDir val="col"/>
        <c:grouping val="clustered"/>
        <c:varyColors val="0"/>
        <c:ser>
          <c:idx val="0"/>
          <c:order val="0"/>
          <c:tx>
            <c:v>Total</c:v>
          </c:tx>
          <c:invertIfNegative val="0"/>
          <c:cat>
            <c:strLit>
              <c:ptCount val="3"/>
              <c:pt idx="0">
                <c:v>Average</c:v>
              </c:pt>
              <c:pt idx="1">
                <c:v>Excellent</c:v>
              </c:pt>
              <c:pt idx="2">
                <c:v>Good</c:v>
              </c:pt>
            </c:strLit>
          </c:cat>
          <c:val>
            <c:numLit>
              <c:formatCode>General</c:formatCode>
              <c:ptCount val="3"/>
              <c:pt idx="0">
                <c:v>3</c:v>
              </c:pt>
              <c:pt idx="1">
                <c:v>5</c:v>
              </c:pt>
              <c:pt idx="2">
                <c:v>2</c:v>
              </c:pt>
            </c:numLit>
          </c:val>
          <c:extLst>
            <c:ext xmlns:c16="http://schemas.microsoft.com/office/drawing/2014/chart" uri="{C3380CC4-5D6E-409C-BE32-E72D297353CC}">
              <c16:uniqueId val="{00000000-D85D-49A4-8002-1D53CC03BD3B}"/>
            </c:ext>
          </c:extLst>
        </c:ser>
        <c:dLbls>
          <c:showLegendKey val="0"/>
          <c:showVal val="0"/>
          <c:showCatName val="0"/>
          <c:showSerName val="0"/>
          <c:showPercent val="0"/>
          <c:showBubbleSize val="0"/>
        </c:dLbls>
        <c:gapWidth val="219"/>
        <c:overlap val="-27"/>
        <c:axId val="247981296"/>
        <c:axId val="247981776"/>
      </c:barChart>
      <c:catAx>
        <c:axId val="247981296"/>
        <c:scaling>
          <c:orientation val="minMax"/>
        </c:scaling>
        <c:delete val="0"/>
        <c:axPos val="b"/>
        <c:numFmt formatCode="General" sourceLinked="1"/>
        <c:majorTickMark val="none"/>
        <c:minorTickMark val="none"/>
        <c:tickLblPos val="nextTo"/>
        <c:crossAx val="247981776"/>
        <c:crosses val="autoZero"/>
        <c:auto val="1"/>
        <c:lblAlgn val="ctr"/>
        <c:lblOffset val="100"/>
        <c:noMultiLvlLbl val="0"/>
      </c:catAx>
      <c:valAx>
        <c:axId val="247981776"/>
        <c:scaling>
          <c:orientation val="minMax"/>
        </c:scaling>
        <c:delete val="0"/>
        <c:axPos val="l"/>
        <c:majorGridlines/>
        <c:numFmt formatCode="General" sourceLinked="1"/>
        <c:majorTickMark val="none"/>
        <c:minorTickMark val="none"/>
        <c:tickLblPos val="nextTo"/>
        <c:crossAx val="247981296"/>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telecom_churn!$CD$15</c:f>
              <c:strCache>
                <c:ptCount val="1"/>
                <c:pt idx="0">
                  <c:v>Total</c:v>
                </c:pt>
              </c:strCache>
            </c:strRef>
          </c:tx>
          <c:spPr>
            <a:solidFill>
              <a:schemeClr val="accent1"/>
            </a:solidFill>
            <a:ln>
              <a:noFill/>
            </a:ln>
            <a:effectLst/>
          </c:spPr>
          <c:invertIfNegative val="0"/>
          <c:cat>
            <c:strRef>
              <c:f>telecom_churn!$CC$16:$CC$19</c:f>
              <c:strCache>
                <c:ptCount val="3"/>
                <c:pt idx="0">
                  <c:v>Average</c:v>
                </c:pt>
                <c:pt idx="1">
                  <c:v>Excellent</c:v>
                </c:pt>
                <c:pt idx="2">
                  <c:v>Good</c:v>
                </c:pt>
              </c:strCache>
            </c:strRef>
          </c:cat>
          <c:val>
            <c:numRef>
              <c:f>telecom_churn!$CD$16:$CD$19</c:f>
              <c:numCache>
                <c:formatCode>General</c:formatCode>
                <c:ptCount val="3"/>
                <c:pt idx="0">
                  <c:v>97000</c:v>
                </c:pt>
                <c:pt idx="1">
                  <c:v>194000</c:v>
                </c:pt>
                <c:pt idx="2">
                  <c:v>188000</c:v>
                </c:pt>
              </c:numCache>
            </c:numRef>
          </c:val>
          <c:extLst>
            <c:ext xmlns:c16="http://schemas.microsoft.com/office/drawing/2014/chart" uri="{C3380CC4-5D6E-409C-BE32-E72D297353CC}">
              <c16:uniqueId val="{00000000-8FAE-41E3-AE4B-278886742781}"/>
            </c:ext>
          </c:extLst>
        </c:ser>
        <c:dLbls>
          <c:showLegendKey val="0"/>
          <c:showVal val="0"/>
          <c:showCatName val="0"/>
          <c:showSerName val="0"/>
          <c:showPercent val="0"/>
          <c:showBubbleSize val="0"/>
        </c:dLbls>
        <c:gapWidth val="219"/>
        <c:overlap val="-27"/>
        <c:axId val="1688276431"/>
        <c:axId val="1688274511"/>
      </c:barChart>
      <c:catAx>
        <c:axId val="168827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74511"/>
        <c:crosses val="autoZero"/>
        <c:auto val="1"/>
        <c:lblAlgn val="ctr"/>
        <c:lblOffset val="100"/>
        <c:noMultiLvlLbl val="0"/>
      </c:catAx>
      <c:valAx>
        <c:axId val="168827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7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telecom_churn!$CN$16</c:f>
              <c:strCache>
                <c:ptCount val="1"/>
                <c:pt idx="0">
                  <c:v>Sum of Age</c:v>
                </c:pt>
              </c:strCache>
            </c:strRef>
          </c:tx>
          <c:spPr>
            <a:solidFill>
              <a:schemeClr val="accent1"/>
            </a:solidFill>
            <a:ln>
              <a:noFill/>
            </a:ln>
            <a:effectLst/>
          </c:spPr>
          <c:invertIfNegative val="0"/>
          <c:cat>
            <c:strRef>
              <c:f>telecom_churn!$CM$17:$CM$20</c:f>
              <c:strCache>
                <c:ptCount val="3"/>
                <c:pt idx="0">
                  <c:v>20-25</c:v>
                </c:pt>
                <c:pt idx="1">
                  <c:v>26-30</c:v>
                </c:pt>
                <c:pt idx="2">
                  <c:v>31-35</c:v>
                </c:pt>
              </c:strCache>
            </c:strRef>
          </c:cat>
          <c:val>
            <c:numRef>
              <c:f>telecom_churn!$CN$17:$CN$20</c:f>
              <c:numCache>
                <c:formatCode>General</c:formatCode>
                <c:ptCount val="3"/>
                <c:pt idx="0">
                  <c:v>49</c:v>
                </c:pt>
                <c:pt idx="1">
                  <c:v>140</c:v>
                </c:pt>
                <c:pt idx="2">
                  <c:v>99</c:v>
                </c:pt>
              </c:numCache>
            </c:numRef>
          </c:val>
          <c:extLst>
            <c:ext xmlns:c16="http://schemas.microsoft.com/office/drawing/2014/chart" uri="{C3380CC4-5D6E-409C-BE32-E72D297353CC}">
              <c16:uniqueId val="{00000000-5C4E-4F13-A6E1-7165607A7EC8}"/>
            </c:ext>
          </c:extLst>
        </c:ser>
        <c:ser>
          <c:idx val="1"/>
          <c:order val="1"/>
          <c:tx>
            <c:strRef>
              <c:f>telecom_churn!$CO$16</c:f>
              <c:strCache>
                <c:ptCount val="1"/>
                <c:pt idx="0">
                  <c:v>Sum of Salary</c:v>
                </c:pt>
              </c:strCache>
            </c:strRef>
          </c:tx>
          <c:spPr>
            <a:solidFill>
              <a:schemeClr val="accent2"/>
            </a:solidFill>
            <a:ln>
              <a:noFill/>
            </a:ln>
            <a:effectLst/>
          </c:spPr>
          <c:invertIfNegative val="0"/>
          <c:cat>
            <c:strRef>
              <c:f>telecom_churn!$CM$17:$CM$20</c:f>
              <c:strCache>
                <c:ptCount val="3"/>
                <c:pt idx="0">
                  <c:v>20-25</c:v>
                </c:pt>
                <c:pt idx="1">
                  <c:v>26-30</c:v>
                </c:pt>
                <c:pt idx="2">
                  <c:v>31-35</c:v>
                </c:pt>
              </c:strCache>
            </c:strRef>
          </c:cat>
          <c:val>
            <c:numRef>
              <c:f>telecom_churn!$CO$17:$CO$20</c:f>
              <c:numCache>
                <c:formatCode>General</c:formatCode>
                <c:ptCount val="3"/>
                <c:pt idx="0">
                  <c:v>84000</c:v>
                </c:pt>
                <c:pt idx="1">
                  <c:v>227000</c:v>
                </c:pt>
                <c:pt idx="2">
                  <c:v>168000</c:v>
                </c:pt>
              </c:numCache>
            </c:numRef>
          </c:val>
          <c:extLst>
            <c:ext xmlns:c16="http://schemas.microsoft.com/office/drawing/2014/chart" uri="{C3380CC4-5D6E-409C-BE32-E72D297353CC}">
              <c16:uniqueId val="{00000001-5C4E-4F13-A6E1-7165607A7EC8}"/>
            </c:ext>
          </c:extLst>
        </c:ser>
        <c:dLbls>
          <c:showLegendKey val="0"/>
          <c:showVal val="0"/>
          <c:showCatName val="0"/>
          <c:showSerName val="0"/>
          <c:showPercent val="0"/>
          <c:showBubbleSize val="0"/>
        </c:dLbls>
        <c:gapWidth val="219"/>
        <c:overlap val="-27"/>
        <c:axId val="1581824304"/>
        <c:axId val="1581831984"/>
      </c:barChart>
      <c:catAx>
        <c:axId val="158182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31984"/>
        <c:crosses val="autoZero"/>
        <c:auto val="1"/>
        <c:lblAlgn val="ctr"/>
        <c:lblOffset val="100"/>
        <c:noMultiLvlLbl val="0"/>
      </c:catAx>
      <c:valAx>
        <c:axId val="15818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2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telecom_churn!$DB$2</c:f>
              <c:strCache>
                <c:ptCount val="1"/>
                <c:pt idx="0">
                  <c:v>Total</c:v>
                </c:pt>
              </c:strCache>
            </c:strRef>
          </c:tx>
          <c:spPr>
            <a:solidFill>
              <a:schemeClr val="accent1"/>
            </a:solidFill>
            <a:ln>
              <a:noFill/>
            </a:ln>
            <a:effectLst/>
          </c:spPr>
          <c:invertIfNegative val="0"/>
          <c:cat>
            <c:multiLvlStrRef>
              <c:f>telecom_churn!$DA$3:$DA$13</c:f>
              <c:multiLvlStrCache>
                <c:ptCount val="6"/>
                <c:lvl>
                  <c:pt idx="0">
                    <c:v>Female</c:v>
                  </c:pt>
                  <c:pt idx="1">
                    <c:v>Male</c:v>
                  </c:pt>
                  <c:pt idx="2">
                    <c:v>Female</c:v>
                  </c:pt>
                  <c:pt idx="3">
                    <c:v>Female</c:v>
                  </c:pt>
                  <c:pt idx="4">
                    <c:v>Male</c:v>
                  </c:pt>
                  <c:pt idx="5">
                    <c:v>Male</c:v>
                  </c:pt>
                </c:lvl>
                <c:lvl>
                  <c:pt idx="0">
                    <c:v>Finance</c:v>
                  </c:pt>
                  <c:pt idx="2">
                    <c:v>HR</c:v>
                  </c:pt>
                  <c:pt idx="3">
                    <c:v>IT</c:v>
                  </c:pt>
                  <c:pt idx="5">
                    <c:v>Sales</c:v>
                  </c:pt>
                </c:lvl>
              </c:multiLvlStrCache>
            </c:multiLvlStrRef>
          </c:cat>
          <c:val>
            <c:numRef>
              <c:f>telecom_churn!$DB$3:$DB$13</c:f>
              <c:numCache>
                <c:formatCode>General</c:formatCode>
                <c:ptCount val="6"/>
                <c:pt idx="0">
                  <c:v>26</c:v>
                </c:pt>
                <c:pt idx="1">
                  <c:v>30</c:v>
                </c:pt>
                <c:pt idx="2">
                  <c:v>81</c:v>
                </c:pt>
                <c:pt idx="3">
                  <c:v>27</c:v>
                </c:pt>
                <c:pt idx="4">
                  <c:v>56</c:v>
                </c:pt>
                <c:pt idx="5">
                  <c:v>68</c:v>
                </c:pt>
              </c:numCache>
            </c:numRef>
          </c:val>
          <c:extLst>
            <c:ext xmlns:c16="http://schemas.microsoft.com/office/drawing/2014/chart" uri="{C3380CC4-5D6E-409C-BE32-E72D297353CC}">
              <c16:uniqueId val="{00000000-55BC-437B-99B7-D8ED63FF09E9}"/>
            </c:ext>
          </c:extLst>
        </c:ser>
        <c:dLbls>
          <c:showLegendKey val="0"/>
          <c:showVal val="0"/>
          <c:showCatName val="0"/>
          <c:showSerName val="0"/>
          <c:showPercent val="0"/>
          <c:showBubbleSize val="0"/>
        </c:dLbls>
        <c:gapWidth val="219"/>
        <c:overlap val="-27"/>
        <c:axId val="1955435440"/>
        <c:axId val="1955434000"/>
      </c:barChart>
      <c:catAx>
        <c:axId val="195543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34000"/>
        <c:crosses val="autoZero"/>
        <c:auto val="1"/>
        <c:lblAlgn val="ctr"/>
        <c:lblOffset val="100"/>
        <c:noMultiLvlLbl val="0"/>
      </c:catAx>
      <c:valAx>
        <c:axId val="195543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3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Bangalore</c:v>
              </c:pt>
              <c:pt idx="1">
                <c:v>Chennai</c:v>
              </c:pt>
              <c:pt idx="2">
                <c:v>Hyderabad</c:v>
              </c:pt>
              <c:pt idx="3">
                <c:v>Mumbai</c:v>
              </c:pt>
            </c:strLit>
          </c:cat>
          <c:val>
            <c:numLit>
              <c:formatCode>General</c:formatCode>
              <c:ptCount val="4"/>
              <c:pt idx="0">
                <c:v>3</c:v>
              </c:pt>
              <c:pt idx="1">
                <c:v>2</c:v>
              </c:pt>
              <c:pt idx="2">
                <c:v>3</c:v>
              </c:pt>
              <c:pt idx="3">
                <c:v>2</c:v>
              </c:pt>
            </c:numLit>
          </c:val>
          <c:extLst>
            <c:ext xmlns:c16="http://schemas.microsoft.com/office/drawing/2014/chart" uri="{C3380CC4-5D6E-409C-BE32-E72D297353CC}">
              <c16:uniqueId val="{00000000-ACB9-4ABD-9E18-34F3DAC94055}"/>
            </c:ext>
          </c:extLst>
        </c:ser>
        <c:dLbls>
          <c:showLegendKey val="0"/>
          <c:showVal val="0"/>
          <c:showCatName val="0"/>
          <c:showSerName val="0"/>
          <c:showPercent val="0"/>
          <c:showBubbleSize val="0"/>
        </c:dLbls>
        <c:gapWidth val="219"/>
        <c:overlap val="-27"/>
        <c:axId val="127131024"/>
        <c:axId val="127131504"/>
      </c:barChart>
      <c:catAx>
        <c:axId val="1271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504"/>
        <c:crosses val="autoZero"/>
        <c:auto val="1"/>
        <c:lblAlgn val="ctr"/>
        <c:lblOffset val="100"/>
        <c:noMultiLvlLbl val="0"/>
      </c:catAx>
      <c:valAx>
        <c:axId val="1271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telecom_churn!$CC$23</c:f>
              <c:strCache>
                <c:ptCount val="1"/>
                <c:pt idx="0">
                  <c:v>Total</c:v>
                </c:pt>
              </c:strCache>
            </c:strRef>
          </c:tx>
          <c:spPr>
            <a:solidFill>
              <a:schemeClr val="accent1"/>
            </a:solidFill>
            <a:ln>
              <a:noFill/>
            </a:ln>
            <a:effectLst/>
          </c:spPr>
          <c:invertIfNegative val="0"/>
          <c:cat>
            <c:strRef>
              <c:f>telecom_churn!$CB$24:$CB$28</c:f>
              <c:strCache>
                <c:ptCount val="4"/>
                <c:pt idx="0">
                  <c:v>Finance</c:v>
                </c:pt>
                <c:pt idx="1">
                  <c:v>HR</c:v>
                </c:pt>
                <c:pt idx="2">
                  <c:v>IT</c:v>
                </c:pt>
                <c:pt idx="3">
                  <c:v>Sales</c:v>
                </c:pt>
              </c:strCache>
            </c:strRef>
          </c:cat>
          <c:val>
            <c:numRef>
              <c:f>telecom_churn!$CC$24:$CC$28</c:f>
              <c:numCache>
                <c:formatCode>General</c:formatCode>
                <c:ptCount val="4"/>
                <c:pt idx="0">
                  <c:v>2</c:v>
                </c:pt>
                <c:pt idx="1">
                  <c:v>3</c:v>
                </c:pt>
                <c:pt idx="2">
                  <c:v>3</c:v>
                </c:pt>
                <c:pt idx="3">
                  <c:v>2</c:v>
                </c:pt>
              </c:numCache>
            </c:numRef>
          </c:val>
          <c:extLst>
            <c:ext xmlns:c16="http://schemas.microsoft.com/office/drawing/2014/chart" uri="{C3380CC4-5D6E-409C-BE32-E72D297353CC}">
              <c16:uniqueId val="{00000000-1C70-4422-94A6-3DE50A9609DB}"/>
            </c:ext>
          </c:extLst>
        </c:ser>
        <c:dLbls>
          <c:showLegendKey val="0"/>
          <c:showVal val="0"/>
          <c:showCatName val="0"/>
          <c:showSerName val="0"/>
          <c:showPercent val="0"/>
          <c:showBubbleSize val="0"/>
        </c:dLbls>
        <c:gapWidth val="219"/>
        <c:overlap val="-27"/>
        <c:axId val="98088720"/>
        <c:axId val="98088240"/>
      </c:barChart>
      <c:catAx>
        <c:axId val="980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8240"/>
        <c:crosses val="autoZero"/>
        <c:auto val="1"/>
        <c:lblAlgn val="ctr"/>
        <c:lblOffset val="100"/>
        <c:noMultiLvlLbl val="0"/>
      </c:catAx>
      <c:valAx>
        <c:axId val="9808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telecom_churn!$CN$22</c:f>
              <c:strCache>
                <c:ptCount val="1"/>
                <c:pt idx="0">
                  <c:v>Total</c:v>
                </c:pt>
              </c:strCache>
            </c:strRef>
          </c:tx>
          <c:spPr>
            <a:solidFill>
              <a:schemeClr val="accent1"/>
            </a:solidFill>
            <a:ln>
              <a:noFill/>
            </a:ln>
            <a:effectLst/>
            <a:sp3d/>
          </c:spPr>
          <c:invertIfNegative val="0"/>
          <c:cat>
            <c:strRef>
              <c:f>telecom_churn!$CM$23:$CM$25</c:f>
              <c:strCache>
                <c:ptCount val="2"/>
                <c:pt idx="0">
                  <c:v>Female</c:v>
                </c:pt>
                <c:pt idx="1">
                  <c:v>Male</c:v>
                </c:pt>
              </c:strCache>
            </c:strRef>
          </c:cat>
          <c:val>
            <c:numRef>
              <c:f>telecom_churn!$CN$23:$CN$25</c:f>
              <c:numCache>
                <c:formatCode>General</c:formatCode>
                <c:ptCount val="2"/>
                <c:pt idx="0">
                  <c:v>5</c:v>
                </c:pt>
                <c:pt idx="1">
                  <c:v>5</c:v>
                </c:pt>
              </c:numCache>
            </c:numRef>
          </c:val>
          <c:extLst>
            <c:ext xmlns:c16="http://schemas.microsoft.com/office/drawing/2014/chart" uri="{C3380CC4-5D6E-409C-BE32-E72D297353CC}">
              <c16:uniqueId val="{00000000-82DC-43CE-8F4E-F61A919A4766}"/>
            </c:ext>
          </c:extLst>
        </c:ser>
        <c:dLbls>
          <c:showLegendKey val="0"/>
          <c:showVal val="0"/>
          <c:showCatName val="0"/>
          <c:showSerName val="0"/>
          <c:showPercent val="0"/>
          <c:showBubbleSize val="0"/>
        </c:dLbls>
        <c:gapWidth val="150"/>
        <c:shape val="box"/>
        <c:axId val="119806976"/>
        <c:axId val="119807456"/>
        <c:axId val="0"/>
      </c:bar3DChart>
      <c:catAx>
        <c:axId val="11980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456"/>
        <c:crosses val="autoZero"/>
        <c:auto val="1"/>
        <c:lblAlgn val="ctr"/>
        <c:lblOffset val="100"/>
        <c:noMultiLvlLbl val="0"/>
      </c:catAx>
      <c:valAx>
        <c:axId val="11980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telecom_churn!$CM$8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C-40D2-A164-7D2EC6D9BD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C-40D2-A164-7D2EC6D9BD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C-40D2-A164-7D2EC6D9BD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CC-40D2-A164-7D2EC6D9BD51}"/>
              </c:ext>
            </c:extLst>
          </c:dPt>
          <c:cat>
            <c:strRef>
              <c:f>telecom_churn!$CL$9:$CL$13</c:f>
              <c:strCache>
                <c:ptCount val="4"/>
                <c:pt idx="0">
                  <c:v>Finance</c:v>
                </c:pt>
                <c:pt idx="1">
                  <c:v>HR</c:v>
                </c:pt>
                <c:pt idx="2">
                  <c:v>IT</c:v>
                </c:pt>
                <c:pt idx="3">
                  <c:v>Sales</c:v>
                </c:pt>
              </c:strCache>
            </c:strRef>
          </c:cat>
          <c:val>
            <c:numRef>
              <c:f>telecom_churn!$CM$9:$CM$13</c:f>
              <c:numCache>
                <c:formatCode>General</c:formatCode>
                <c:ptCount val="4"/>
                <c:pt idx="0">
                  <c:v>97000</c:v>
                </c:pt>
                <c:pt idx="1">
                  <c:v>121000</c:v>
                </c:pt>
                <c:pt idx="2">
                  <c:v>153000</c:v>
                </c:pt>
                <c:pt idx="3">
                  <c:v>108000</c:v>
                </c:pt>
              </c:numCache>
            </c:numRef>
          </c:val>
          <c:extLst>
            <c:ext xmlns:c16="http://schemas.microsoft.com/office/drawing/2014/chart" uri="{C3380CC4-5D6E-409C-BE32-E72D297353CC}">
              <c16:uniqueId val="{00000000-FD61-48E4-8F89-4C600D8556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Excel18.xlsx]telecom_churn!PivotTable4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telecom_churn!$CM$3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2C-4D1A-A86E-AF3221D3D2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2C-4D1A-A86E-AF3221D3D246}"/>
              </c:ext>
            </c:extLst>
          </c:dPt>
          <c:cat>
            <c:strRef>
              <c:f>telecom_churn!$CL$4:$CL$5</c:f>
              <c:strCache>
                <c:ptCount val="1"/>
                <c:pt idx="0">
                  <c:v>Male</c:v>
                </c:pt>
              </c:strCache>
            </c:strRef>
          </c:cat>
          <c:val>
            <c:numRef>
              <c:f>telecom_churn!$CM$4:$CM$5</c:f>
              <c:numCache>
                <c:formatCode>General</c:formatCode>
                <c:ptCount val="1"/>
                <c:pt idx="0">
                  <c:v>263000</c:v>
                </c:pt>
              </c:numCache>
            </c:numRef>
          </c:val>
          <c:extLst>
            <c:ext xmlns:c16="http://schemas.microsoft.com/office/drawing/2014/chart" uri="{C3380CC4-5D6E-409C-BE32-E72D297353CC}">
              <c16:uniqueId val="{00000000-D2A4-427F-B767-E76F50BEBD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Excel18.xlsx]Sheet1!PivotTable10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737108318259"/>
          <c:y val="0.18902495677050904"/>
          <c:w val="0.78188012291566833"/>
          <c:h val="0.66812391991702447"/>
        </c:manualLayout>
      </c:layout>
      <c:barChart>
        <c:barDir val="col"/>
        <c:grouping val="clustered"/>
        <c:varyColors val="0"/>
        <c:ser>
          <c:idx val="0"/>
          <c:order val="0"/>
          <c:tx>
            <c:strRef>
              <c:f>Sheet1!$AM$27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Sheet1!$AL$28:$AL$34</c:f>
              <c:strCache>
                <c:ptCount val="6"/>
                <c:pt idx="0">
                  <c:v>Analyst</c:v>
                </c:pt>
                <c:pt idx="1">
                  <c:v>Developer</c:v>
                </c:pt>
                <c:pt idx="2">
                  <c:v>Executive</c:v>
                </c:pt>
                <c:pt idx="3">
                  <c:v>Manager</c:v>
                </c:pt>
                <c:pt idx="4">
                  <c:v>Recruiter</c:v>
                </c:pt>
                <c:pt idx="5">
                  <c:v>Tester</c:v>
                </c:pt>
              </c:strCache>
            </c:strRef>
          </c:cat>
          <c:val>
            <c:numRef>
              <c:f>Sheet1!$AM$28:$AM$34</c:f>
              <c:numCache>
                <c:formatCode>General</c:formatCode>
                <c:ptCount val="6"/>
                <c:pt idx="0">
                  <c:v>187000</c:v>
                </c:pt>
                <c:pt idx="1">
                  <c:v>185000</c:v>
                </c:pt>
                <c:pt idx="2">
                  <c:v>278000</c:v>
                </c:pt>
                <c:pt idx="3">
                  <c:v>305000</c:v>
                </c:pt>
                <c:pt idx="4">
                  <c:v>96000</c:v>
                </c:pt>
                <c:pt idx="5">
                  <c:v>94000</c:v>
                </c:pt>
              </c:numCache>
            </c:numRef>
          </c:val>
          <c:extLst>
            <c:ext xmlns:c16="http://schemas.microsoft.com/office/drawing/2014/chart" uri="{C3380CC4-5D6E-409C-BE32-E72D297353CC}">
              <c16:uniqueId val="{00000000-E3FA-4D2B-BE11-CD2DCE725B9A}"/>
            </c:ext>
          </c:extLst>
        </c:ser>
        <c:dLbls>
          <c:showLegendKey val="0"/>
          <c:showVal val="0"/>
          <c:showCatName val="0"/>
          <c:showSerName val="0"/>
          <c:showPercent val="0"/>
          <c:showBubbleSize val="0"/>
        </c:dLbls>
        <c:gapWidth val="315"/>
        <c:overlap val="-40"/>
        <c:axId val="323301183"/>
        <c:axId val="323291583"/>
      </c:barChart>
      <c:catAx>
        <c:axId val="323301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91583"/>
        <c:crosses val="autoZero"/>
        <c:auto val="1"/>
        <c:lblAlgn val="ctr"/>
        <c:lblOffset val="100"/>
        <c:noMultiLvlLbl val="0"/>
      </c:catAx>
      <c:valAx>
        <c:axId val="323291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30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Excel18.xlsx]Sheet1!PivotTable13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Sheet1!$AQ$28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9D-4B54-8535-E8BED44C35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9D-4B54-8535-E8BED44C35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9D-4B54-8535-E8BED44C35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9D-4B54-8535-E8BED44C35D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9D-4B54-8535-E8BED44C35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Sheet1!$AP$29:$AP$34</c:f>
              <c:strCache>
                <c:ptCount val="5"/>
                <c:pt idx="0">
                  <c:v>Finance</c:v>
                </c:pt>
                <c:pt idx="1">
                  <c:v>HR</c:v>
                </c:pt>
                <c:pt idx="2">
                  <c:v>IT</c:v>
                </c:pt>
                <c:pt idx="3">
                  <c:v>Marketing</c:v>
                </c:pt>
                <c:pt idx="4">
                  <c:v>Sales</c:v>
                </c:pt>
              </c:strCache>
            </c:strRef>
          </c:cat>
          <c:val>
            <c:numRef>
              <c:f>Sheet1!$AQ$29:$AQ$34</c:f>
              <c:numCache>
                <c:formatCode>General</c:formatCode>
                <c:ptCount val="5"/>
                <c:pt idx="0">
                  <c:v>30</c:v>
                </c:pt>
                <c:pt idx="1">
                  <c:v>11</c:v>
                </c:pt>
                <c:pt idx="2">
                  <c:v>15</c:v>
                </c:pt>
                <c:pt idx="3">
                  <c:v>24</c:v>
                </c:pt>
                <c:pt idx="4">
                  <c:v>34</c:v>
                </c:pt>
              </c:numCache>
            </c:numRef>
          </c:val>
          <c:extLst>
            <c:ext xmlns:c16="http://schemas.microsoft.com/office/drawing/2014/chart" uri="{C3380CC4-5D6E-409C-BE32-E72D297353CC}">
              <c16:uniqueId val="{00000000-DD2F-43FE-85B2-01AAFABC7B8E}"/>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Excel18.xlsx]Sheet1!PivotTable16</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Sheet1!$Y$48:$Y$49</c:f>
              <c:strCache>
                <c:ptCount val="1"/>
                <c:pt idx="0">
                  <c:v>Female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Sheet1!$X$50:$X$55</c:f>
              <c:strCache>
                <c:ptCount val="5"/>
                <c:pt idx="0">
                  <c:v>Finance</c:v>
                </c:pt>
                <c:pt idx="1">
                  <c:v>HR</c:v>
                </c:pt>
                <c:pt idx="2">
                  <c:v>IT</c:v>
                </c:pt>
                <c:pt idx="3">
                  <c:v>Marketing</c:v>
                </c:pt>
                <c:pt idx="4">
                  <c:v>Sales</c:v>
                </c:pt>
              </c:strCache>
            </c:strRef>
          </c:cat>
          <c:val>
            <c:numRef>
              <c:f>Sheet1!$Y$50:$Y$55</c:f>
              <c:numCache>
                <c:formatCode>General</c:formatCode>
                <c:ptCount val="5"/>
                <c:pt idx="0">
                  <c:v>2</c:v>
                </c:pt>
                <c:pt idx="1">
                  <c:v>2</c:v>
                </c:pt>
                <c:pt idx="2">
                  <c:v>2</c:v>
                </c:pt>
                <c:pt idx="3">
                  <c:v>3</c:v>
                </c:pt>
                <c:pt idx="4">
                  <c:v>1</c:v>
                </c:pt>
              </c:numCache>
            </c:numRef>
          </c:val>
          <c:extLst>
            <c:ext xmlns:c16="http://schemas.microsoft.com/office/drawing/2014/chart" uri="{C3380CC4-5D6E-409C-BE32-E72D297353CC}">
              <c16:uniqueId val="{00000000-3500-4E80-8B2C-E6E98FF6B635}"/>
            </c:ext>
          </c:extLst>
        </c:ser>
        <c:ser>
          <c:idx val="1"/>
          <c:order val="1"/>
          <c:tx>
            <c:strRef>
              <c:f>Sheet1!$Z$48:$Z$49</c:f>
              <c:strCache>
                <c:ptCount val="1"/>
                <c:pt idx="0">
                  <c:v>Male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Sheet1!$X$50:$X$55</c:f>
              <c:strCache>
                <c:ptCount val="5"/>
                <c:pt idx="0">
                  <c:v>Finance</c:v>
                </c:pt>
                <c:pt idx="1">
                  <c:v>HR</c:v>
                </c:pt>
                <c:pt idx="2">
                  <c:v>IT</c:v>
                </c:pt>
                <c:pt idx="3">
                  <c:v>Marketing</c:v>
                </c:pt>
                <c:pt idx="4">
                  <c:v>Sales</c:v>
                </c:pt>
              </c:strCache>
            </c:strRef>
          </c:cat>
          <c:val>
            <c:numRef>
              <c:f>Sheet1!$Z$50:$Z$55</c:f>
              <c:numCache>
                <c:formatCode>General</c:formatCode>
                <c:ptCount val="5"/>
                <c:pt idx="0">
                  <c:v>2</c:v>
                </c:pt>
                <c:pt idx="1">
                  <c:v>1</c:v>
                </c:pt>
                <c:pt idx="2">
                  <c:v>4</c:v>
                </c:pt>
                <c:pt idx="4">
                  <c:v>3</c:v>
                </c:pt>
              </c:numCache>
            </c:numRef>
          </c:val>
          <c:extLst>
            <c:ext xmlns:c16="http://schemas.microsoft.com/office/drawing/2014/chart" uri="{C3380CC4-5D6E-409C-BE32-E72D297353CC}">
              <c16:uniqueId val="{00000001-3500-4E80-8B2C-E6E98FF6B635}"/>
            </c:ext>
          </c:extLst>
        </c:ser>
        <c:dLbls>
          <c:showLegendKey val="0"/>
          <c:showVal val="0"/>
          <c:showCatName val="0"/>
          <c:showSerName val="0"/>
          <c:showPercent val="0"/>
          <c:showBubbleSize val="0"/>
        </c:dLbls>
        <c:gapWidth val="315"/>
        <c:overlap val="-40"/>
        <c:axId val="323277663"/>
        <c:axId val="323279103"/>
      </c:barChart>
      <c:catAx>
        <c:axId val="323277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79103"/>
        <c:crosses val="autoZero"/>
        <c:auto val="1"/>
        <c:lblAlgn val="ctr"/>
        <c:lblOffset val="100"/>
        <c:noMultiLvlLbl val="0"/>
      </c:catAx>
      <c:valAx>
        <c:axId val="323279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7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Excel18.xlsx]Sheet1!PivotTable19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Sheet1!$AE$54:$AE$57</c:f>
              <c:strCache>
                <c:ptCount val="3"/>
                <c:pt idx="0">
                  <c:v>Average</c:v>
                </c:pt>
                <c:pt idx="1">
                  <c:v>Excellent</c:v>
                </c:pt>
                <c:pt idx="2">
                  <c:v>Good</c:v>
                </c:pt>
              </c:strCache>
            </c:strRef>
          </c:cat>
          <c:val>
            <c:numRef>
              <c:f>Sheet1!$AF$54:$AF$57</c:f>
              <c:numCache>
                <c:formatCode>General</c:formatCode>
                <c:ptCount val="3"/>
                <c:pt idx="0">
                  <c:v>11</c:v>
                </c:pt>
                <c:pt idx="1">
                  <c:v>61</c:v>
                </c:pt>
                <c:pt idx="2">
                  <c:v>42</c:v>
                </c:pt>
              </c:numCache>
            </c:numRef>
          </c:val>
          <c:extLst>
            <c:ext xmlns:c16="http://schemas.microsoft.com/office/drawing/2014/chart" uri="{C3380CC4-5D6E-409C-BE32-E72D297353CC}">
              <c16:uniqueId val="{00000000-D9BE-4F72-B86A-FA621CDA5C38}"/>
            </c:ext>
          </c:extLst>
        </c:ser>
        <c:dLbls>
          <c:showLegendKey val="0"/>
          <c:showVal val="0"/>
          <c:showCatName val="0"/>
          <c:showSerName val="0"/>
          <c:showPercent val="0"/>
          <c:showBubbleSize val="0"/>
        </c:dLbls>
        <c:gapWidth val="100"/>
        <c:overlap val="-24"/>
        <c:axId val="635640751"/>
        <c:axId val="635641711"/>
      </c:barChart>
      <c:catAx>
        <c:axId val="63564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641711"/>
        <c:crosses val="autoZero"/>
        <c:auto val="1"/>
        <c:lblAlgn val="ctr"/>
        <c:lblOffset val="100"/>
        <c:noMultiLvlLbl val="0"/>
      </c:catAx>
      <c:valAx>
        <c:axId val="635641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64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69E3896-1AC8-4F35-86E4-13159C3A5971}">
  <sheetPr codeName="Chart1"/>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image" Target="../media/image4.png"/><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BC0ACF6B-1ECF-C900-79A3-A18DA5F9CE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10</xdr:col>
      <xdr:colOff>504825</xdr:colOff>
      <xdr:row>11</xdr:row>
      <xdr:rowOff>119062</xdr:rowOff>
    </xdr:from>
    <xdr:to>
      <xdr:col>17</xdr:col>
      <xdr:colOff>561975</xdr:colOff>
      <xdr:row>26</xdr:row>
      <xdr:rowOff>4762</xdr:rowOff>
    </xdr:to>
    <xdr:graphicFrame macro="">
      <xdr:nvGraphicFramePr>
        <xdr:cNvPr id="8" name="Chart 7">
          <a:extLst>
            <a:ext uri="{FF2B5EF4-FFF2-40B4-BE49-F238E27FC236}">
              <a16:creationId xmlns:a16="http://schemas.microsoft.com/office/drawing/2014/main" id="{6E50301E-446D-20CC-5D39-05719AD6B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495300</xdr:colOff>
      <xdr:row>12</xdr:row>
      <xdr:rowOff>28575</xdr:rowOff>
    </xdr:from>
    <xdr:to>
      <xdr:col>21</xdr:col>
      <xdr:colOff>495300</xdr:colOff>
      <xdr:row>24</xdr:row>
      <xdr:rowOff>180975</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F6D1F2F2-EE03-5326-ACF3-9BBAD2770ED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020675" y="238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5</xdr:row>
      <xdr:rowOff>4762</xdr:rowOff>
    </xdr:from>
    <xdr:to>
      <xdr:col>10</xdr:col>
      <xdr:colOff>276225</xdr:colOff>
      <xdr:row>19</xdr:row>
      <xdr:rowOff>23812</xdr:rowOff>
    </xdr:to>
    <xdr:graphicFrame macro="">
      <xdr:nvGraphicFramePr>
        <xdr:cNvPr id="10" name="Chart 9">
          <a:extLst>
            <a:ext uri="{FF2B5EF4-FFF2-40B4-BE49-F238E27FC236}">
              <a16:creationId xmlns:a16="http://schemas.microsoft.com/office/drawing/2014/main" id="{DF2E7FA2-B26F-2A03-E47E-2DB21DE66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85725</xdr:colOff>
      <xdr:row>20</xdr:row>
      <xdr:rowOff>76200</xdr:rowOff>
    </xdr:from>
    <xdr:to>
      <xdr:col>9</xdr:col>
      <xdr:colOff>695325</xdr:colOff>
      <xdr:row>33</xdr:row>
      <xdr:rowOff>28575</xdr:rowOff>
    </xdr:to>
    <mc:AlternateContent xmlns:mc="http://schemas.openxmlformats.org/markup-compatibility/2006" xmlns:a14="http://schemas.microsoft.com/office/drawing/2010/main">
      <mc:Choice Requires="a14">
        <xdr:graphicFrame macro="">
          <xdr:nvGraphicFramePr>
            <xdr:cNvPr id="11" name="Department 3">
              <a:extLst>
                <a:ext uri="{FF2B5EF4-FFF2-40B4-BE49-F238E27FC236}">
                  <a16:creationId xmlns:a16="http://schemas.microsoft.com/office/drawing/2014/main" id="{983E288F-F6E7-C152-2E37-511969006732}"/>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248275" y="400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790575</xdr:colOff>
      <xdr:row>28</xdr:row>
      <xdr:rowOff>66675</xdr:rowOff>
    </xdr:from>
    <xdr:to>
      <xdr:col>6</xdr:col>
      <xdr:colOff>542925</xdr:colOff>
      <xdr:row>41</xdr:row>
      <xdr:rowOff>66675</xdr:rowOff>
    </xdr:to>
    <mc:AlternateContent xmlns:mc="http://schemas.openxmlformats.org/markup-compatibility/2006" xmlns:a14="http://schemas.microsoft.com/office/drawing/2010/main">
      <mc:Choice Requires="a14">
        <xdr:graphicFrame macro="">
          <xdr:nvGraphicFramePr>
            <xdr:cNvPr id="12" name="Department 4">
              <a:extLst>
                <a:ext uri="{FF2B5EF4-FFF2-40B4-BE49-F238E27FC236}">
                  <a16:creationId xmlns:a16="http://schemas.microsoft.com/office/drawing/2014/main" id="{5AB515D1-55CC-1EB8-1EA2-B53316751C08}"/>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3267075" y="558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28</xdr:row>
      <xdr:rowOff>9525</xdr:rowOff>
    </xdr:from>
    <xdr:to>
      <xdr:col>3</xdr:col>
      <xdr:colOff>342900</xdr:colOff>
      <xdr:row>39</xdr:row>
      <xdr:rowOff>161925</xdr:rowOff>
    </xdr:to>
    <mc:AlternateContent xmlns:mc="http://schemas.openxmlformats.org/markup-compatibility/2006" xmlns:a14="http://schemas.microsoft.com/office/drawing/2010/main">
      <mc:Choice Requires="a14">
        <xdr:graphicFrame macro="">
          <xdr:nvGraphicFramePr>
            <xdr:cNvPr id="13" name="Salary">
              <a:extLst>
                <a:ext uri="{FF2B5EF4-FFF2-40B4-BE49-F238E27FC236}">
                  <a16:creationId xmlns:a16="http://schemas.microsoft.com/office/drawing/2014/main" id="{276A65EE-C34C-5363-443C-E3946E8FBB28}"/>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990600" y="5524500"/>
              <a:ext cx="1828800"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352425</xdr:colOff>
      <xdr:row>27</xdr:row>
      <xdr:rowOff>100012</xdr:rowOff>
    </xdr:from>
    <xdr:to>
      <xdr:col>20</xdr:col>
      <xdr:colOff>47625</xdr:colOff>
      <xdr:row>41</xdr:row>
      <xdr:rowOff>119062</xdr:rowOff>
    </xdr:to>
    <xdr:graphicFrame macro="">
      <xdr:nvGraphicFramePr>
        <xdr:cNvPr id="14" name="Chart 13">
          <a:extLst>
            <a:ext uri="{FF2B5EF4-FFF2-40B4-BE49-F238E27FC236}">
              <a16:creationId xmlns:a16="http://schemas.microsoft.com/office/drawing/2014/main" id="{5140FED2-EADF-D029-CFB8-716FDE7B8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504825</xdr:colOff>
      <xdr:row>32</xdr:row>
      <xdr:rowOff>38100</xdr:rowOff>
    </xdr:from>
    <xdr:to>
      <xdr:col>11</xdr:col>
      <xdr:colOff>581025</xdr:colOff>
      <xdr:row>45</xdr:row>
      <xdr:rowOff>66675</xdr:rowOff>
    </xdr:to>
    <mc:AlternateContent xmlns:mc="http://schemas.openxmlformats.org/markup-compatibility/2006" xmlns:a14="http://schemas.microsoft.com/office/drawing/2010/main">
      <mc:Choice Requires="a14">
        <xdr:graphicFrame macro="">
          <xdr:nvGraphicFramePr>
            <xdr:cNvPr id="15" name="Gender 4">
              <a:extLst>
                <a:ext uri="{FF2B5EF4-FFF2-40B4-BE49-F238E27FC236}">
                  <a16:creationId xmlns:a16="http://schemas.microsoft.com/office/drawing/2014/main" id="{0BC26AB4-32F9-857E-718C-2F23D58A05D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886575" y="634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28</xdr:row>
      <xdr:rowOff>123825</xdr:rowOff>
    </xdr:from>
    <xdr:to>
      <xdr:col>23</xdr:col>
      <xdr:colOff>190500</xdr:colOff>
      <xdr:row>41</xdr:row>
      <xdr:rowOff>123825</xdr:rowOff>
    </xdr:to>
    <mc:AlternateContent xmlns:mc="http://schemas.openxmlformats.org/markup-compatibility/2006" xmlns:a14="http://schemas.microsoft.com/office/drawing/2010/main">
      <mc:Choice Requires="a14">
        <xdr:graphicFrame macro="">
          <xdr:nvGraphicFramePr>
            <xdr:cNvPr id="16" name="Age">
              <a:extLst>
                <a:ext uri="{FF2B5EF4-FFF2-40B4-BE49-F238E27FC236}">
                  <a16:creationId xmlns:a16="http://schemas.microsoft.com/office/drawing/2014/main" id="{673F67F4-E9D7-32D1-716D-AF385374ED2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935075" y="563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10</xdr:col>
      <xdr:colOff>46307</xdr:colOff>
      <xdr:row>70</xdr:row>
      <xdr:rowOff>47628</xdr:rowOff>
    </xdr:from>
    <xdr:ext cx="585575" cy="308846"/>
    <xdr:pic>
      <xdr:nvPicPr>
        <xdr:cNvPr id="12" name="Picture 11" descr="Amazon Logo and symbol, meaning, history, PNG, brand">
          <a:extLst>
            <a:ext uri="{FF2B5EF4-FFF2-40B4-BE49-F238E27FC236}">
              <a16:creationId xmlns:a16="http://schemas.microsoft.com/office/drawing/2014/main" id="{55363D9B-BCCA-4647-AB2B-C31D02FEC9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8628" y="20063735"/>
          <a:ext cx="585575" cy="3088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23813</xdr:colOff>
      <xdr:row>71</xdr:row>
      <xdr:rowOff>53580</xdr:rowOff>
    </xdr:from>
    <xdr:ext cx="589359" cy="323356"/>
    <xdr:pic>
      <xdr:nvPicPr>
        <xdr:cNvPr id="13" name="Picture 12" descr="Netflix | Brand Assets | Logos">
          <a:extLst>
            <a:ext uri="{FF2B5EF4-FFF2-40B4-BE49-F238E27FC236}">
              <a16:creationId xmlns:a16="http://schemas.microsoft.com/office/drawing/2014/main" id="{291B68B7-08B7-407B-BFF7-156D6A064B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6134" y="20260187"/>
          <a:ext cx="589359" cy="3233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41672</xdr:colOff>
      <xdr:row>72</xdr:row>
      <xdr:rowOff>59533</xdr:rowOff>
    </xdr:from>
    <xdr:ext cx="529828" cy="304145"/>
    <xdr:pic>
      <xdr:nvPicPr>
        <xdr:cNvPr id="14" name="Picture 13" descr="Google Logo and symbol, meaning, history, PNG, brand">
          <a:extLst>
            <a:ext uri="{FF2B5EF4-FFF2-40B4-BE49-F238E27FC236}">
              <a16:creationId xmlns:a16="http://schemas.microsoft.com/office/drawing/2014/main" id="{97187D5F-16B2-46EA-B9B2-3D601A2373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3993" y="20456640"/>
          <a:ext cx="529828" cy="30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43</xdr:col>
      <xdr:colOff>16564</xdr:colOff>
      <xdr:row>51</xdr:row>
      <xdr:rowOff>190500</xdr:rowOff>
    </xdr:from>
    <xdr:to>
      <xdr:col>49</xdr:col>
      <xdr:colOff>8281</xdr:colOff>
      <xdr:row>65</xdr:row>
      <xdr:rowOff>101048</xdr:rowOff>
    </xdr:to>
    <xdr:graphicFrame macro="">
      <xdr:nvGraphicFramePr>
        <xdr:cNvPr id="3" name="Chart 2">
          <a:extLst>
            <a:ext uri="{FF2B5EF4-FFF2-40B4-BE49-F238E27FC236}">
              <a16:creationId xmlns:a16="http://schemas.microsoft.com/office/drawing/2014/main" id="{D40A981D-47FE-48DC-BEC3-66138722F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803413</xdr:colOff>
      <xdr:row>67</xdr:row>
      <xdr:rowOff>165652</xdr:rowOff>
    </xdr:from>
    <xdr:to>
      <xdr:col>48</xdr:col>
      <xdr:colOff>1068457</xdr:colOff>
      <xdr:row>80</xdr:row>
      <xdr:rowOff>4969</xdr:rowOff>
    </xdr:to>
    <xdr:graphicFrame macro="">
      <xdr:nvGraphicFramePr>
        <xdr:cNvPr id="7" name="Chart 6">
          <a:extLst>
            <a:ext uri="{FF2B5EF4-FFF2-40B4-BE49-F238E27FC236}">
              <a16:creationId xmlns:a16="http://schemas.microsoft.com/office/drawing/2014/main" id="{C5812975-6C99-4117-B034-A156CCF7C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969064</xdr:colOff>
      <xdr:row>67</xdr:row>
      <xdr:rowOff>240195</xdr:rowOff>
    </xdr:from>
    <xdr:to>
      <xdr:col>56</xdr:col>
      <xdr:colOff>107673</xdr:colOff>
      <xdr:row>80</xdr:row>
      <xdr:rowOff>34786</xdr:rowOff>
    </xdr:to>
    <xdr:graphicFrame macro="">
      <xdr:nvGraphicFramePr>
        <xdr:cNvPr id="11" name="Chart 10">
          <a:extLst>
            <a:ext uri="{FF2B5EF4-FFF2-40B4-BE49-F238E27FC236}">
              <a16:creationId xmlns:a16="http://schemas.microsoft.com/office/drawing/2014/main" id="{2C5A86E7-20E4-44AB-8038-D56A7365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770282</xdr:colOff>
      <xdr:row>81</xdr:row>
      <xdr:rowOff>140804</xdr:rowOff>
    </xdr:from>
    <xdr:to>
      <xdr:col>48</xdr:col>
      <xdr:colOff>1035326</xdr:colOff>
      <xdr:row>95</xdr:row>
      <xdr:rowOff>217004</xdr:rowOff>
    </xdr:to>
    <xdr:graphicFrame macro="">
      <xdr:nvGraphicFramePr>
        <xdr:cNvPr id="16" name="Chart 15">
          <a:extLst>
            <a:ext uri="{FF2B5EF4-FFF2-40B4-BE49-F238E27FC236}">
              <a16:creationId xmlns:a16="http://schemas.microsoft.com/office/drawing/2014/main" id="{016CF4E6-BF16-4E70-AECD-B09BBC1B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24848</xdr:colOff>
      <xdr:row>82</xdr:row>
      <xdr:rowOff>99391</xdr:rowOff>
    </xdr:from>
    <xdr:to>
      <xdr:col>56</xdr:col>
      <xdr:colOff>140804</xdr:colOff>
      <xdr:row>95</xdr:row>
      <xdr:rowOff>366091</xdr:rowOff>
    </xdr:to>
    <xdr:graphicFrame macro="">
      <xdr:nvGraphicFramePr>
        <xdr:cNvPr id="18" name="Chart 17">
          <a:extLst>
            <a:ext uri="{FF2B5EF4-FFF2-40B4-BE49-F238E27FC236}">
              <a16:creationId xmlns:a16="http://schemas.microsoft.com/office/drawing/2014/main" id="{75207F51-0300-407D-8459-F2CC44853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0</xdr:colOff>
      <xdr:row>75</xdr:row>
      <xdr:rowOff>0</xdr:rowOff>
    </xdr:from>
    <xdr:to>
      <xdr:col>42</xdr:col>
      <xdr:colOff>561756</xdr:colOff>
      <xdr:row>89</xdr:row>
      <xdr:rowOff>98611</xdr:rowOff>
    </xdr:to>
    <xdr:graphicFrame macro="">
      <xdr:nvGraphicFramePr>
        <xdr:cNvPr id="2" name="Chart 1">
          <a:extLst>
            <a:ext uri="{FF2B5EF4-FFF2-40B4-BE49-F238E27FC236}">
              <a16:creationId xmlns:a16="http://schemas.microsoft.com/office/drawing/2014/main" id="{F222F05A-4E79-4641-BFC8-6FA8BFF5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82</xdr:col>
      <xdr:colOff>246529</xdr:colOff>
      <xdr:row>14</xdr:row>
      <xdr:rowOff>34737</xdr:rowOff>
    </xdr:from>
    <xdr:to>
      <xdr:col>88</xdr:col>
      <xdr:colOff>246529</xdr:colOff>
      <xdr:row>19</xdr:row>
      <xdr:rowOff>447113</xdr:rowOff>
    </xdr:to>
    <xdr:graphicFrame macro="">
      <xdr:nvGraphicFramePr>
        <xdr:cNvPr id="6" name="Chart 5">
          <a:extLst>
            <a:ext uri="{FF2B5EF4-FFF2-40B4-BE49-F238E27FC236}">
              <a16:creationId xmlns:a16="http://schemas.microsoft.com/office/drawing/2014/main" id="{97B09FD1-B117-04AF-BE12-9B339D2E9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98</xdr:col>
      <xdr:colOff>199269</xdr:colOff>
      <xdr:row>14</xdr:row>
      <xdr:rowOff>145822</xdr:rowOff>
    </xdr:from>
    <xdr:to>
      <xdr:col>106</xdr:col>
      <xdr:colOff>356151</xdr:colOff>
      <xdr:row>19</xdr:row>
      <xdr:rowOff>555275</xdr:rowOff>
    </xdr:to>
    <xdr:graphicFrame macro="">
      <xdr:nvGraphicFramePr>
        <xdr:cNvPr id="8" name="Chart 7">
          <a:extLst>
            <a:ext uri="{FF2B5EF4-FFF2-40B4-BE49-F238E27FC236}">
              <a16:creationId xmlns:a16="http://schemas.microsoft.com/office/drawing/2014/main" id="{AE74E514-0AC0-4CE0-D628-F55283A48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93</xdr:col>
      <xdr:colOff>264777</xdr:colOff>
      <xdr:row>14</xdr:row>
      <xdr:rowOff>364094</xdr:rowOff>
    </xdr:from>
    <xdr:to>
      <xdr:col>95</xdr:col>
      <xdr:colOff>134789</xdr:colOff>
      <xdr:row>19</xdr:row>
      <xdr:rowOff>546190</xdr:rowOff>
    </xdr:to>
    <mc:AlternateContent xmlns:mc="http://schemas.openxmlformats.org/markup-compatibility/2006" xmlns:a14="http://schemas.microsoft.com/office/drawing/2010/main">
      <mc:Choice Requires="a14">
        <xdr:graphicFrame macro="">
          <xdr:nvGraphicFramePr>
            <xdr:cNvPr id="9" name="age bins">
              <a:extLst>
                <a:ext uri="{FF2B5EF4-FFF2-40B4-BE49-F238E27FC236}">
                  <a16:creationId xmlns:a16="http://schemas.microsoft.com/office/drawing/2014/main" id="{89C97664-C6BD-AEF5-87D5-8A354C9F901D}"/>
                </a:ext>
              </a:extLst>
            </xdr:cNvPr>
            <xdr:cNvGraphicFramePr/>
          </xdr:nvGraphicFramePr>
          <xdr:xfrm>
            <a:off x="0" y="0"/>
            <a:ext cx="0" cy="0"/>
          </xdr:xfrm>
          <a:graphic>
            <a:graphicData uri="http://schemas.microsoft.com/office/drawing/2010/slicer">
              <sle:slicer xmlns:sle="http://schemas.microsoft.com/office/drawing/2010/slicer" name="age bins"/>
            </a:graphicData>
          </a:graphic>
        </xdr:graphicFrame>
      </mc:Choice>
      <mc:Fallback xmlns="">
        <xdr:sp macro="" textlink="">
          <xdr:nvSpPr>
            <xdr:cNvPr id="0" name=""/>
            <xdr:cNvSpPr>
              <a:spLocks noTextEdit="1"/>
            </xdr:cNvSpPr>
          </xdr:nvSpPr>
          <xdr:spPr>
            <a:xfrm>
              <a:off x="81336134" y="7439808"/>
              <a:ext cx="1796784" cy="2536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106</xdr:col>
      <xdr:colOff>336176</xdr:colOff>
      <xdr:row>1</xdr:row>
      <xdr:rowOff>79562</xdr:rowOff>
    </xdr:from>
    <xdr:to>
      <xdr:col>113</xdr:col>
      <xdr:colOff>437030</xdr:colOff>
      <xdr:row>6</xdr:row>
      <xdr:rowOff>145677</xdr:rowOff>
    </xdr:to>
    <xdr:graphicFrame macro="">
      <xdr:nvGraphicFramePr>
        <xdr:cNvPr id="10" name="Chart 9">
          <a:extLst>
            <a:ext uri="{FF2B5EF4-FFF2-40B4-BE49-F238E27FC236}">
              <a16:creationId xmlns:a16="http://schemas.microsoft.com/office/drawing/2014/main" id="{987BA1A5-30E2-9515-ECDA-A671C672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106</xdr:col>
      <xdr:colOff>300879</xdr:colOff>
      <xdr:row>6</xdr:row>
      <xdr:rowOff>703730</xdr:rowOff>
    </xdr:from>
    <xdr:to>
      <xdr:col>108</xdr:col>
      <xdr:colOff>410575</xdr:colOff>
      <xdr:row>11</xdr:row>
      <xdr:rowOff>191061</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DEBB863A-C5A9-A125-5060-54AF4F2101E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230236" y="3561230"/>
              <a:ext cx="1843904" cy="252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109</xdr:col>
      <xdr:colOff>401730</xdr:colOff>
      <xdr:row>6</xdr:row>
      <xdr:rowOff>714935</xdr:rowOff>
    </xdr:from>
    <xdr:to>
      <xdr:col>112</xdr:col>
      <xdr:colOff>282657</xdr:colOff>
      <xdr:row>11</xdr:row>
      <xdr:rowOff>202266</xdr:rowOff>
    </xdr:to>
    <mc:AlternateContent xmlns:mc="http://schemas.openxmlformats.org/markup-compatibility/2006" xmlns:a14="http://schemas.microsoft.com/office/drawing/2010/main">
      <mc:Choice Requires="a14">
        <xdr:graphicFrame macro="">
          <xdr:nvGraphicFramePr>
            <xdr:cNvPr id="20" name="Department 1">
              <a:extLst>
                <a:ext uri="{FF2B5EF4-FFF2-40B4-BE49-F238E27FC236}">
                  <a16:creationId xmlns:a16="http://schemas.microsoft.com/office/drawing/2014/main" id="{7B5FB9C0-3802-9F84-E3B4-1CD4E377F27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0426587" y="3572435"/>
              <a:ext cx="1853960" cy="252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110</xdr:col>
      <xdr:colOff>202924</xdr:colOff>
      <xdr:row>14</xdr:row>
      <xdr:rowOff>53009</xdr:rowOff>
    </xdr:from>
    <xdr:to>
      <xdr:col>117</xdr:col>
      <xdr:colOff>484533</xdr:colOff>
      <xdr:row>19</xdr:row>
      <xdr:rowOff>485361</xdr:rowOff>
    </xdr:to>
    <xdr:graphicFrame macro="">
      <xdr:nvGraphicFramePr>
        <xdr:cNvPr id="21" name="Chart 20">
          <a:extLst>
            <a:ext uri="{FF2B5EF4-FFF2-40B4-BE49-F238E27FC236}">
              <a16:creationId xmlns:a16="http://schemas.microsoft.com/office/drawing/2014/main" id="{67EBAF44-BB68-FFA2-EAF7-D4FE712C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117</xdr:col>
      <xdr:colOff>531331</xdr:colOff>
      <xdr:row>14</xdr:row>
      <xdr:rowOff>209965</xdr:rowOff>
    </xdr:from>
    <xdr:to>
      <xdr:col>120</xdr:col>
      <xdr:colOff>263656</xdr:colOff>
      <xdr:row>19</xdr:row>
      <xdr:rowOff>406677</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8E91CAE4-FF84-29A9-0F11-BC71283CD7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590831" y="7285679"/>
              <a:ext cx="1827024" cy="255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81</xdr:col>
      <xdr:colOff>70402</xdr:colOff>
      <xdr:row>21</xdr:row>
      <xdr:rowOff>77857</xdr:rowOff>
    </xdr:from>
    <xdr:to>
      <xdr:col>86</xdr:col>
      <xdr:colOff>438978</xdr:colOff>
      <xdr:row>29</xdr:row>
      <xdr:rowOff>165652</xdr:rowOff>
    </xdr:to>
    <xdr:graphicFrame macro="">
      <xdr:nvGraphicFramePr>
        <xdr:cNvPr id="23" name="Chart 22">
          <a:extLst>
            <a:ext uri="{FF2B5EF4-FFF2-40B4-BE49-F238E27FC236}">
              <a16:creationId xmlns:a16="http://schemas.microsoft.com/office/drawing/2014/main" id="{3D7F1ECF-BEDB-84F9-0BB8-23B8413B0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86</xdr:col>
      <xdr:colOff>435629</xdr:colOff>
      <xdr:row>21</xdr:row>
      <xdr:rowOff>83391</xdr:rowOff>
    </xdr:from>
    <xdr:to>
      <xdr:col>88</xdr:col>
      <xdr:colOff>491951</xdr:colOff>
      <xdr:row>31</xdr:row>
      <xdr:rowOff>82073</xdr:rowOff>
    </xdr:to>
    <mc:AlternateContent xmlns:mc="http://schemas.openxmlformats.org/markup-compatibility/2006" xmlns:a14="http://schemas.microsoft.com/office/drawing/2010/main">
      <mc:Choice Requires="a14">
        <xdr:graphicFrame macro="">
          <xdr:nvGraphicFramePr>
            <xdr:cNvPr id="24" name="Department 2">
              <a:extLst>
                <a:ext uri="{FF2B5EF4-FFF2-40B4-BE49-F238E27FC236}">
                  <a16:creationId xmlns:a16="http://schemas.microsoft.com/office/drawing/2014/main" id="{DC8DBB2E-41E1-F169-737A-BC080EBE0D0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5166058" y="10492855"/>
              <a:ext cx="1825250" cy="255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92</xdr:col>
      <xdr:colOff>302314</xdr:colOff>
      <xdr:row>21</xdr:row>
      <xdr:rowOff>28160</xdr:rowOff>
    </xdr:from>
    <xdr:to>
      <xdr:col>101</xdr:col>
      <xdr:colOff>679174</xdr:colOff>
      <xdr:row>31</xdr:row>
      <xdr:rowOff>24848</xdr:rowOff>
    </xdr:to>
    <xdr:graphicFrame macro="">
      <xdr:nvGraphicFramePr>
        <xdr:cNvPr id="26" name="Chart 25">
          <a:extLst>
            <a:ext uri="{FF2B5EF4-FFF2-40B4-BE49-F238E27FC236}">
              <a16:creationId xmlns:a16="http://schemas.microsoft.com/office/drawing/2014/main" id="{47670221-DD26-F19C-BB45-7475DABF4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91</xdr:col>
      <xdr:colOff>136664</xdr:colOff>
      <xdr:row>7</xdr:row>
      <xdr:rowOff>301486</xdr:rowOff>
    </xdr:from>
    <xdr:to>
      <xdr:col>97</xdr:col>
      <xdr:colOff>389283</xdr:colOff>
      <xdr:row>12</xdr:row>
      <xdr:rowOff>140804</xdr:rowOff>
    </xdr:to>
    <xdr:graphicFrame macro="">
      <xdr:nvGraphicFramePr>
        <xdr:cNvPr id="27" name="Chart 26">
          <a:extLst>
            <a:ext uri="{FF2B5EF4-FFF2-40B4-BE49-F238E27FC236}">
              <a16:creationId xmlns:a16="http://schemas.microsoft.com/office/drawing/2014/main" id="{850F2236-22BD-A7E2-BE62-2B0107915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98</xdr:col>
      <xdr:colOff>202037</xdr:colOff>
      <xdr:row>7</xdr:row>
      <xdr:rowOff>182928</xdr:rowOff>
    </xdr:from>
    <xdr:to>
      <xdr:col>101</xdr:col>
      <xdr:colOff>459626</xdr:colOff>
      <xdr:row>12</xdr:row>
      <xdr:rowOff>338227</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id="{5C7289A5-FA21-28D4-F3BF-CBC99EEDF9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314466" y="4088178"/>
              <a:ext cx="1830575" cy="253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102</xdr:col>
      <xdr:colOff>171863</xdr:colOff>
      <xdr:row>21</xdr:row>
      <xdr:rowOff>33957</xdr:rowOff>
    </xdr:from>
    <xdr:to>
      <xdr:col>103</xdr:col>
      <xdr:colOff>1379956</xdr:colOff>
      <xdr:row>31</xdr:row>
      <xdr:rowOff>23604</xdr:rowOff>
    </xdr:to>
    <mc:AlternateContent xmlns:mc="http://schemas.openxmlformats.org/markup-compatibility/2006" xmlns:a14="http://schemas.microsoft.com/office/drawing/2010/main">
      <mc:Choice Requires="a14">
        <xdr:graphicFrame macro="">
          <xdr:nvGraphicFramePr>
            <xdr:cNvPr id="29" name="Gender 2">
              <a:extLst>
                <a:ext uri="{FF2B5EF4-FFF2-40B4-BE49-F238E27FC236}">
                  <a16:creationId xmlns:a16="http://schemas.microsoft.com/office/drawing/2014/main" id="{BDAE7591-071E-31BE-485A-A40383349D5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257327" y="10443421"/>
              <a:ext cx="1827617" cy="254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91</xdr:col>
      <xdr:colOff>272143</xdr:colOff>
      <xdr:row>2</xdr:row>
      <xdr:rowOff>136071</xdr:rowOff>
    </xdr:from>
    <xdr:to>
      <xdr:col>98</xdr:col>
      <xdr:colOff>190501</xdr:colOff>
      <xdr:row>5</xdr:row>
      <xdr:rowOff>585107</xdr:rowOff>
    </xdr:to>
    <xdr:graphicFrame macro="">
      <xdr:nvGraphicFramePr>
        <xdr:cNvPr id="30" name="Chart 29">
          <a:extLst>
            <a:ext uri="{FF2B5EF4-FFF2-40B4-BE49-F238E27FC236}">
              <a16:creationId xmlns:a16="http://schemas.microsoft.com/office/drawing/2014/main" id="{E0ED6D16-A3EA-90B3-DC09-492DD07F7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98</xdr:col>
      <xdr:colOff>249010</xdr:colOff>
      <xdr:row>2</xdr:row>
      <xdr:rowOff>174172</xdr:rowOff>
    </xdr:from>
    <xdr:to>
      <xdr:col>101</xdr:col>
      <xdr:colOff>427264</xdr:colOff>
      <xdr:row>5</xdr:row>
      <xdr:rowOff>544287</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BE287582-3193-7463-0F91-652418A55E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361439" y="922565"/>
              <a:ext cx="1751240" cy="1744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97</xdr:col>
      <xdr:colOff>347383</xdr:colOff>
      <xdr:row>53</xdr:row>
      <xdr:rowOff>0</xdr:rowOff>
    </xdr:from>
    <xdr:to>
      <xdr:col>99</xdr:col>
      <xdr:colOff>89647</xdr:colOff>
      <xdr:row>54</xdr:row>
      <xdr:rowOff>156883</xdr:rowOff>
    </xdr:to>
    <xdr:sp macro="[0]!Macro_10" textlink="">
      <xdr:nvSpPr>
        <xdr:cNvPr id="4" name="Rectangle: Rounded Corners 3">
          <a:extLst>
            <a:ext uri="{FF2B5EF4-FFF2-40B4-BE49-F238E27FC236}">
              <a16:creationId xmlns:a16="http://schemas.microsoft.com/office/drawing/2014/main" id="{2EF70CAE-4080-79B6-2E4B-704FBDCE0408}"/>
            </a:ext>
          </a:extLst>
        </xdr:cNvPr>
        <xdr:cNvSpPr/>
      </xdr:nvSpPr>
      <xdr:spPr>
        <a:xfrm>
          <a:off x="85265559" y="20540382"/>
          <a:ext cx="1580029" cy="537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GET</a:t>
          </a:r>
          <a:r>
            <a:rPr lang="en-IN" sz="2400" b="1" baseline="0"/>
            <a:t> DATA</a:t>
          </a:r>
          <a:endParaRPr lang="en-IN" sz="2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483056</xdr:colOff>
      <xdr:row>0</xdr:row>
      <xdr:rowOff>95249</xdr:rowOff>
    </xdr:from>
    <xdr:to>
      <xdr:col>34</xdr:col>
      <xdr:colOff>585108</xdr:colOff>
      <xdr:row>45</xdr:row>
      <xdr:rowOff>76199</xdr:rowOff>
    </xdr:to>
    <xdr:sp macro="" textlink="">
      <xdr:nvSpPr>
        <xdr:cNvPr id="2" name="Rectangle 1">
          <a:extLst>
            <a:ext uri="{FF2B5EF4-FFF2-40B4-BE49-F238E27FC236}">
              <a16:creationId xmlns:a16="http://schemas.microsoft.com/office/drawing/2014/main" id="{DC21BE27-16E0-30C2-BE0B-6C763394B1CD}"/>
            </a:ext>
          </a:extLst>
        </xdr:cNvPr>
        <xdr:cNvSpPr/>
      </xdr:nvSpPr>
      <xdr:spPr>
        <a:xfrm>
          <a:off x="4769306" y="95249"/>
          <a:ext cx="20567195" cy="11410950"/>
        </a:xfrm>
        <a:prstGeom prst="rect">
          <a:avLst/>
        </a:prstGeom>
        <a:ln>
          <a:solidFill>
            <a:schemeClr val="bg1">
              <a:lumMod val="6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solidFill>
              <a:schemeClr val="accent3">
                <a:lumMod val="60000"/>
                <a:lumOff val="40000"/>
              </a:schemeClr>
            </a:solidFill>
          </a:endParaRPr>
        </a:p>
      </xdr:txBody>
    </xdr:sp>
    <xdr:clientData/>
  </xdr:twoCellAnchor>
  <xdr:twoCellAnchor>
    <xdr:from>
      <xdr:col>8</xdr:col>
      <xdr:colOff>1</xdr:colOff>
      <xdr:row>0</xdr:row>
      <xdr:rowOff>81643</xdr:rowOff>
    </xdr:from>
    <xdr:to>
      <xdr:col>35</xdr:col>
      <xdr:colOff>13608</xdr:colOff>
      <xdr:row>3</xdr:row>
      <xdr:rowOff>204107</xdr:rowOff>
    </xdr:to>
    <xdr:sp macro="" textlink="">
      <xdr:nvSpPr>
        <xdr:cNvPr id="5" name="Rectangle: Rounded Corners 4">
          <a:extLst>
            <a:ext uri="{FF2B5EF4-FFF2-40B4-BE49-F238E27FC236}">
              <a16:creationId xmlns:a16="http://schemas.microsoft.com/office/drawing/2014/main" id="{9A8BBAB3-4668-48E8-C69E-E2A4336BF495}"/>
            </a:ext>
          </a:extLst>
        </xdr:cNvPr>
        <xdr:cNvSpPr/>
      </xdr:nvSpPr>
      <xdr:spPr>
        <a:xfrm>
          <a:off x="4898572" y="81643"/>
          <a:ext cx="20478750" cy="1074964"/>
        </a:xfrm>
        <a:prstGeom prst="roundRect">
          <a:avLst/>
        </a:prstGeom>
        <a:solidFill>
          <a:schemeClr val="accent3">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6000"/>
            <a:t>                       </a:t>
          </a:r>
          <a:r>
            <a:rPr lang="en-IN" sz="6600"/>
            <a:t>Employee</a:t>
          </a:r>
          <a:r>
            <a:rPr lang="en-IN" sz="6600" baseline="0"/>
            <a:t> Performance Dashboard</a:t>
          </a:r>
          <a:endParaRPr lang="en-IN" sz="6600"/>
        </a:p>
      </xdr:txBody>
    </xdr:sp>
    <xdr:clientData/>
  </xdr:twoCellAnchor>
  <xdr:twoCellAnchor>
    <xdr:from>
      <xdr:col>19</xdr:col>
      <xdr:colOff>95251</xdr:colOff>
      <xdr:row>5</xdr:row>
      <xdr:rowOff>84363</xdr:rowOff>
    </xdr:from>
    <xdr:to>
      <xdr:col>25</xdr:col>
      <xdr:colOff>421821</xdr:colOff>
      <xdr:row>18</xdr:row>
      <xdr:rowOff>108857</xdr:rowOff>
    </xdr:to>
    <xdr:graphicFrame macro="">
      <xdr:nvGraphicFramePr>
        <xdr:cNvPr id="15" name="Chart 14">
          <a:extLst>
            <a:ext uri="{FF2B5EF4-FFF2-40B4-BE49-F238E27FC236}">
              <a16:creationId xmlns:a16="http://schemas.microsoft.com/office/drawing/2014/main" id="{0E3D10BD-6369-5C7F-45CF-F2C721DF5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108857</xdr:colOff>
      <xdr:row>18</xdr:row>
      <xdr:rowOff>217714</xdr:rowOff>
    </xdr:from>
    <xdr:to>
      <xdr:col>25</xdr:col>
      <xdr:colOff>381000</xdr:colOff>
      <xdr:row>37</xdr:row>
      <xdr:rowOff>13607</xdr:rowOff>
    </xdr:to>
    <xdr:graphicFrame macro="">
      <xdr:nvGraphicFramePr>
        <xdr:cNvPr id="16" name="Chart 15">
          <a:extLst>
            <a:ext uri="{FF2B5EF4-FFF2-40B4-BE49-F238E27FC236}">
              <a16:creationId xmlns:a16="http://schemas.microsoft.com/office/drawing/2014/main" id="{CE67CE4C-2BFC-C020-A724-732B685E0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1896835</xdr:colOff>
      <xdr:row>12</xdr:row>
      <xdr:rowOff>17689</xdr:rowOff>
    </xdr:from>
    <xdr:to>
      <xdr:col>34</xdr:col>
      <xdr:colOff>340178</xdr:colOff>
      <xdr:row>20</xdr:row>
      <xdr:rowOff>149679</xdr:rowOff>
    </xdr:to>
    <mc:AlternateContent xmlns:mc="http://schemas.openxmlformats.org/markup-compatibility/2006" xmlns:a14="http://schemas.microsoft.com/office/drawing/2010/main">
      <mc:Choice Requires="a14">
        <xdr:graphicFrame macro="">
          <xdr:nvGraphicFramePr>
            <xdr:cNvPr id="17" name="Role">
              <a:extLst>
                <a:ext uri="{FF2B5EF4-FFF2-40B4-BE49-F238E27FC236}">
                  <a16:creationId xmlns:a16="http://schemas.microsoft.com/office/drawing/2014/main" id="{413CABEB-542E-D052-2E1D-92EEC6B29A88}"/>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23260049" y="3827689"/>
              <a:ext cx="1831522" cy="222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223157</xdr:colOff>
      <xdr:row>35</xdr:row>
      <xdr:rowOff>180975</xdr:rowOff>
    </xdr:from>
    <xdr:to>
      <xdr:col>40</xdr:col>
      <xdr:colOff>283029</xdr:colOff>
      <xdr:row>49</xdr:row>
      <xdr:rowOff>38100</xdr:rowOff>
    </xdr:to>
    <mc:AlternateContent xmlns:mc="http://schemas.openxmlformats.org/markup-compatibility/2006" xmlns:a14="http://schemas.microsoft.com/office/drawing/2010/main">
      <mc:Choice Requires="a14">
        <xdr:graphicFrame macro="">
          <xdr:nvGraphicFramePr>
            <xdr:cNvPr id="18" name="Salary 1">
              <a:extLst>
                <a:ext uri="{FF2B5EF4-FFF2-40B4-BE49-F238E27FC236}">
                  <a16:creationId xmlns:a16="http://schemas.microsoft.com/office/drawing/2014/main" id="{8156D9DD-EBA9-0089-2BFF-99469C4FD391}"/>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28008943" y="970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1883230</xdr:colOff>
      <xdr:row>5</xdr:row>
      <xdr:rowOff>217714</xdr:rowOff>
    </xdr:from>
    <xdr:to>
      <xdr:col>34</xdr:col>
      <xdr:colOff>312964</xdr:colOff>
      <xdr:row>12</xdr:row>
      <xdr:rowOff>229960</xdr:rowOff>
    </xdr:to>
    <mc:AlternateContent xmlns:mc="http://schemas.openxmlformats.org/markup-compatibility/2006" xmlns:a14="http://schemas.microsoft.com/office/drawing/2010/main">
      <mc:Choice Requires="a14">
        <xdr:graphicFrame macro="">
          <xdr:nvGraphicFramePr>
            <xdr:cNvPr id="19" name="Department 5">
              <a:extLst>
                <a:ext uri="{FF2B5EF4-FFF2-40B4-BE49-F238E27FC236}">
                  <a16:creationId xmlns:a16="http://schemas.microsoft.com/office/drawing/2014/main" id="{19A5D312-55A7-D26F-D296-332CF4EE8F89}"/>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23246444" y="1741714"/>
              <a:ext cx="1817913" cy="1945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658586</xdr:colOff>
      <xdr:row>35</xdr:row>
      <xdr:rowOff>176892</xdr:rowOff>
    </xdr:from>
    <xdr:to>
      <xdr:col>42</xdr:col>
      <xdr:colOff>1289958</xdr:colOff>
      <xdr:row>45</xdr:row>
      <xdr:rowOff>92528</xdr:rowOff>
    </xdr:to>
    <mc:AlternateContent xmlns:mc="http://schemas.openxmlformats.org/markup-compatibility/2006" xmlns:a14="http://schemas.microsoft.com/office/drawing/2010/main">
      <mc:Choice Requires="a14">
        <xdr:graphicFrame macro="">
          <xdr:nvGraphicFramePr>
            <xdr:cNvPr id="20" name="Experience (Years)">
              <a:extLst>
                <a:ext uri="{FF2B5EF4-FFF2-40B4-BE49-F238E27FC236}">
                  <a16:creationId xmlns:a16="http://schemas.microsoft.com/office/drawing/2014/main" id="{F2B10281-9919-DCA9-BEE5-2C51205F5BDA}"/>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mlns="">
        <xdr:sp macro="" textlink="">
          <xdr:nvSpPr>
            <xdr:cNvPr id="0" name=""/>
            <xdr:cNvSpPr>
              <a:spLocks noTextEdit="1"/>
            </xdr:cNvSpPr>
          </xdr:nvSpPr>
          <xdr:spPr>
            <a:xfrm>
              <a:off x="30825622" y="9701892"/>
              <a:ext cx="1828800" cy="1820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13607</xdr:colOff>
      <xdr:row>18</xdr:row>
      <xdr:rowOff>204107</xdr:rowOff>
    </xdr:from>
    <xdr:to>
      <xdr:col>31</xdr:col>
      <xdr:colOff>1687286</xdr:colOff>
      <xdr:row>37</xdr:row>
      <xdr:rowOff>13607</xdr:rowOff>
    </xdr:to>
    <xdr:graphicFrame macro="">
      <xdr:nvGraphicFramePr>
        <xdr:cNvPr id="21" name="Chart 20">
          <a:extLst>
            <a:ext uri="{FF2B5EF4-FFF2-40B4-BE49-F238E27FC236}">
              <a16:creationId xmlns:a16="http://schemas.microsoft.com/office/drawing/2014/main" id="{618291F9-CFE9-CB49-D155-10D73390C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68035</xdr:colOff>
      <xdr:row>5</xdr:row>
      <xdr:rowOff>68037</xdr:rowOff>
    </xdr:from>
    <xdr:to>
      <xdr:col>31</xdr:col>
      <xdr:colOff>1673679</xdr:colOff>
      <xdr:row>18</xdr:row>
      <xdr:rowOff>108857</xdr:rowOff>
    </xdr:to>
    <xdr:graphicFrame macro="">
      <xdr:nvGraphicFramePr>
        <xdr:cNvPr id="22" name="Chart 21">
          <a:extLst>
            <a:ext uri="{FF2B5EF4-FFF2-40B4-BE49-F238E27FC236}">
              <a16:creationId xmlns:a16="http://schemas.microsoft.com/office/drawing/2014/main" id="{4BF01324-5807-659B-E9D8-44B968030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291195</xdr:colOff>
      <xdr:row>27</xdr:row>
      <xdr:rowOff>40822</xdr:rowOff>
    </xdr:from>
    <xdr:to>
      <xdr:col>46</xdr:col>
      <xdr:colOff>270606</xdr:colOff>
      <xdr:row>36</xdr:row>
      <xdr:rowOff>108857</xdr:rowOff>
    </xdr:to>
    <mc:AlternateContent xmlns:mc="http://schemas.openxmlformats.org/markup-compatibility/2006" xmlns:a14="http://schemas.microsoft.com/office/drawing/2010/main">
      <mc:Choice Requires="a14">
        <xdr:graphicFrame macro="">
          <xdr:nvGraphicFramePr>
            <xdr:cNvPr id="23" name="Department 6">
              <a:extLst>
                <a:ext uri="{FF2B5EF4-FFF2-40B4-BE49-F238E27FC236}">
                  <a16:creationId xmlns:a16="http://schemas.microsoft.com/office/drawing/2014/main" id="{7E2855D8-B55A-6860-FE63-9B5586132388}"/>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34431516" y="8041822"/>
              <a:ext cx="1829983"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508907</xdr:colOff>
      <xdr:row>49</xdr:row>
      <xdr:rowOff>31297</xdr:rowOff>
    </xdr:from>
    <xdr:to>
      <xdr:col>37</xdr:col>
      <xdr:colOff>500743</xdr:colOff>
      <xdr:row>62</xdr:row>
      <xdr:rowOff>78922</xdr:rowOff>
    </xdr:to>
    <mc:AlternateContent xmlns:mc="http://schemas.openxmlformats.org/markup-compatibility/2006" xmlns:a14="http://schemas.microsoft.com/office/drawing/2010/main">
      <mc:Choice Requires="a14">
        <xdr:graphicFrame macro="">
          <xdr:nvGraphicFramePr>
            <xdr:cNvPr id="24" name="Experience (Years) 1">
              <a:extLst>
                <a:ext uri="{FF2B5EF4-FFF2-40B4-BE49-F238E27FC236}">
                  <a16:creationId xmlns:a16="http://schemas.microsoft.com/office/drawing/2014/main" id="{89D7830E-96D5-BBE4-5695-C8D0B1DA82F6}"/>
                </a:ext>
              </a:extLst>
            </xdr:cNvPr>
            <xdr:cNvGraphicFramePr/>
          </xdr:nvGraphicFramePr>
          <xdr:xfrm>
            <a:off x="0" y="0"/>
            <a:ext cx="0" cy="0"/>
          </xdr:xfrm>
          <a:graphic>
            <a:graphicData uri="http://schemas.microsoft.com/office/drawing/2010/slicer">
              <sle:slicer xmlns:sle="http://schemas.microsoft.com/office/drawing/2010/slicer" name="Experience (Years) 1"/>
            </a:graphicData>
          </a:graphic>
        </xdr:graphicFrame>
      </mc:Choice>
      <mc:Fallback xmlns="">
        <xdr:sp macro="" textlink="">
          <xdr:nvSpPr>
            <xdr:cNvPr id="0" name=""/>
            <xdr:cNvSpPr>
              <a:spLocks noTextEdit="1"/>
            </xdr:cNvSpPr>
          </xdr:nvSpPr>
          <xdr:spPr>
            <a:xfrm>
              <a:off x="25260300" y="1222329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1892754</xdr:colOff>
      <xdr:row>19</xdr:row>
      <xdr:rowOff>108857</xdr:rowOff>
    </xdr:from>
    <xdr:to>
      <xdr:col>34</xdr:col>
      <xdr:colOff>285750</xdr:colOff>
      <xdr:row>25</xdr:row>
      <xdr:rowOff>99332</xdr:rowOff>
    </xdr:to>
    <mc:AlternateContent xmlns:mc="http://schemas.openxmlformats.org/markup-compatibility/2006" xmlns:a14="http://schemas.microsoft.com/office/drawing/2010/main">
      <mc:Choice Requires="a14">
        <xdr:graphicFrame macro="">
          <xdr:nvGraphicFramePr>
            <xdr:cNvPr id="25" name="Performance">
              <a:extLst>
                <a:ext uri="{FF2B5EF4-FFF2-40B4-BE49-F238E27FC236}">
                  <a16:creationId xmlns:a16="http://schemas.microsoft.com/office/drawing/2014/main" id="{D287E08E-5C93-2E55-9EED-F8F9513EAB33}"/>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23255968" y="6204857"/>
              <a:ext cx="178117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88447</xdr:colOff>
      <xdr:row>0</xdr:row>
      <xdr:rowOff>27215</xdr:rowOff>
    </xdr:from>
    <xdr:to>
      <xdr:col>10</xdr:col>
      <xdr:colOff>394608</xdr:colOff>
      <xdr:row>4</xdr:row>
      <xdr:rowOff>8164</xdr:rowOff>
    </xdr:to>
    <xdr:pic>
      <xdr:nvPicPr>
        <xdr:cNvPr id="26" name="Picture 25">
          <a:extLst>
            <a:ext uri="{FF2B5EF4-FFF2-40B4-BE49-F238E27FC236}">
              <a16:creationId xmlns:a16="http://schemas.microsoft.com/office/drawing/2014/main" id="{51565B8A-C304-C251-532A-3982ABEBEF80}"/>
            </a:ext>
          </a:extLst>
        </xdr:cNvPr>
        <xdr:cNvPicPr>
          <a:picLocks noChangeAspect="1"/>
        </xdr:cNvPicPr>
      </xdr:nvPicPr>
      <xdr:blipFill>
        <a:blip xmlns:r="http://schemas.openxmlformats.org/officeDocument/2006/relationships" r:embed="rId5"/>
        <a:stretch>
          <a:fillRect/>
        </a:stretch>
      </xdr:blipFill>
      <xdr:spPr>
        <a:xfrm>
          <a:off x="4987018" y="27215"/>
          <a:ext cx="1530804" cy="1142999"/>
        </a:xfrm>
        <a:prstGeom prst="rect">
          <a:avLst/>
        </a:prstGeom>
      </xdr:spPr>
    </xdr:pic>
    <xdr:clientData/>
  </xdr:twoCellAnchor>
  <xdr:twoCellAnchor editAs="oneCell">
    <xdr:from>
      <xdr:col>31</xdr:col>
      <xdr:colOff>1876425</xdr:colOff>
      <xdr:row>26</xdr:row>
      <xdr:rowOff>0</xdr:rowOff>
    </xdr:from>
    <xdr:to>
      <xdr:col>34</xdr:col>
      <xdr:colOff>272143</xdr:colOff>
      <xdr:row>35</xdr:row>
      <xdr:rowOff>108857</xdr:rowOff>
    </xdr:to>
    <mc:AlternateContent xmlns:mc="http://schemas.openxmlformats.org/markup-compatibility/2006" xmlns:a14="http://schemas.microsoft.com/office/drawing/2010/main">
      <mc:Choice Requires="a14">
        <xdr:graphicFrame macro="">
          <xdr:nvGraphicFramePr>
            <xdr:cNvPr id="27" name="Department 7">
              <a:extLst>
                <a:ext uri="{FF2B5EF4-FFF2-40B4-BE49-F238E27FC236}">
                  <a16:creationId xmlns:a16="http://schemas.microsoft.com/office/drawing/2014/main" id="{7106C5D3-3F50-E274-A3A0-211DABEFF6C4}"/>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23239639" y="7810500"/>
              <a:ext cx="1783897" cy="1823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435429</xdr:colOff>
      <xdr:row>5</xdr:row>
      <xdr:rowOff>68035</xdr:rowOff>
    </xdr:from>
    <xdr:to>
      <xdr:col>18</xdr:col>
      <xdr:colOff>530679</xdr:colOff>
      <xdr:row>11</xdr:row>
      <xdr:rowOff>108857</xdr:rowOff>
    </xdr:to>
    <xdr:sp macro="" textlink="">
      <xdr:nvSpPr>
        <xdr:cNvPr id="4" name="Rectangle: Rounded Corners 3">
          <a:extLst>
            <a:ext uri="{FF2B5EF4-FFF2-40B4-BE49-F238E27FC236}">
              <a16:creationId xmlns:a16="http://schemas.microsoft.com/office/drawing/2014/main" id="{3586B6EA-6AA6-590F-25BB-393C9FCE168A}"/>
            </a:ext>
          </a:extLst>
        </xdr:cNvPr>
        <xdr:cNvSpPr/>
      </xdr:nvSpPr>
      <xdr:spPr>
        <a:xfrm>
          <a:off x="7170965" y="1592035"/>
          <a:ext cx="4381500" cy="1945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         </a:t>
          </a:r>
          <a:r>
            <a:rPr lang="en-IN" sz="2400" b="1">
              <a:latin typeface="Arial Black" panose="020B0A04020102020204" pitchFamily="34" charset="0"/>
            </a:rPr>
            <a:t>TOTAL</a:t>
          </a:r>
          <a:r>
            <a:rPr lang="en-IN" sz="2400" b="1" baseline="0">
              <a:latin typeface="Arial Black" panose="020B0A04020102020204" pitchFamily="34" charset="0"/>
            </a:rPr>
            <a:t> SALARY</a:t>
          </a:r>
          <a:endParaRPr lang="en-IN" sz="2400" b="1">
            <a:latin typeface="Arial Black" panose="020B0A04020102020204" pitchFamily="34" charset="0"/>
          </a:endParaRPr>
        </a:p>
      </xdr:txBody>
    </xdr:sp>
    <xdr:clientData/>
  </xdr:twoCellAnchor>
  <xdr:twoCellAnchor>
    <xdr:from>
      <xdr:col>11</xdr:col>
      <xdr:colOff>421821</xdr:colOff>
      <xdr:row>11</xdr:row>
      <xdr:rowOff>231322</xdr:rowOff>
    </xdr:from>
    <xdr:to>
      <xdr:col>18</xdr:col>
      <xdr:colOff>544286</xdr:colOff>
      <xdr:row>17</xdr:row>
      <xdr:rowOff>40821</xdr:rowOff>
    </xdr:to>
    <xdr:sp macro="" textlink="">
      <xdr:nvSpPr>
        <xdr:cNvPr id="11" name="Rectangle: Rounded Corners 10">
          <a:extLst>
            <a:ext uri="{FF2B5EF4-FFF2-40B4-BE49-F238E27FC236}">
              <a16:creationId xmlns:a16="http://schemas.microsoft.com/office/drawing/2014/main" id="{621F9685-B461-4E92-AE08-9010C722FCDE}"/>
            </a:ext>
          </a:extLst>
        </xdr:cNvPr>
        <xdr:cNvSpPr/>
      </xdr:nvSpPr>
      <xdr:spPr>
        <a:xfrm>
          <a:off x="7157357" y="3660322"/>
          <a:ext cx="4408715" cy="1904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Arial Black" panose="020B0A04020102020204" pitchFamily="34" charset="0"/>
            </a:rPr>
            <a:t>TOP</a:t>
          </a:r>
          <a:r>
            <a:rPr lang="en-IN" sz="2000" b="1" baseline="0">
              <a:latin typeface="Arial Black" panose="020B0A04020102020204" pitchFamily="34" charset="0"/>
            </a:rPr>
            <a:t> SALARY DEPARTMENT</a:t>
          </a:r>
          <a:endParaRPr lang="en-IN" sz="2000" b="1">
            <a:latin typeface="Arial Black" panose="020B0A04020102020204" pitchFamily="34" charset="0"/>
          </a:endParaRPr>
        </a:p>
      </xdr:txBody>
    </xdr:sp>
    <xdr:clientData/>
  </xdr:twoCellAnchor>
  <xdr:twoCellAnchor>
    <xdr:from>
      <xdr:col>11</xdr:col>
      <xdr:colOff>489858</xdr:colOff>
      <xdr:row>17</xdr:row>
      <xdr:rowOff>136071</xdr:rowOff>
    </xdr:from>
    <xdr:to>
      <xdr:col>18</xdr:col>
      <xdr:colOff>503466</xdr:colOff>
      <xdr:row>25</xdr:row>
      <xdr:rowOff>68036</xdr:rowOff>
    </xdr:to>
    <xdr:sp macro="" textlink="">
      <xdr:nvSpPr>
        <xdr:cNvPr id="12" name="Rectangle: Rounded Corners 11">
          <a:extLst>
            <a:ext uri="{FF2B5EF4-FFF2-40B4-BE49-F238E27FC236}">
              <a16:creationId xmlns:a16="http://schemas.microsoft.com/office/drawing/2014/main" id="{E10BB0EE-0832-4D73-91F5-21850795F4E1}"/>
            </a:ext>
          </a:extLst>
        </xdr:cNvPr>
        <xdr:cNvSpPr/>
      </xdr:nvSpPr>
      <xdr:spPr>
        <a:xfrm>
          <a:off x="7225394" y="5660571"/>
          <a:ext cx="4299858" cy="20274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Arial Black" panose="020B0A04020102020204" pitchFamily="34" charset="0"/>
            </a:rPr>
            <a:t>HIGH EXPERIENCE  PERSON</a:t>
          </a:r>
        </a:p>
      </xdr:txBody>
    </xdr:sp>
    <xdr:clientData/>
  </xdr:twoCellAnchor>
  <xdr:twoCellAnchor>
    <xdr:from>
      <xdr:col>11</xdr:col>
      <xdr:colOff>517072</xdr:colOff>
      <xdr:row>26</xdr:row>
      <xdr:rowOff>0</xdr:rowOff>
    </xdr:from>
    <xdr:to>
      <xdr:col>18</xdr:col>
      <xdr:colOff>503466</xdr:colOff>
      <xdr:row>37</xdr:row>
      <xdr:rowOff>0</xdr:rowOff>
    </xdr:to>
    <xdr:sp macro="" textlink="">
      <xdr:nvSpPr>
        <xdr:cNvPr id="28" name="Rectangle: Rounded Corners 27">
          <a:extLst>
            <a:ext uri="{FF2B5EF4-FFF2-40B4-BE49-F238E27FC236}">
              <a16:creationId xmlns:a16="http://schemas.microsoft.com/office/drawing/2014/main" id="{B5E068DC-CA08-4F92-BF8C-267F2726D0A2}"/>
            </a:ext>
          </a:extLst>
        </xdr:cNvPr>
        <xdr:cNvSpPr/>
      </xdr:nvSpPr>
      <xdr:spPr>
        <a:xfrm>
          <a:off x="7252608" y="7810500"/>
          <a:ext cx="4272644" cy="2095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455543</xdr:colOff>
      <xdr:row>8</xdr:row>
      <xdr:rowOff>306457</xdr:rowOff>
    </xdr:from>
    <xdr:ext cx="2055243" cy="468013"/>
    <xdr:sp macro="" textlink="Sheet1!AS25">
      <xdr:nvSpPr>
        <xdr:cNvPr id="29" name="TextBox 28">
          <a:extLst>
            <a:ext uri="{FF2B5EF4-FFF2-40B4-BE49-F238E27FC236}">
              <a16:creationId xmlns:a16="http://schemas.microsoft.com/office/drawing/2014/main" id="{E3267DB7-A00A-336A-4849-3AD5B25FFD66}"/>
            </a:ext>
          </a:extLst>
        </xdr:cNvPr>
        <xdr:cNvSpPr txBox="1"/>
      </xdr:nvSpPr>
      <xdr:spPr>
        <a:xfrm>
          <a:off x="8423413" y="2592457"/>
          <a:ext cx="20552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26640B-8B79-4726-B12C-9BF010199753}" type="TxLink">
            <a:rPr lang="en-US" sz="2400" b="1" i="0" u="none" strike="noStrike">
              <a:solidFill>
                <a:srgbClr val="000000"/>
              </a:solidFill>
              <a:latin typeface="Calibri"/>
              <a:ea typeface="Calibri"/>
              <a:cs typeface="Calibri"/>
            </a:rPr>
            <a:pPr/>
            <a:t>₹ 11,45,000.00</a:t>
          </a:fld>
          <a:endParaRPr lang="en-IN" sz="2400" b="1"/>
        </a:p>
      </xdr:txBody>
    </xdr:sp>
    <xdr:clientData/>
  </xdr:oneCellAnchor>
  <xdr:twoCellAnchor>
    <xdr:from>
      <xdr:col>7</xdr:col>
      <xdr:colOff>585107</xdr:colOff>
      <xdr:row>3</xdr:row>
      <xdr:rowOff>231322</xdr:rowOff>
    </xdr:from>
    <xdr:to>
      <xdr:col>11</xdr:col>
      <xdr:colOff>299357</xdr:colOff>
      <xdr:row>37</xdr:row>
      <xdr:rowOff>81644</xdr:rowOff>
    </xdr:to>
    <xdr:sp macro="" textlink="">
      <xdr:nvSpPr>
        <xdr:cNvPr id="30" name="Rectangle 29">
          <a:extLst>
            <a:ext uri="{FF2B5EF4-FFF2-40B4-BE49-F238E27FC236}">
              <a16:creationId xmlns:a16="http://schemas.microsoft.com/office/drawing/2014/main" id="{739385CB-E7AE-BDFA-4E33-06B6CDDF4411}"/>
            </a:ext>
          </a:extLst>
        </xdr:cNvPr>
        <xdr:cNvSpPr/>
      </xdr:nvSpPr>
      <xdr:spPr>
        <a:xfrm>
          <a:off x="4871357" y="1183822"/>
          <a:ext cx="2163536" cy="88038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97</xdr:col>
      <xdr:colOff>133350</xdr:colOff>
      <xdr:row>41</xdr:row>
      <xdr:rowOff>133350</xdr:rowOff>
    </xdr:from>
    <xdr:to>
      <xdr:col>98</xdr:col>
      <xdr:colOff>276225</xdr:colOff>
      <xdr:row>45</xdr:row>
      <xdr:rowOff>19050</xdr:rowOff>
    </xdr:to>
    <xdr:sp macro="[0]!Macro_10" textlink="">
      <xdr:nvSpPr>
        <xdr:cNvPr id="2" name="Rectangle: Rounded Corners 1">
          <a:extLst>
            <a:ext uri="{FF2B5EF4-FFF2-40B4-BE49-F238E27FC236}">
              <a16:creationId xmlns:a16="http://schemas.microsoft.com/office/drawing/2014/main" id="{97CCFACF-A246-DF45-F8E3-CB25B2B3D112}"/>
            </a:ext>
          </a:extLst>
        </xdr:cNvPr>
        <xdr:cNvSpPr/>
      </xdr:nvSpPr>
      <xdr:spPr>
        <a:xfrm>
          <a:off x="59264550" y="7943850"/>
          <a:ext cx="752475"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2385069446" createdVersion="8" refreshedVersion="8" minRefreshableVersion="3" recordCount="10" xr:uid="{5E027E79-38E0-4CF2-9635-9D7F02409EC2}">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ount="2">
        <s v="Male"/>
        <s v="Female"/>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s>
  <extLst>
    <ext xmlns:x14="http://schemas.microsoft.com/office/spreadsheetml/2009/9/main" uri="{725AE2AE-9491-48be-B2B4-4EB974FC3084}">
      <x14:pivotCacheDefinition pivotCacheId="455438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5234722219" createdVersion="8" refreshedVersion="8" minRefreshableVersion="3" recordCount="10" xr:uid="{220A63E9-AA21-4E1C-92F9-F77FCA0D923A}">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acheField>
    <cacheField name="Gender" numFmtId="0">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s>
  <extLst>
    <ext xmlns:x14="http://schemas.microsoft.com/office/spreadsheetml/2009/9/main" uri="{725AE2AE-9491-48be-B2B4-4EB974FC3084}">
      <x14:pivotCacheDefinition pivotCacheId="18552767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5976273151" createdVersion="8" refreshedVersion="8" minRefreshableVersion="3" recordCount="10" xr:uid="{CB79EBAA-0F9F-4737-BE2B-E312FB7F9677}">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s>
  <extLst>
    <ext xmlns:x14="http://schemas.microsoft.com/office/spreadsheetml/2009/9/main" uri="{725AE2AE-9491-48be-B2B4-4EB974FC3084}">
      <x14:pivotCacheDefinition pivotCacheId="29600492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94393055559" createdVersion="8" refreshedVersion="8" minRefreshableVersion="3" recordCount="10" xr:uid="{9F54694E-DD3F-417F-A23E-5B76E1C67E89}">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acheField>
    <cacheField name="City" numFmtId="0">
      <sharedItems/>
    </cacheField>
    <cacheField name="Department" numFmtId="0">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926669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97527662037" createdVersion="8" refreshedVersion="8" minRefreshableVersion="3" recordCount="10" xr:uid="{48C8EECF-C6A0-49BB-ADDF-DB143283E7D8}">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5286262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06742476855" createdVersion="8" refreshedVersion="8" minRefreshableVersion="3" recordCount="10" xr:uid="{6E8835A7-A797-4A98-BB7D-01240084FEAD}">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acheField>
    <cacheField name="City" numFmtId="0">
      <sharedItems count="4">
        <s v="Hyderabad"/>
        <s v="Chennai"/>
        <s v="Bangalore"/>
        <s v="Mumbai"/>
      </sharedItems>
    </cacheField>
    <cacheField name="Department" numFmtId="0">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 name="age bins" numFmtId="0">
      <sharedItems/>
    </cacheField>
  </cacheFields>
  <extLst>
    <ext xmlns:x14="http://schemas.microsoft.com/office/spreadsheetml/2009/9/main" uri="{725AE2AE-9491-48be-B2B4-4EB974FC3084}">
      <x14:pivotCacheDefinition pivotCacheId="100113047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09424768518" createdVersion="8" refreshedVersion="8" minRefreshableVersion="3" recordCount="10" xr:uid="{B1E2C6FE-B686-4D71-A4A7-586552D9D722}">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acheField>
    <cacheField name="age bins" numFmtId="0">
      <sharedItems/>
    </cacheField>
  </cacheFields>
  <extLst>
    <ext xmlns:x14="http://schemas.microsoft.com/office/spreadsheetml/2009/9/main" uri="{725AE2AE-9491-48be-B2B4-4EB974FC3084}">
      <x14:pivotCacheDefinition pivotCacheId="2171244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14443634258" createdVersion="8" refreshedVersion="8" minRefreshableVersion="3" recordCount="10" xr:uid="{50317A3F-F6C5-4697-96D5-CB09A7864B5C}">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ount="10">
        <n v="25"/>
        <n v="28"/>
        <n v="30"/>
        <n v="27"/>
        <n v="35"/>
        <n v="29"/>
        <n v="31"/>
        <n v="26"/>
        <n v="33"/>
        <n v="24"/>
      </sharedItems>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6670853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074236111" createdVersion="8" refreshedVersion="8" minRefreshableVersion="3" recordCount="20" xr:uid="{086BE580-FA23-483B-A5CE-29D775330E4A}">
  <cacheSource type="worksheet">
    <worksheetSource ref="AL3:AV23" sheet="Sheet1"/>
  </cacheSource>
  <cacheFields count="11">
    <cacheField name="Emp ID" numFmtId="0">
      <sharedItems/>
    </cacheField>
    <cacheField name="Name" numFmtId="0">
      <sharedItems/>
    </cacheField>
    <cacheField name="Gender" numFmtId="0">
      <sharedItems/>
    </cacheField>
    <cacheField name="Age" numFmtId="0">
      <sharedItems containsSemiMixedTypes="0" containsString="0" containsNumber="1" containsInteger="1" minValue="23" maxValue="36"/>
    </cacheField>
    <cacheField name="City" numFmtId="0">
      <sharedItems/>
    </cacheField>
    <cacheField name="Department" numFmtId="0">
      <sharedItems/>
    </cacheField>
    <cacheField name="Role" numFmtId="0">
      <sharedItems count="6">
        <s v="Developer"/>
        <s v="Recruiter"/>
        <s v="Analyst"/>
        <s v="Tester"/>
        <s v="Manager"/>
        <s v="Executive"/>
      </sharedItems>
    </cacheField>
    <cacheField name="Salary" numFmtId="0">
      <sharedItems containsSemiMixedTypes="0" containsString="0" containsNumber="1" containsInteger="1" minValue="42000" maxValue="80000" count="20">
        <n v="45000"/>
        <n v="52000"/>
        <n v="60000"/>
        <n v="48000"/>
        <n v="75000"/>
        <n v="55000"/>
        <n v="42000"/>
        <n v="78000"/>
        <n v="50000"/>
        <n v="58000"/>
        <n v="46000"/>
        <n v="72000"/>
        <n v="56000"/>
        <n v="44000"/>
        <n v="65000"/>
        <n v="51000"/>
        <n v="80000"/>
        <n v="59000"/>
        <n v="47000"/>
        <n v="62000"/>
      </sharedItems>
    </cacheField>
    <cacheField name="Experience (Years)" numFmtId="0">
      <sharedItems containsSemiMixedTypes="0" containsString="0" containsNumber="1" containsInteger="1" minValue="1" maxValue="12"/>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1247972529"/>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1943055555" createdVersion="8" refreshedVersion="8" minRefreshableVersion="3" recordCount="20" xr:uid="{DE49D09B-4DAF-4ADC-97F6-45521C44813B}">
  <cacheSource type="worksheet">
    <worksheetSource ref="AL3:AV23" sheet="Sheet1"/>
  </cacheSource>
  <cacheFields count="11">
    <cacheField name="Emp 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3" maxValue="36"/>
    </cacheField>
    <cacheField name="City" numFmtId="0">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ount="12">
        <n v="2"/>
        <n v="5"/>
        <n v="7"/>
        <n v="3"/>
        <n v="10"/>
        <n v="6"/>
        <n v="1"/>
        <n v="9"/>
        <n v="4"/>
        <n v="11"/>
        <n v="8"/>
        <n v="12"/>
      </sharedItems>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383791313"/>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4650694442" createdVersion="8" refreshedVersion="8" minRefreshableVersion="3" recordCount="20" xr:uid="{0BABCF2A-355A-4D77-97E4-ACA0A982F9BD}">
  <cacheSource type="worksheet">
    <worksheetSource ref="AL3:AV23" sheet="Sheet1"/>
  </cacheSource>
  <cacheFields count="11">
    <cacheField name="Emp ID" numFmtId="0">
      <sharedItems count="20">
        <s v="E001"/>
        <s v="E002"/>
        <s v="E003"/>
        <s v="E004"/>
        <s v="E005"/>
        <s v="E006"/>
        <s v="E007"/>
        <s v="E008"/>
        <s v="E009"/>
        <s v="E010"/>
        <s v="E011"/>
        <s v="E012"/>
        <s v="E013"/>
        <s v="E014"/>
        <s v="E015"/>
        <s v="E016"/>
        <s v="E017"/>
        <s v="E018"/>
        <s v="E019"/>
        <s v="E020"/>
      </sharedItems>
    </cacheField>
    <cacheField name="Name" numFmtId="0">
      <sharedItems count="20">
        <s v="Rahul"/>
        <s v="Priya"/>
        <s v="Arjun"/>
        <s v="Sneha"/>
        <s v="Kiran"/>
        <s v="Divya"/>
        <s v="Sai"/>
        <s v="Anjali"/>
        <s v="Vikas"/>
        <s v="Kavya"/>
        <s v="Rohit"/>
        <s v="Meena"/>
        <s v="Ajay"/>
        <s v="Pooja"/>
        <s v="Naveen"/>
        <s v="Swathi"/>
        <s v="Varun"/>
        <s v="Harika"/>
        <s v="Teja"/>
        <s v="Nisha"/>
      </sharedItems>
    </cacheField>
    <cacheField name="Gender" numFmtId="0">
      <sharedItems count="2">
        <s v="Male"/>
        <s v="Female"/>
      </sharedItems>
    </cacheField>
    <cacheField name="Age" numFmtId="0">
      <sharedItems containsSemiMixedTypes="0" containsString="0" containsNumber="1" containsInteger="1" minValue="23" maxValue="36"/>
    </cacheField>
    <cacheField name="City" numFmtId="0">
      <sharedItems count="5">
        <s v="Hyderabad"/>
        <s v="Chennai"/>
        <s v="Bangalore"/>
        <s v="Mumbai"/>
        <s v="Pune"/>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1214229634"/>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7893287039" createdVersion="8" refreshedVersion="8" minRefreshableVersion="3" recordCount="20" xr:uid="{E10B095F-4B11-4D3C-AE02-535CE243BE9E}">
  <cacheSource type="worksheet">
    <worksheetSource ref="AL3:AV23" sheet="Sheet1"/>
  </cacheSource>
  <cacheFields count="11">
    <cacheField name="Emp ID" numFmtId="0">
      <sharedItems/>
    </cacheField>
    <cacheField name="Name" numFmtId="0">
      <sharedItems/>
    </cacheField>
    <cacheField name="Gender" numFmtId="0">
      <sharedItems/>
    </cacheField>
    <cacheField name="Age" numFmtId="0">
      <sharedItems containsSemiMixedTypes="0" containsString="0" containsNumber="1" containsInteger="1" minValue="23" maxValue="36"/>
    </cacheField>
    <cacheField name="City" numFmtId="0">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ount="12">
        <n v="2"/>
        <n v="5"/>
        <n v="7"/>
        <n v="3"/>
        <n v="10"/>
        <n v="6"/>
        <n v="1"/>
        <n v="9"/>
        <n v="4"/>
        <n v="11"/>
        <n v="8"/>
        <n v="12"/>
      </sharedItems>
    </cacheField>
    <cacheField name="Performance" numFmtId="0">
      <sharedItems count="3">
        <s v="Good"/>
        <s v="Excellent"/>
        <s v="Average"/>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400947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s v="Hyderabad"/>
    <x v="0"/>
    <n v="25"/>
    <n v="45000"/>
    <x v="0"/>
  </r>
  <r>
    <n v="2"/>
    <x v="1"/>
    <x v="1"/>
    <s v="Chennai"/>
    <x v="1"/>
    <n v="28"/>
    <n v="40000"/>
    <x v="1"/>
  </r>
  <r>
    <n v="3"/>
    <x v="2"/>
    <x v="0"/>
    <s v="Bangalore"/>
    <x v="2"/>
    <n v="30"/>
    <n v="50000"/>
    <x v="2"/>
  </r>
  <r>
    <n v="4"/>
    <x v="3"/>
    <x v="1"/>
    <s v="Mumbai"/>
    <x v="0"/>
    <n v="27"/>
    <n v="48000"/>
    <x v="0"/>
  </r>
  <r>
    <n v="5"/>
    <x v="4"/>
    <x v="0"/>
    <s v="Hyderabad"/>
    <x v="3"/>
    <n v="35"/>
    <n v="55000"/>
    <x v="1"/>
  </r>
  <r>
    <n v="6"/>
    <x v="5"/>
    <x v="1"/>
    <s v="Chennai"/>
    <x v="1"/>
    <n v="29"/>
    <n v="42000"/>
    <x v="0"/>
  </r>
  <r>
    <n v="7"/>
    <x v="6"/>
    <x v="0"/>
    <s v="Bangalore"/>
    <x v="0"/>
    <n v="31"/>
    <n v="60000"/>
    <x v="1"/>
  </r>
  <r>
    <n v="8"/>
    <x v="7"/>
    <x v="1"/>
    <s v="Mumbai"/>
    <x v="2"/>
    <n v="26"/>
    <n v="47000"/>
    <x v="2"/>
  </r>
  <r>
    <n v="9"/>
    <x v="8"/>
    <x v="0"/>
    <s v="Hyderabad"/>
    <x v="3"/>
    <n v="33"/>
    <n v="53000"/>
    <x v="0"/>
  </r>
  <r>
    <n v="10"/>
    <x v="9"/>
    <x v="1"/>
    <s v="Bangalore"/>
    <x v="1"/>
    <n v="24"/>
    <n v="39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s v="Male"/>
    <s v="Hyderabad"/>
    <x v="0"/>
    <n v="25"/>
    <x v="0"/>
    <x v="0"/>
  </r>
  <r>
    <n v="2"/>
    <s v="Priya"/>
    <s v="Female"/>
    <s v="Chennai"/>
    <x v="1"/>
    <n v="28"/>
    <x v="1"/>
    <x v="1"/>
  </r>
  <r>
    <n v="3"/>
    <s v="Arjun"/>
    <s v="Male"/>
    <s v="Bangalore"/>
    <x v="2"/>
    <n v="30"/>
    <x v="2"/>
    <x v="2"/>
  </r>
  <r>
    <n v="4"/>
    <s v="Sneha"/>
    <s v="Female"/>
    <s v="Mumbai"/>
    <x v="0"/>
    <n v="27"/>
    <x v="3"/>
    <x v="0"/>
  </r>
  <r>
    <n v="5"/>
    <s v="Kiran"/>
    <s v="Male"/>
    <s v="Hyderabad"/>
    <x v="3"/>
    <n v="35"/>
    <x v="4"/>
    <x v="1"/>
  </r>
  <r>
    <n v="6"/>
    <s v="Divya"/>
    <s v="Female"/>
    <s v="Chennai"/>
    <x v="1"/>
    <n v="29"/>
    <x v="5"/>
    <x v="0"/>
  </r>
  <r>
    <n v="7"/>
    <s v="Rohit"/>
    <s v="Male"/>
    <s v="Bangalore"/>
    <x v="0"/>
    <n v="31"/>
    <x v="6"/>
    <x v="1"/>
  </r>
  <r>
    <n v="8"/>
    <s v="Anjali"/>
    <s v="Female"/>
    <s v="Mumbai"/>
    <x v="2"/>
    <n v="26"/>
    <x v="7"/>
    <x v="2"/>
  </r>
  <r>
    <n v="9"/>
    <s v="Varun"/>
    <s v="Male"/>
    <s v="Hyderabad"/>
    <x v="3"/>
    <n v="33"/>
    <x v="8"/>
    <x v="0"/>
  </r>
  <r>
    <n v="10"/>
    <s v="Pooja"/>
    <s v="Female"/>
    <s v="Bangalore"/>
    <x v="1"/>
    <n v="24"/>
    <x v="9"/>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n v="25"/>
    <x v="0"/>
    <x v="0"/>
  </r>
  <r>
    <n v="2"/>
    <s v="Priya"/>
    <x v="1"/>
    <x v="1"/>
    <x v="1"/>
    <n v="28"/>
    <x v="1"/>
    <x v="1"/>
  </r>
  <r>
    <n v="3"/>
    <s v="Arjun"/>
    <x v="0"/>
    <x v="2"/>
    <x v="2"/>
    <n v="30"/>
    <x v="2"/>
    <x v="2"/>
  </r>
  <r>
    <n v="4"/>
    <s v="Sneha"/>
    <x v="1"/>
    <x v="3"/>
    <x v="0"/>
    <n v="27"/>
    <x v="3"/>
    <x v="0"/>
  </r>
  <r>
    <n v="5"/>
    <s v="Kiran"/>
    <x v="0"/>
    <x v="0"/>
    <x v="3"/>
    <n v="35"/>
    <x v="4"/>
    <x v="1"/>
  </r>
  <r>
    <n v="6"/>
    <s v="Divya"/>
    <x v="1"/>
    <x v="1"/>
    <x v="1"/>
    <n v="29"/>
    <x v="5"/>
    <x v="0"/>
  </r>
  <r>
    <n v="7"/>
    <s v="Rohit"/>
    <x v="0"/>
    <x v="2"/>
    <x v="0"/>
    <n v="31"/>
    <x v="6"/>
    <x v="1"/>
  </r>
  <r>
    <n v="8"/>
    <s v="Anjali"/>
    <x v="1"/>
    <x v="3"/>
    <x v="2"/>
    <n v="26"/>
    <x v="7"/>
    <x v="2"/>
  </r>
  <r>
    <n v="9"/>
    <s v="Varun"/>
    <x v="0"/>
    <x v="0"/>
    <x v="3"/>
    <n v="33"/>
    <x v="8"/>
    <x v="0"/>
  </r>
  <r>
    <n v="10"/>
    <s v="Pooja"/>
    <x v="1"/>
    <x v="2"/>
    <x v="1"/>
    <n v="24"/>
    <x v="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s v="Male"/>
    <s v="Hyderabad"/>
    <s v="IT"/>
    <n v="25"/>
    <n v="45000"/>
    <s v="Good"/>
    <x v="0"/>
  </r>
  <r>
    <n v="2"/>
    <x v="1"/>
    <s v="Female"/>
    <s v="Chennai"/>
    <s v="HR"/>
    <n v="28"/>
    <n v="40000"/>
    <s v="Excellent"/>
    <x v="1"/>
  </r>
  <r>
    <n v="3"/>
    <x v="2"/>
    <s v="Male"/>
    <s v="Bangalore"/>
    <s v="Finance"/>
    <n v="30"/>
    <n v="50000"/>
    <s v="Average"/>
    <x v="1"/>
  </r>
  <r>
    <n v="4"/>
    <x v="3"/>
    <s v="Female"/>
    <s v="Mumbai"/>
    <s v="IT"/>
    <n v="27"/>
    <n v="48000"/>
    <s v="Good"/>
    <x v="1"/>
  </r>
  <r>
    <n v="5"/>
    <x v="4"/>
    <s v="Male"/>
    <s v="Hyderabad"/>
    <s v="Sales"/>
    <n v="35"/>
    <n v="55000"/>
    <s v="Excellent"/>
    <x v="2"/>
  </r>
  <r>
    <n v="6"/>
    <x v="5"/>
    <s v="Female"/>
    <s v="Chennai"/>
    <s v="HR"/>
    <n v="29"/>
    <n v="42000"/>
    <s v="Good"/>
    <x v="1"/>
  </r>
  <r>
    <n v="7"/>
    <x v="6"/>
    <s v="Male"/>
    <s v="Bangalore"/>
    <s v="IT"/>
    <n v="31"/>
    <n v="60000"/>
    <s v="Excellent"/>
    <x v="2"/>
  </r>
  <r>
    <n v="8"/>
    <x v="7"/>
    <s v="Female"/>
    <s v="Mumbai"/>
    <s v="Finance"/>
    <n v="26"/>
    <n v="47000"/>
    <s v="Average"/>
    <x v="1"/>
  </r>
  <r>
    <n v="9"/>
    <x v="8"/>
    <s v="Male"/>
    <s v="Hyderabad"/>
    <s v="Sales"/>
    <n v="33"/>
    <n v="53000"/>
    <s v="Good"/>
    <x v="2"/>
  </r>
  <r>
    <n v="10"/>
    <x v="9"/>
    <s v="Female"/>
    <s v="Bangalore"/>
    <s v="HR"/>
    <n v="24"/>
    <n v="39000"/>
    <s v="Excellent"/>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n v="25"/>
    <n v="45000"/>
    <x v="0"/>
    <x v="0"/>
  </r>
  <r>
    <n v="2"/>
    <s v="Priya"/>
    <x v="1"/>
    <x v="1"/>
    <x v="1"/>
    <n v="28"/>
    <n v="40000"/>
    <x v="1"/>
    <x v="1"/>
  </r>
  <r>
    <n v="3"/>
    <s v="Arjun"/>
    <x v="0"/>
    <x v="2"/>
    <x v="2"/>
    <n v="30"/>
    <n v="50000"/>
    <x v="2"/>
    <x v="1"/>
  </r>
  <r>
    <n v="4"/>
    <s v="Sneha"/>
    <x v="1"/>
    <x v="3"/>
    <x v="0"/>
    <n v="27"/>
    <n v="48000"/>
    <x v="0"/>
    <x v="1"/>
  </r>
  <r>
    <n v="5"/>
    <s v="Kiran"/>
    <x v="0"/>
    <x v="0"/>
    <x v="3"/>
    <n v="35"/>
    <n v="55000"/>
    <x v="1"/>
    <x v="2"/>
  </r>
  <r>
    <n v="6"/>
    <s v="Divya"/>
    <x v="1"/>
    <x v="1"/>
    <x v="1"/>
    <n v="29"/>
    <n v="42000"/>
    <x v="0"/>
    <x v="1"/>
  </r>
  <r>
    <n v="7"/>
    <s v="Rohit"/>
    <x v="0"/>
    <x v="2"/>
    <x v="0"/>
    <n v="31"/>
    <n v="60000"/>
    <x v="1"/>
    <x v="2"/>
  </r>
  <r>
    <n v="8"/>
    <s v="Anjali"/>
    <x v="1"/>
    <x v="3"/>
    <x v="2"/>
    <n v="26"/>
    <n v="47000"/>
    <x v="2"/>
    <x v="1"/>
  </r>
  <r>
    <n v="9"/>
    <s v="Varun"/>
    <x v="0"/>
    <x v="0"/>
    <x v="3"/>
    <n v="33"/>
    <n v="53000"/>
    <x v="0"/>
    <x v="2"/>
  </r>
  <r>
    <n v="10"/>
    <s v="Pooja"/>
    <x v="1"/>
    <x v="2"/>
    <x v="1"/>
    <n v="24"/>
    <n v="39000"/>
    <x v="1"/>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s v="Male"/>
    <x v="0"/>
    <s v="IT"/>
    <n v="25"/>
    <n v="45000"/>
    <x v="0"/>
    <s v="20-25"/>
  </r>
  <r>
    <n v="2"/>
    <x v="1"/>
    <s v="Female"/>
    <x v="1"/>
    <s v="HR"/>
    <n v="28"/>
    <n v="40000"/>
    <x v="1"/>
    <s v="26-30"/>
  </r>
  <r>
    <n v="3"/>
    <x v="2"/>
    <s v="Male"/>
    <x v="2"/>
    <s v="Finance"/>
    <n v="30"/>
    <n v="50000"/>
    <x v="2"/>
    <s v="26-30"/>
  </r>
  <r>
    <n v="4"/>
    <x v="3"/>
    <s v="Female"/>
    <x v="3"/>
    <s v="IT"/>
    <n v="27"/>
    <n v="48000"/>
    <x v="0"/>
    <s v="26-30"/>
  </r>
  <r>
    <n v="5"/>
    <x v="4"/>
    <s v="Male"/>
    <x v="0"/>
    <s v="Sales"/>
    <n v="35"/>
    <n v="55000"/>
    <x v="1"/>
    <s v="31-35"/>
  </r>
  <r>
    <n v="6"/>
    <x v="5"/>
    <s v="Female"/>
    <x v="1"/>
    <s v="HR"/>
    <n v="29"/>
    <n v="42000"/>
    <x v="0"/>
    <s v="26-30"/>
  </r>
  <r>
    <n v="7"/>
    <x v="6"/>
    <s v="Male"/>
    <x v="2"/>
    <s v="IT"/>
    <n v="31"/>
    <n v="60000"/>
    <x v="1"/>
    <s v="31-35"/>
  </r>
  <r>
    <n v="8"/>
    <x v="7"/>
    <s v="Female"/>
    <x v="3"/>
    <s v="Finance"/>
    <n v="26"/>
    <n v="47000"/>
    <x v="2"/>
    <s v="26-30"/>
  </r>
  <r>
    <n v="9"/>
    <x v="8"/>
    <s v="Male"/>
    <x v="0"/>
    <s v="Sales"/>
    <n v="33"/>
    <n v="53000"/>
    <x v="0"/>
    <s v="31-35"/>
  </r>
  <r>
    <n v="10"/>
    <x v="9"/>
    <s v="Female"/>
    <x v="2"/>
    <s v="HR"/>
    <n v="24"/>
    <n v="39000"/>
    <x v="1"/>
    <s v="20-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s v="Male"/>
    <s v="Hyderabad"/>
    <x v="0"/>
    <n v="25"/>
    <n v="45000"/>
    <s v="Good"/>
    <s v="20-25"/>
  </r>
  <r>
    <n v="2"/>
    <s v="Priya"/>
    <s v="Female"/>
    <s v="Chennai"/>
    <x v="1"/>
    <n v="28"/>
    <n v="40000"/>
    <s v="Excellent"/>
    <s v="26-30"/>
  </r>
  <r>
    <n v="3"/>
    <s v="Arjun"/>
    <s v="Male"/>
    <s v="Bangalore"/>
    <x v="2"/>
    <n v="30"/>
    <n v="50000"/>
    <s v="Average"/>
    <s v="26-30"/>
  </r>
  <r>
    <n v="4"/>
    <s v="Sneha"/>
    <s v="Female"/>
    <s v="Mumbai"/>
    <x v="0"/>
    <n v="27"/>
    <n v="48000"/>
    <s v="Good"/>
    <s v="26-30"/>
  </r>
  <r>
    <n v="5"/>
    <s v="Kiran"/>
    <s v="Male"/>
    <s v="Hyderabad"/>
    <x v="3"/>
    <n v="35"/>
    <n v="55000"/>
    <s v="Excellent"/>
    <s v="31-35"/>
  </r>
  <r>
    <n v="6"/>
    <s v="Divya"/>
    <s v="Female"/>
    <s v="Chennai"/>
    <x v="1"/>
    <n v="29"/>
    <n v="42000"/>
    <s v="Good"/>
    <s v="26-30"/>
  </r>
  <r>
    <n v="7"/>
    <s v="Rohit"/>
    <s v="Male"/>
    <s v="Bangalore"/>
    <x v="0"/>
    <n v="31"/>
    <n v="60000"/>
    <s v="Excellent"/>
    <s v="31-35"/>
  </r>
  <r>
    <n v="8"/>
    <s v="Anjali"/>
    <s v="Female"/>
    <s v="Mumbai"/>
    <x v="2"/>
    <n v="26"/>
    <n v="47000"/>
    <s v="Average"/>
    <s v="26-30"/>
  </r>
  <r>
    <n v="9"/>
    <s v="Varun"/>
    <s v="Male"/>
    <s v="Hyderabad"/>
    <x v="3"/>
    <n v="33"/>
    <n v="53000"/>
    <s v="Good"/>
    <s v="31-35"/>
  </r>
  <r>
    <n v="10"/>
    <s v="Pooja"/>
    <s v="Female"/>
    <s v="Bangalore"/>
    <x v="1"/>
    <n v="24"/>
    <n v="39000"/>
    <s v="Excellent"/>
    <s v="20-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x v="0"/>
    <x v="0"/>
    <x v="0"/>
    <x v="0"/>
  </r>
  <r>
    <n v="2"/>
    <s v="Priya"/>
    <x v="1"/>
    <x v="1"/>
    <x v="1"/>
    <x v="1"/>
    <x v="1"/>
    <x v="1"/>
    <x v="1"/>
  </r>
  <r>
    <n v="3"/>
    <s v="Arjun"/>
    <x v="0"/>
    <x v="2"/>
    <x v="2"/>
    <x v="2"/>
    <x v="2"/>
    <x v="2"/>
    <x v="1"/>
  </r>
  <r>
    <n v="4"/>
    <s v="Sneha"/>
    <x v="1"/>
    <x v="3"/>
    <x v="0"/>
    <x v="3"/>
    <x v="3"/>
    <x v="0"/>
    <x v="1"/>
  </r>
  <r>
    <n v="5"/>
    <s v="Kiran"/>
    <x v="0"/>
    <x v="0"/>
    <x v="3"/>
    <x v="4"/>
    <x v="4"/>
    <x v="1"/>
    <x v="2"/>
  </r>
  <r>
    <n v="6"/>
    <s v="Divya"/>
    <x v="1"/>
    <x v="1"/>
    <x v="1"/>
    <x v="5"/>
    <x v="5"/>
    <x v="0"/>
    <x v="1"/>
  </r>
  <r>
    <n v="7"/>
    <s v="Rohit"/>
    <x v="0"/>
    <x v="2"/>
    <x v="0"/>
    <x v="6"/>
    <x v="6"/>
    <x v="1"/>
    <x v="2"/>
  </r>
  <r>
    <n v="8"/>
    <s v="Anjali"/>
    <x v="1"/>
    <x v="3"/>
    <x v="2"/>
    <x v="7"/>
    <x v="7"/>
    <x v="2"/>
    <x v="1"/>
  </r>
  <r>
    <n v="9"/>
    <s v="Varun"/>
    <x v="0"/>
    <x v="0"/>
    <x v="3"/>
    <x v="8"/>
    <x v="8"/>
    <x v="0"/>
    <x v="2"/>
  </r>
  <r>
    <n v="10"/>
    <s v="Pooja"/>
    <x v="1"/>
    <x v="2"/>
    <x v="1"/>
    <x v="9"/>
    <x v="9"/>
    <x v="1"/>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s v="Male"/>
    <n v="24"/>
    <s v="Hyderabad"/>
    <s v="IT"/>
    <x v="0"/>
    <x v="0"/>
    <n v="2"/>
    <s v="Good"/>
    <n v="2023"/>
  </r>
  <r>
    <s v="E002"/>
    <s v="Priya"/>
    <s v="Female"/>
    <n v="28"/>
    <s v="Chennai"/>
    <s v="HR"/>
    <x v="1"/>
    <x v="1"/>
    <n v="5"/>
    <s v="Excellent"/>
    <n v="2020"/>
  </r>
  <r>
    <s v="E003"/>
    <s v="Arjun"/>
    <s v="Male"/>
    <n v="31"/>
    <s v="Bangalore"/>
    <s v="Finance"/>
    <x v="2"/>
    <x v="2"/>
    <n v="7"/>
    <s v="Good"/>
    <n v="2018"/>
  </r>
  <r>
    <s v="E004"/>
    <s v="Sneha"/>
    <s v="Female"/>
    <n v="26"/>
    <s v="Mumbai"/>
    <s v="IT"/>
    <x v="3"/>
    <x v="3"/>
    <n v="3"/>
    <s v="Average"/>
    <n v="2022"/>
  </r>
  <r>
    <s v="E005"/>
    <s v="Kiran"/>
    <s v="Male"/>
    <n v="35"/>
    <s v="Pune"/>
    <s v="Sales"/>
    <x v="4"/>
    <x v="4"/>
    <n v="10"/>
    <s v="Excellent"/>
    <n v="2015"/>
  </r>
  <r>
    <s v="E006"/>
    <s v="Divya"/>
    <s v="Female"/>
    <n v="29"/>
    <s v="Hyderabad"/>
    <s v="Marketing"/>
    <x v="5"/>
    <x v="5"/>
    <n v="6"/>
    <s v="Good"/>
    <n v="2019"/>
  </r>
  <r>
    <s v="E007"/>
    <s v="Sai"/>
    <s v="Male"/>
    <n v="23"/>
    <s v="Chennai"/>
    <s v="IT"/>
    <x v="0"/>
    <x v="6"/>
    <n v="1"/>
    <s v="Average"/>
    <n v="2024"/>
  </r>
  <r>
    <s v="E008"/>
    <s v="Anjali"/>
    <s v="Female"/>
    <n v="32"/>
    <s v="Bangalore"/>
    <s v="Finance"/>
    <x v="4"/>
    <x v="7"/>
    <n v="9"/>
    <s v="Excellent"/>
    <n v="2016"/>
  </r>
  <r>
    <s v="E009"/>
    <s v="Vikas"/>
    <s v="Male"/>
    <n v="27"/>
    <s v="Mumbai"/>
    <s v="HR"/>
    <x v="5"/>
    <x v="8"/>
    <n v="4"/>
    <s v="Good"/>
    <n v="2021"/>
  </r>
  <r>
    <s v="E010"/>
    <s v="Kavya"/>
    <s v="Female"/>
    <n v="30"/>
    <s v="Pune"/>
    <s v="Sales"/>
    <x v="5"/>
    <x v="9"/>
    <n v="7"/>
    <s v="Good"/>
    <n v="2018"/>
  </r>
  <r>
    <s v="E011"/>
    <s v="Rohit"/>
    <s v="Male"/>
    <n v="25"/>
    <s v="Hyderabad"/>
    <s v="IT"/>
    <x v="3"/>
    <x v="10"/>
    <n v="2"/>
    <s v="Average"/>
    <n v="2023"/>
  </r>
  <r>
    <s v="E012"/>
    <s v="Meena"/>
    <s v="Female"/>
    <n v="34"/>
    <s v="Chennai"/>
    <s v="Marketing"/>
    <x v="4"/>
    <x v="11"/>
    <n v="11"/>
    <s v="Excellent"/>
    <n v="2014"/>
  </r>
  <r>
    <s v="E013"/>
    <s v="Ajay"/>
    <s v="Male"/>
    <n v="29"/>
    <s v="Bangalore"/>
    <s v="Sales"/>
    <x v="5"/>
    <x v="12"/>
    <n v="5"/>
    <s v="Good"/>
    <n v="2020"/>
  </r>
  <r>
    <s v="E014"/>
    <s v="Pooja"/>
    <s v="Female"/>
    <n v="24"/>
    <s v="Mumbai"/>
    <s v="HR"/>
    <x v="1"/>
    <x v="13"/>
    <n v="2"/>
    <s v="Average"/>
    <n v="2023"/>
  </r>
  <r>
    <s v="E015"/>
    <s v="Naveen"/>
    <s v="Male"/>
    <n v="33"/>
    <s v="Pune"/>
    <s v="Finance"/>
    <x v="2"/>
    <x v="14"/>
    <n v="8"/>
    <s v="Excellent"/>
    <n v="2017"/>
  </r>
  <r>
    <s v="E016"/>
    <s v="Swathi"/>
    <s v="Female"/>
    <n v="27"/>
    <s v="Hyderabad"/>
    <s v="IT"/>
    <x v="0"/>
    <x v="15"/>
    <n v="4"/>
    <s v="Good"/>
    <n v="2021"/>
  </r>
  <r>
    <s v="E017"/>
    <s v="Varun"/>
    <s v="Male"/>
    <n v="36"/>
    <s v="Chennai"/>
    <s v="Sales"/>
    <x v="4"/>
    <x v="16"/>
    <n v="12"/>
    <s v="Excellent"/>
    <n v="2013"/>
  </r>
  <r>
    <s v="E018"/>
    <s v="Harika"/>
    <s v="Female"/>
    <n v="31"/>
    <s v="Bangalore"/>
    <s v="Marketing"/>
    <x v="5"/>
    <x v="17"/>
    <n v="7"/>
    <s v="Good"/>
    <n v="2018"/>
  </r>
  <r>
    <s v="E019"/>
    <s v="Teja"/>
    <s v="Male"/>
    <n v="26"/>
    <s v="Mumbai"/>
    <s v="IT"/>
    <x v="0"/>
    <x v="18"/>
    <n v="3"/>
    <s v="Average"/>
    <n v="2022"/>
  </r>
  <r>
    <s v="E020"/>
    <s v="Nisha"/>
    <s v="Female"/>
    <n v="28"/>
    <s v="Pune"/>
    <s v="Finance"/>
    <x v="2"/>
    <x v="19"/>
    <n v="6"/>
    <s v="Excellent"/>
    <n v="2019"/>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x v="0"/>
    <n v="24"/>
    <s v="Hyderabad"/>
    <x v="0"/>
    <s v="Developer"/>
    <n v="45000"/>
    <x v="0"/>
    <s v="Good"/>
    <n v="2023"/>
  </r>
  <r>
    <s v="E002"/>
    <s v="Priya"/>
    <x v="1"/>
    <n v="28"/>
    <s v="Chennai"/>
    <x v="1"/>
    <s v="Recruiter"/>
    <n v="52000"/>
    <x v="1"/>
    <s v="Excellent"/>
    <n v="2020"/>
  </r>
  <r>
    <s v="E003"/>
    <s v="Arjun"/>
    <x v="0"/>
    <n v="31"/>
    <s v="Bangalore"/>
    <x v="2"/>
    <s v="Analyst"/>
    <n v="60000"/>
    <x v="2"/>
    <s v="Good"/>
    <n v="2018"/>
  </r>
  <r>
    <s v="E004"/>
    <s v="Sneha"/>
    <x v="1"/>
    <n v="26"/>
    <s v="Mumbai"/>
    <x v="0"/>
    <s v="Tester"/>
    <n v="48000"/>
    <x v="3"/>
    <s v="Average"/>
    <n v="2022"/>
  </r>
  <r>
    <s v="E005"/>
    <s v="Kiran"/>
    <x v="0"/>
    <n v="35"/>
    <s v="Pune"/>
    <x v="3"/>
    <s v="Manager"/>
    <n v="75000"/>
    <x v="4"/>
    <s v="Excellent"/>
    <n v="2015"/>
  </r>
  <r>
    <s v="E006"/>
    <s v="Divya"/>
    <x v="1"/>
    <n v="29"/>
    <s v="Hyderabad"/>
    <x v="4"/>
    <s v="Executive"/>
    <n v="55000"/>
    <x v="5"/>
    <s v="Good"/>
    <n v="2019"/>
  </r>
  <r>
    <s v="E007"/>
    <s v="Sai"/>
    <x v="0"/>
    <n v="23"/>
    <s v="Chennai"/>
    <x v="0"/>
    <s v="Developer"/>
    <n v="42000"/>
    <x v="6"/>
    <s v="Average"/>
    <n v="2024"/>
  </r>
  <r>
    <s v="E008"/>
    <s v="Anjali"/>
    <x v="1"/>
    <n v="32"/>
    <s v="Bangalore"/>
    <x v="2"/>
    <s v="Manager"/>
    <n v="78000"/>
    <x v="7"/>
    <s v="Excellent"/>
    <n v="2016"/>
  </r>
  <r>
    <s v="E009"/>
    <s v="Vikas"/>
    <x v="0"/>
    <n v="27"/>
    <s v="Mumbai"/>
    <x v="1"/>
    <s v="Executive"/>
    <n v="50000"/>
    <x v="8"/>
    <s v="Good"/>
    <n v="2021"/>
  </r>
  <r>
    <s v="E010"/>
    <s v="Kavya"/>
    <x v="1"/>
    <n v="30"/>
    <s v="Pune"/>
    <x v="3"/>
    <s v="Executive"/>
    <n v="58000"/>
    <x v="2"/>
    <s v="Good"/>
    <n v="2018"/>
  </r>
  <r>
    <s v="E011"/>
    <s v="Rohit"/>
    <x v="0"/>
    <n v="25"/>
    <s v="Hyderabad"/>
    <x v="0"/>
    <s v="Tester"/>
    <n v="46000"/>
    <x v="0"/>
    <s v="Average"/>
    <n v="2023"/>
  </r>
  <r>
    <s v="E012"/>
    <s v="Meena"/>
    <x v="1"/>
    <n v="34"/>
    <s v="Chennai"/>
    <x v="4"/>
    <s v="Manager"/>
    <n v="72000"/>
    <x v="9"/>
    <s v="Excellent"/>
    <n v="2014"/>
  </r>
  <r>
    <s v="E013"/>
    <s v="Ajay"/>
    <x v="0"/>
    <n v="29"/>
    <s v="Bangalore"/>
    <x v="3"/>
    <s v="Executive"/>
    <n v="56000"/>
    <x v="1"/>
    <s v="Good"/>
    <n v="2020"/>
  </r>
  <r>
    <s v="E014"/>
    <s v="Pooja"/>
    <x v="1"/>
    <n v="24"/>
    <s v="Mumbai"/>
    <x v="1"/>
    <s v="Recruiter"/>
    <n v="44000"/>
    <x v="0"/>
    <s v="Average"/>
    <n v="2023"/>
  </r>
  <r>
    <s v="E015"/>
    <s v="Naveen"/>
    <x v="0"/>
    <n v="33"/>
    <s v="Pune"/>
    <x v="2"/>
    <s v="Analyst"/>
    <n v="65000"/>
    <x v="10"/>
    <s v="Excellent"/>
    <n v="2017"/>
  </r>
  <r>
    <s v="E016"/>
    <s v="Swathi"/>
    <x v="1"/>
    <n v="27"/>
    <s v="Hyderabad"/>
    <x v="0"/>
    <s v="Developer"/>
    <n v="51000"/>
    <x v="8"/>
    <s v="Good"/>
    <n v="2021"/>
  </r>
  <r>
    <s v="E017"/>
    <s v="Varun"/>
    <x v="0"/>
    <n v="36"/>
    <s v="Chennai"/>
    <x v="3"/>
    <s v="Manager"/>
    <n v="80000"/>
    <x v="11"/>
    <s v="Excellent"/>
    <n v="2013"/>
  </r>
  <r>
    <s v="E018"/>
    <s v="Harika"/>
    <x v="1"/>
    <n v="31"/>
    <s v="Bangalore"/>
    <x v="4"/>
    <s v="Executive"/>
    <n v="59000"/>
    <x v="2"/>
    <s v="Good"/>
    <n v="2018"/>
  </r>
  <r>
    <s v="E019"/>
    <s v="Teja"/>
    <x v="0"/>
    <n v="26"/>
    <s v="Mumbai"/>
    <x v="0"/>
    <s v="Developer"/>
    <n v="47000"/>
    <x v="3"/>
    <s v="Average"/>
    <n v="2022"/>
  </r>
  <r>
    <s v="E020"/>
    <s v="Nisha"/>
    <x v="1"/>
    <n v="28"/>
    <s v="Pune"/>
    <x v="2"/>
    <s v="Analyst"/>
    <n v="62000"/>
    <x v="5"/>
    <s v="Excellent"/>
    <n v="2019"/>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24"/>
    <x v="0"/>
    <x v="0"/>
    <s v="Developer"/>
    <n v="45000"/>
    <n v="2"/>
    <s v="Good"/>
    <n v="2023"/>
  </r>
  <r>
    <x v="1"/>
    <x v="1"/>
    <x v="1"/>
    <n v="28"/>
    <x v="1"/>
    <x v="1"/>
    <s v="Recruiter"/>
    <n v="52000"/>
    <n v="5"/>
    <s v="Excellent"/>
    <n v="2020"/>
  </r>
  <r>
    <x v="2"/>
    <x v="2"/>
    <x v="0"/>
    <n v="31"/>
    <x v="2"/>
    <x v="2"/>
    <s v="Analyst"/>
    <n v="60000"/>
    <n v="7"/>
    <s v="Good"/>
    <n v="2018"/>
  </r>
  <r>
    <x v="3"/>
    <x v="3"/>
    <x v="1"/>
    <n v="26"/>
    <x v="3"/>
    <x v="0"/>
    <s v="Tester"/>
    <n v="48000"/>
    <n v="3"/>
    <s v="Average"/>
    <n v="2022"/>
  </r>
  <r>
    <x v="4"/>
    <x v="4"/>
    <x v="0"/>
    <n v="35"/>
    <x v="4"/>
    <x v="3"/>
    <s v="Manager"/>
    <n v="75000"/>
    <n v="10"/>
    <s v="Excellent"/>
    <n v="2015"/>
  </r>
  <r>
    <x v="5"/>
    <x v="5"/>
    <x v="1"/>
    <n v="29"/>
    <x v="0"/>
    <x v="4"/>
    <s v="Executive"/>
    <n v="55000"/>
    <n v="6"/>
    <s v="Good"/>
    <n v="2019"/>
  </r>
  <r>
    <x v="6"/>
    <x v="6"/>
    <x v="0"/>
    <n v="23"/>
    <x v="1"/>
    <x v="0"/>
    <s v="Developer"/>
    <n v="42000"/>
    <n v="1"/>
    <s v="Average"/>
    <n v="2024"/>
  </r>
  <r>
    <x v="7"/>
    <x v="7"/>
    <x v="1"/>
    <n v="32"/>
    <x v="2"/>
    <x v="2"/>
    <s v="Manager"/>
    <n v="78000"/>
    <n v="9"/>
    <s v="Excellent"/>
    <n v="2016"/>
  </r>
  <r>
    <x v="8"/>
    <x v="8"/>
    <x v="0"/>
    <n v="27"/>
    <x v="3"/>
    <x v="1"/>
    <s v="Executive"/>
    <n v="50000"/>
    <n v="4"/>
    <s v="Good"/>
    <n v="2021"/>
  </r>
  <r>
    <x v="9"/>
    <x v="9"/>
    <x v="1"/>
    <n v="30"/>
    <x v="4"/>
    <x v="3"/>
    <s v="Executive"/>
    <n v="58000"/>
    <n v="7"/>
    <s v="Good"/>
    <n v="2018"/>
  </r>
  <r>
    <x v="10"/>
    <x v="10"/>
    <x v="0"/>
    <n v="25"/>
    <x v="0"/>
    <x v="0"/>
    <s v="Tester"/>
    <n v="46000"/>
    <n v="2"/>
    <s v="Average"/>
    <n v="2023"/>
  </r>
  <r>
    <x v="11"/>
    <x v="11"/>
    <x v="1"/>
    <n v="34"/>
    <x v="1"/>
    <x v="4"/>
    <s v="Manager"/>
    <n v="72000"/>
    <n v="11"/>
    <s v="Excellent"/>
    <n v="2014"/>
  </r>
  <r>
    <x v="12"/>
    <x v="12"/>
    <x v="0"/>
    <n v="29"/>
    <x v="2"/>
    <x v="3"/>
    <s v="Executive"/>
    <n v="56000"/>
    <n v="5"/>
    <s v="Good"/>
    <n v="2020"/>
  </r>
  <r>
    <x v="13"/>
    <x v="13"/>
    <x v="1"/>
    <n v="24"/>
    <x v="3"/>
    <x v="1"/>
    <s v="Recruiter"/>
    <n v="44000"/>
    <n v="2"/>
    <s v="Average"/>
    <n v="2023"/>
  </r>
  <r>
    <x v="14"/>
    <x v="14"/>
    <x v="0"/>
    <n v="33"/>
    <x v="4"/>
    <x v="2"/>
    <s v="Analyst"/>
    <n v="65000"/>
    <n v="8"/>
    <s v="Excellent"/>
    <n v="2017"/>
  </r>
  <r>
    <x v="15"/>
    <x v="15"/>
    <x v="1"/>
    <n v="27"/>
    <x v="0"/>
    <x v="0"/>
    <s v="Developer"/>
    <n v="51000"/>
    <n v="4"/>
    <s v="Good"/>
    <n v="2021"/>
  </r>
  <r>
    <x v="16"/>
    <x v="16"/>
    <x v="0"/>
    <n v="36"/>
    <x v="1"/>
    <x v="3"/>
    <s v="Manager"/>
    <n v="80000"/>
    <n v="12"/>
    <s v="Excellent"/>
    <n v="2013"/>
  </r>
  <r>
    <x v="17"/>
    <x v="17"/>
    <x v="1"/>
    <n v="31"/>
    <x v="2"/>
    <x v="4"/>
    <s v="Executive"/>
    <n v="59000"/>
    <n v="7"/>
    <s v="Good"/>
    <n v="2018"/>
  </r>
  <r>
    <x v="18"/>
    <x v="18"/>
    <x v="0"/>
    <n v="26"/>
    <x v="3"/>
    <x v="0"/>
    <s v="Developer"/>
    <n v="47000"/>
    <n v="3"/>
    <s v="Average"/>
    <n v="2022"/>
  </r>
  <r>
    <x v="19"/>
    <x v="19"/>
    <x v="1"/>
    <n v="28"/>
    <x v="4"/>
    <x v="2"/>
    <s v="Analyst"/>
    <n v="62000"/>
    <n v="6"/>
    <s v="Excellent"/>
    <n v="2019"/>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s v="Male"/>
    <n v="24"/>
    <s v="Hyderabad"/>
    <x v="0"/>
    <s v="Developer"/>
    <n v="45000"/>
    <x v="0"/>
    <x v="0"/>
    <n v="2023"/>
  </r>
  <r>
    <s v="E002"/>
    <s v="Priya"/>
    <s v="Female"/>
    <n v="28"/>
    <s v="Chennai"/>
    <x v="1"/>
    <s v="Recruiter"/>
    <n v="52000"/>
    <x v="1"/>
    <x v="1"/>
    <n v="2020"/>
  </r>
  <r>
    <s v="E003"/>
    <s v="Arjun"/>
    <s v="Male"/>
    <n v="31"/>
    <s v="Bangalore"/>
    <x v="2"/>
    <s v="Analyst"/>
    <n v="60000"/>
    <x v="2"/>
    <x v="0"/>
    <n v="2018"/>
  </r>
  <r>
    <s v="E004"/>
    <s v="Sneha"/>
    <s v="Female"/>
    <n v="26"/>
    <s v="Mumbai"/>
    <x v="0"/>
    <s v="Tester"/>
    <n v="48000"/>
    <x v="3"/>
    <x v="2"/>
    <n v="2022"/>
  </r>
  <r>
    <s v="E005"/>
    <s v="Kiran"/>
    <s v="Male"/>
    <n v="35"/>
    <s v="Pune"/>
    <x v="3"/>
    <s v="Manager"/>
    <n v="75000"/>
    <x v="4"/>
    <x v="1"/>
    <n v="2015"/>
  </r>
  <r>
    <s v="E006"/>
    <s v="Divya"/>
    <s v="Female"/>
    <n v="29"/>
    <s v="Hyderabad"/>
    <x v="4"/>
    <s v="Executive"/>
    <n v="55000"/>
    <x v="5"/>
    <x v="0"/>
    <n v="2019"/>
  </r>
  <r>
    <s v="E007"/>
    <s v="Sai"/>
    <s v="Male"/>
    <n v="23"/>
    <s v="Chennai"/>
    <x v="0"/>
    <s v="Developer"/>
    <n v="42000"/>
    <x v="6"/>
    <x v="2"/>
    <n v="2024"/>
  </r>
  <r>
    <s v="E008"/>
    <s v="Anjali"/>
    <s v="Female"/>
    <n v="32"/>
    <s v="Bangalore"/>
    <x v="2"/>
    <s v="Manager"/>
    <n v="78000"/>
    <x v="7"/>
    <x v="1"/>
    <n v="2016"/>
  </r>
  <r>
    <s v="E009"/>
    <s v="Vikas"/>
    <s v="Male"/>
    <n v="27"/>
    <s v="Mumbai"/>
    <x v="1"/>
    <s v="Executive"/>
    <n v="50000"/>
    <x v="8"/>
    <x v="0"/>
    <n v="2021"/>
  </r>
  <r>
    <s v="E010"/>
    <s v="Kavya"/>
    <s v="Female"/>
    <n v="30"/>
    <s v="Pune"/>
    <x v="3"/>
    <s v="Executive"/>
    <n v="58000"/>
    <x v="2"/>
    <x v="0"/>
    <n v="2018"/>
  </r>
  <r>
    <s v="E011"/>
    <s v="Rohit"/>
    <s v="Male"/>
    <n v="25"/>
    <s v="Hyderabad"/>
    <x v="0"/>
    <s v="Tester"/>
    <n v="46000"/>
    <x v="0"/>
    <x v="2"/>
    <n v="2023"/>
  </r>
  <r>
    <s v="E012"/>
    <s v="Meena"/>
    <s v="Female"/>
    <n v="34"/>
    <s v="Chennai"/>
    <x v="4"/>
    <s v="Manager"/>
    <n v="72000"/>
    <x v="9"/>
    <x v="1"/>
    <n v="2014"/>
  </r>
  <r>
    <s v="E013"/>
    <s v="Ajay"/>
    <s v="Male"/>
    <n v="29"/>
    <s v="Bangalore"/>
    <x v="3"/>
    <s v="Executive"/>
    <n v="56000"/>
    <x v="1"/>
    <x v="0"/>
    <n v="2020"/>
  </r>
  <r>
    <s v="E014"/>
    <s v="Pooja"/>
    <s v="Female"/>
    <n v="24"/>
    <s v="Mumbai"/>
    <x v="1"/>
    <s v="Recruiter"/>
    <n v="44000"/>
    <x v="0"/>
    <x v="2"/>
    <n v="2023"/>
  </r>
  <r>
    <s v="E015"/>
    <s v="Naveen"/>
    <s v="Male"/>
    <n v="33"/>
    <s v="Pune"/>
    <x v="2"/>
    <s v="Analyst"/>
    <n v="65000"/>
    <x v="10"/>
    <x v="1"/>
    <n v="2017"/>
  </r>
  <r>
    <s v="E016"/>
    <s v="Swathi"/>
    <s v="Female"/>
    <n v="27"/>
    <s v="Hyderabad"/>
    <x v="0"/>
    <s v="Developer"/>
    <n v="51000"/>
    <x v="8"/>
    <x v="0"/>
    <n v="2021"/>
  </r>
  <r>
    <s v="E017"/>
    <s v="Varun"/>
    <s v="Male"/>
    <n v="36"/>
    <s v="Chennai"/>
    <x v="3"/>
    <s v="Manager"/>
    <n v="80000"/>
    <x v="11"/>
    <x v="1"/>
    <n v="2013"/>
  </r>
  <r>
    <s v="E018"/>
    <s v="Harika"/>
    <s v="Female"/>
    <n v="31"/>
    <s v="Bangalore"/>
    <x v="4"/>
    <s v="Executive"/>
    <n v="59000"/>
    <x v="2"/>
    <x v="0"/>
    <n v="2018"/>
  </r>
  <r>
    <s v="E019"/>
    <s v="Teja"/>
    <s v="Male"/>
    <n v="26"/>
    <s v="Mumbai"/>
    <x v="0"/>
    <s v="Developer"/>
    <n v="47000"/>
    <x v="3"/>
    <x v="2"/>
    <n v="2022"/>
  </r>
  <r>
    <s v="E020"/>
    <s v="Nisha"/>
    <s v="Female"/>
    <n v="28"/>
    <s v="Pune"/>
    <x v="2"/>
    <s v="Analyst"/>
    <n v="62000"/>
    <x v="5"/>
    <x v="1"/>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C8BD2-638D-4640-962C-044407C250A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9:L31" firstHeaderRow="1" firstDataRow="1" firstDataCol="1"/>
  <pivotFields count="9">
    <pivotField showAll="0"/>
    <pivotField showAll="0"/>
    <pivotField axis="axisRow" showAll="0">
      <items count="3">
        <item x="1"/>
        <item x="0"/>
        <item t="default"/>
      </items>
    </pivotField>
    <pivotField showAll="0">
      <items count="5">
        <item x="2"/>
        <item x="1"/>
        <item x="0"/>
        <item x="3"/>
        <item t="default"/>
      </items>
    </pivotField>
    <pivotField showAll="0"/>
    <pivotField dataField="1" showAll="0">
      <items count="11">
        <item h="1" x="9"/>
        <item h="1" x="0"/>
        <item h="1" x="7"/>
        <item h="1" x="3"/>
        <item x="1"/>
        <item h="1" x="5"/>
        <item h="1" x="2"/>
        <item h="1" x="6"/>
        <item h="1" x="8"/>
        <item h="1" x="4"/>
        <item t="default"/>
      </items>
    </pivotField>
    <pivotField showAll="0"/>
    <pivotField showAll="0"/>
    <pivotField showAll="0">
      <items count="4">
        <item x="0"/>
        <item x="1"/>
        <item x="2"/>
        <item t="default"/>
      </items>
    </pivotField>
  </pivotFields>
  <rowFields count="1">
    <field x="2"/>
  </rowFields>
  <rowItems count="2">
    <i>
      <x/>
    </i>
    <i t="grand">
      <x/>
    </i>
  </rowItems>
  <colItems count="1">
    <i/>
  </colItems>
  <dataFields count="1">
    <dataField name="Sum of Age" fld="5" baseField="0" baseItem="0"/>
  </dataFields>
  <formats count="5">
    <format dxfId="154">
      <pivotArea type="all" dataOnly="0" outline="0" fieldPosition="0"/>
    </format>
    <format dxfId="153">
      <pivotArea outline="0" collapsedLevelsAreSubtotals="1" fieldPosition="0"/>
    </format>
    <format dxfId="152">
      <pivotArea field="2" type="button" dataOnly="0" labelOnly="1" outline="0" axis="axisRow" fieldPosition="0"/>
    </format>
    <format dxfId="151">
      <pivotArea dataOnly="0" labelOnly="1" grandRow="1" outline="0" fieldPosition="0"/>
    </format>
    <format dxfId="150">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0D71B-B5D7-4651-8A68-FA8C501DAD40}"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9"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0" baseItem="0"/>
  </dataFields>
  <formats count="6">
    <format dxfId="160">
      <pivotArea type="all" dataOnly="0" outline="0" fieldPosition="0"/>
    </format>
    <format dxfId="159">
      <pivotArea outline="0" collapsedLevelsAreSubtotals="1" fieldPosition="0"/>
    </format>
    <format dxfId="158">
      <pivotArea field="2" type="button" dataOnly="0" labelOnly="1" outline="0" axis="axisRow" fieldPosition="0"/>
    </format>
    <format dxfId="157">
      <pivotArea dataOnly="0" labelOnly="1" fieldPosition="0">
        <references count="1">
          <reference field="2" count="0"/>
        </references>
      </pivotArea>
    </format>
    <format dxfId="156">
      <pivotArea dataOnly="0" labelOnly="1" grandRow="1" outline="0" fieldPosition="0"/>
    </format>
    <format dxfId="15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51E90-4F79-4EA6-A572-7A6A77334CA7}"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2:C24" firstHeaderRow="1" firstDataRow="1" firstDataCol="1"/>
  <pivotFields count="9">
    <pivotField showAll="0"/>
    <pivotField showAll="0"/>
    <pivotField showAll="0">
      <items count="3">
        <item x="1"/>
        <item x="0"/>
        <item t="default"/>
      </items>
    </pivotField>
    <pivotField showAll="0">
      <items count="5">
        <item x="2"/>
        <item x="1"/>
        <item x="0"/>
        <item x="3"/>
        <item t="default"/>
      </items>
    </pivotField>
    <pivotField axis="axisRow" showAll="0">
      <items count="5">
        <item h="1" x="2"/>
        <item h="1" x="1"/>
        <item h="1" x="0"/>
        <item x="3"/>
        <item t="default"/>
      </items>
    </pivotField>
    <pivotField showAll="0"/>
    <pivotField dataField="1" showAll="0">
      <items count="11">
        <item x="9"/>
        <item x="1"/>
        <item x="5"/>
        <item x="0"/>
        <item x="7"/>
        <item x="3"/>
        <item x="2"/>
        <item x="8"/>
        <item x="4"/>
        <item x="6"/>
        <item t="default"/>
      </items>
    </pivotField>
    <pivotField showAll="0">
      <items count="4">
        <item x="2"/>
        <item x="1"/>
        <item x="0"/>
        <item t="default"/>
      </items>
    </pivotField>
    <pivotField showAll="0"/>
  </pivotFields>
  <rowFields count="1">
    <field x="4"/>
  </rowFields>
  <rowItems count="2">
    <i>
      <x v="3"/>
    </i>
    <i t="grand">
      <x/>
    </i>
  </rowItems>
  <colItems count="1">
    <i/>
  </colItems>
  <dataFields count="1">
    <dataField name="Sum of Salary" fld="6" baseField="0" baseItem="0"/>
  </dataFields>
  <formats count="5">
    <format dxfId="165">
      <pivotArea type="all" dataOnly="0" outline="0" fieldPosition="0"/>
    </format>
    <format dxfId="164">
      <pivotArea outline="0" collapsedLevelsAreSubtotals="1" fieldPosition="0"/>
    </format>
    <format dxfId="163">
      <pivotArea field="2" type="button" dataOnly="0" labelOnly="1" outline="0"/>
    </format>
    <format dxfId="162">
      <pivotArea dataOnly="0" labelOnly="1" grandRow="1" outline="0"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9F09F-CED6-4350-955D-BA414EE19AA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4"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axis="axisRow" showAll="0">
      <items count="5">
        <item h="1" x="2"/>
        <item h="1" x="1"/>
        <item h="1" x="0"/>
        <item x="3"/>
        <item t="default"/>
      </items>
    </pivotField>
    <pivotField showAll="0"/>
    <pivotField showAll="0"/>
    <pivotField showAll="0"/>
    <pivotField showAll="0"/>
  </pivotFields>
  <rowFields count="2">
    <field x="2"/>
    <field x="4"/>
  </rowFields>
  <rowItems count="3">
    <i>
      <x v="1"/>
    </i>
    <i r="1">
      <x v="3"/>
    </i>
    <i t="grand">
      <x/>
    </i>
  </rowItems>
  <colItems count="1">
    <i/>
  </colItems>
  <dataFields count="1">
    <dataField name="Count of ID" fld="0" subtotal="count" baseField="0" baseItem="0"/>
  </dataFields>
  <formats count="6">
    <format dxfId="171">
      <pivotArea type="all" dataOnly="0" outline="0" fieldPosition="0"/>
    </format>
    <format dxfId="170">
      <pivotArea outline="0" collapsedLevelsAreSubtotals="1" fieldPosition="0"/>
    </format>
    <format dxfId="169">
      <pivotArea field="2" type="button" dataOnly="0" labelOnly="1" outline="0" axis="axisRow" fieldPosition="0"/>
    </format>
    <format dxfId="168">
      <pivotArea dataOnly="0" labelOnly="1" fieldPosition="0">
        <references count="1">
          <reference field="2" count="0"/>
        </references>
      </pivotArea>
    </format>
    <format dxfId="167">
      <pivotArea dataOnly="0" labelOnly="1" grandRow="1" outline="0" fieldPosition="0"/>
    </format>
    <format dxfId="16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0DC4FE-1678-4F08-8074-360EE12175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L3:CM5" firstHeaderRow="1" firstDataRow="1" firstDataCol="1"/>
  <pivotFields count="8">
    <pivotField showAll="0"/>
    <pivotField showAll="0">
      <items count="11">
        <item x="7"/>
        <item x="2"/>
        <item x="5"/>
        <item x="4"/>
        <item x="9"/>
        <item x="1"/>
        <item x="0"/>
        <item x="6"/>
        <item x="3"/>
        <item x="8"/>
        <item t="default"/>
      </items>
    </pivotField>
    <pivotField axis="axisRow" showAll="0">
      <items count="3">
        <item h="1" sd="0" x="1"/>
        <item sd="0" x="0"/>
        <item t="default" sd="0"/>
      </items>
    </pivotField>
    <pivotField showAll="0"/>
    <pivotField showAll="0">
      <items count="5">
        <item x="2"/>
        <item x="1"/>
        <item x="0"/>
        <item x="3"/>
        <item t="default"/>
      </items>
    </pivotField>
    <pivotField showAll="0"/>
    <pivotField dataField="1" showAll="0"/>
    <pivotField showAll="0">
      <items count="4">
        <item x="2"/>
        <item x="1"/>
        <item x="0"/>
        <item t="default"/>
      </items>
    </pivotField>
  </pivotFields>
  <rowFields count="1">
    <field x="2"/>
  </rowFields>
  <rowItems count="2">
    <i>
      <x v="1"/>
    </i>
    <i t="grand">
      <x/>
    </i>
  </rowItems>
  <colItems count="1">
    <i/>
  </colItems>
  <dataFields count="1">
    <dataField name="Sum of Salary" fld="6" baseField="0" baseItem="0"/>
  </dataFields>
  <formats count="6">
    <format dxfId="103">
      <pivotArea type="all" dataOnly="0" outline="0" fieldPosition="0"/>
    </format>
    <format dxfId="102">
      <pivotArea outline="0" collapsedLevelsAreSubtotals="1" fieldPosition="0"/>
    </format>
    <format dxfId="101">
      <pivotArea field="2" type="button" dataOnly="0" labelOnly="1" outline="0" axis="axisRow" fieldPosition="0"/>
    </format>
    <format dxfId="100">
      <pivotArea dataOnly="0" labelOnly="1" fieldPosition="0">
        <references count="1">
          <reference field="2" count="0"/>
        </references>
      </pivotArea>
    </format>
    <format dxfId="99">
      <pivotArea dataOnly="0" labelOnly="1" grandRow="1" outline="0" fieldPosition="0"/>
    </format>
    <format dxfId="9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FE0CA-C986-4507-B13D-C4E00F38FB6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M16:CO20" firstHeaderRow="0" firstDataRow="1" firstDataCol="1"/>
  <pivotFields count="9">
    <pivotField showAll="0"/>
    <pivotField axis="axisRow" showAll="0">
      <items count="11">
        <item x="7"/>
        <item x="2"/>
        <item x="5"/>
        <item x="4"/>
        <item x="9"/>
        <item x="1"/>
        <item x="0"/>
        <item x="6"/>
        <item x="3"/>
        <item x="8"/>
        <item t="default"/>
      </items>
    </pivotField>
    <pivotField showAll="0"/>
    <pivotField showAll="0"/>
    <pivotField showAll="0"/>
    <pivotField dataField="1" showAll="0"/>
    <pivotField dataField="1" showAll="0"/>
    <pivotField showAll="0"/>
    <pivotField axis="axisRow" showAll="0">
      <items count="4">
        <item sd="0" x="0"/>
        <item sd="0" x="1"/>
        <item sd="0" x="2"/>
        <item t="default" sd="0"/>
      </items>
    </pivotField>
  </pivotFields>
  <rowFields count="2">
    <field x="8"/>
    <field x="1"/>
  </rowFields>
  <rowItems count="4">
    <i>
      <x/>
    </i>
    <i>
      <x v="1"/>
    </i>
    <i>
      <x v="2"/>
    </i>
    <i t="grand">
      <x/>
    </i>
  </rowItems>
  <colFields count="1">
    <field x="-2"/>
  </colFields>
  <colItems count="2">
    <i>
      <x/>
    </i>
    <i i="1">
      <x v="1"/>
    </i>
  </colItems>
  <dataFields count="2">
    <dataField name="Sum of Age" fld="5" baseField="0" baseItem="0"/>
    <dataField name="Sum of Salary" fld="6" baseField="0" baseItem="0"/>
  </dataFields>
  <formats count="6">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fieldPosition="0">
        <references count="1">
          <reference field="8"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7A76A5-A1B0-4919-828A-00402CF5073C}"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C15:CD19" firstHeaderRow="1" firstDataRow="1" firstDataCol="1"/>
  <pivotFields count="8">
    <pivotField showAll="0"/>
    <pivotField showAll="0"/>
    <pivotField showAll="0">
      <items count="3">
        <item x="1"/>
        <item x="0"/>
        <item t="default"/>
      </items>
    </pivotField>
    <pivotField showAll="0">
      <items count="5">
        <item x="2"/>
        <item x="1"/>
        <item x="0"/>
        <item x="3"/>
        <item t="default"/>
      </items>
    </pivotField>
    <pivotField showAll="0">
      <items count="5">
        <item x="2"/>
        <item x="1"/>
        <item x="0"/>
        <item x="3"/>
        <item t="default"/>
      </items>
    </pivotField>
    <pivotField showAll="0"/>
    <pivotField dataField="1" showAll="0"/>
    <pivotField axis="axisRow" showAll="0">
      <items count="4">
        <item x="2"/>
        <item x="1"/>
        <item x="0"/>
        <item t="default"/>
      </items>
    </pivotField>
  </pivotFields>
  <rowFields count="1">
    <field x="7"/>
  </rowFields>
  <rowItems count="4">
    <i>
      <x/>
    </i>
    <i>
      <x v="1"/>
    </i>
    <i>
      <x v="2"/>
    </i>
    <i t="grand">
      <x/>
    </i>
  </rowItems>
  <colItems count="1">
    <i/>
  </colItems>
  <dataFields count="1">
    <dataField name="Sum of Salary" fld="6" baseField="0" baseItem="0"/>
  </dataFields>
  <formats count="6">
    <format dxfId="115">
      <pivotArea type="all" dataOnly="0" outline="0" fieldPosition="0"/>
    </format>
    <format dxfId="114">
      <pivotArea outline="0" collapsedLevelsAreSubtotals="1" fieldPosition="0"/>
    </format>
    <format dxfId="113">
      <pivotArea field="7" type="button" dataOnly="0" labelOnly="1" outline="0" axis="axisRow" fieldPosition="0"/>
    </format>
    <format dxfId="112">
      <pivotArea dataOnly="0" labelOnly="1" fieldPosition="0">
        <references count="1">
          <reference field="7" count="0"/>
        </references>
      </pivotArea>
    </format>
    <format dxfId="111">
      <pivotArea dataOnly="0" labelOnly="1" grandRow="1" outline="0" fieldPosition="0"/>
    </format>
    <format dxfId="1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FC7D2-404C-4FB7-8F83-18F75AA126C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L8:CM13" firstHeaderRow="1" firstDataRow="1" firstDataCol="1"/>
  <pivotFields count="8">
    <pivotField showAll="0"/>
    <pivotField showAll="0"/>
    <pivotField showAll="0"/>
    <pivotField showAll="0"/>
    <pivotField axis="axisRow" showAll="0">
      <items count="5">
        <item x="2"/>
        <item x="1"/>
        <item x="0"/>
        <item x="3"/>
        <item t="default"/>
      </items>
    </pivotField>
    <pivotField showAll="0"/>
    <pivotField dataField="1" showAll="0"/>
    <pivotField showAll="0">
      <items count="4">
        <item x="2"/>
        <item x="1"/>
        <item x="0"/>
        <item t="default"/>
      </items>
    </pivotField>
  </pivotFields>
  <rowFields count="1">
    <field x="4"/>
  </rowFields>
  <rowItems count="5">
    <i>
      <x/>
    </i>
    <i>
      <x v="1"/>
    </i>
    <i>
      <x v="2"/>
    </i>
    <i>
      <x v="3"/>
    </i>
    <i t="grand">
      <x/>
    </i>
  </rowItems>
  <colItems count="1">
    <i/>
  </colItems>
  <dataFields count="1">
    <dataField name="Sum of Salary" fld="6" baseField="0" baseItem="0"/>
  </dataFields>
  <formats count="6">
    <format dxfId="121">
      <pivotArea type="all" dataOnly="0" outline="0" fieldPosition="0"/>
    </format>
    <format dxfId="120">
      <pivotArea outline="0" collapsedLevelsAreSubtotals="1" fieldPosition="0"/>
    </format>
    <format dxfId="119">
      <pivotArea field="4" type="button" dataOnly="0" labelOnly="1" outline="0" axis="axisRow" fieldPosition="0"/>
    </format>
    <format dxfId="118">
      <pivotArea dataOnly="0" labelOnly="1" fieldPosition="0">
        <references count="1">
          <reference field="4" count="0"/>
        </references>
      </pivotArea>
    </format>
    <format dxfId="117">
      <pivotArea dataOnly="0" labelOnly="1" grandRow="1" outline="0" fieldPosition="0"/>
    </format>
    <format dxfId="11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51BCF4-C72A-405A-99BA-DA5DAE5E97A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A2:DB13" firstHeaderRow="1" firstDataRow="1" firstDataCol="1"/>
  <pivotFields count="9">
    <pivotField showAll="0"/>
    <pivotField showAll="0"/>
    <pivotField axis="axisRow" showAll="0">
      <items count="3">
        <item x="1"/>
        <item x="0"/>
        <item t="default"/>
      </items>
    </pivotField>
    <pivotField showAll="0">
      <items count="5">
        <item x="2"/>
        <item x="1"/>
        <item x="0"/>
        <item x="3"/>
        <item t="default"/>
      </items>
    </pivotField>
    <pivotField axis="axisRow" showAll="0">
      <items count="5">
        <item x="2"/>
        <item x="1"/>
        <item x="0"/>
        <item x="3"/>
        <item t="default"/>
      </items>
    </pivotField>
    <pivotField dataField="1" showAll="0"/>
    <pivotField showAll="0"/>
    <pivotField showAll="0">
      <items count="4">
        <item x="2"/>
        <item x="1"/>
        <item x="0"/>
        <item t="default"/>
      </items>
    </pivotField>
    <pivotField showAll="0">
      <items count="4">
        <item x="0"/>
        <item x="1"/>
        <item x="2"/>
        <item t="default"/>
      </items>
    </pivotField>
  </pivotFields>
  <rowFields count="2">
    <field x="4"/>
    <field x="2"/>
  </rowFields>
  <rowItems count="11">
    <i>
      <x/>
    </i>
    <i r="1">
      <x/>
    </i>
    <i r="1">
      <x v="1"/>
    </i>
    <i>
      <x v="1"/>
    </i>
    <i r="1">
      <x/>
    </i>
    <i>
      <x v="2"/>
    </i>
    <i r="1">
      <x/>
    </i>
    <i r="1">
      <x v="1"/>
    </i>
    <i>
      <x v="3"/>
    </i>
    <i r="1">
      <x v="1"/>
    </i>
    <i t="grand">
      <x/>
    </i>
  </rowItems>
  <colItems count="1">
    <i/>
  </colItems>
  <dataFields count="1">
    <dataField name="Sum of Age" fld="5" baseField="0" baseItem="0"/>
  </dataFields>
  <formats count="10">
    <format dxfId="131">
      <pivotArea type="all" dataOnly="0" outline="0" fieldPosition="0"/>
    </format>
    <format dxfId="130">
      <pivotArea outline="0" collapsedLevelsAreSubtotals="1" fieldPosition="0"/>
    </format>
    <format dxfId="129">
      <pivotArea field="4" type="button" dataOnly="0" labelOnly="1" outline="0" axis="axisRow" fieldPosition="0"/>
    </format>
    <format dxfId="128">
      <pivotArea dataOnly="0" labelOnly="1" fieldPosition="0">
        <references count="1">
          <reference field="4" count="0"/>
        </references>
      </pivotArea>
    </format>
    <format dxfId="127">
      <pivotArea dataOnly="0" labelOnly="1" grandRow="1" outline="0" fieldPosition="0"/>
    </format>
    <format dxfId="126">
      <pivotArea dataOnly="0" labelOnly="1" fieldPosition="0">
        <references count="2">
          <reference field="2" count="0"/>
          <reference field="4" count="1" selected="0">
            <x v="0"/>
          </reference>
        </references>
      </pivotArea>
    </format>
    <format dxfId="125">
      <pivotArea dataOnly="0" labelOnly="1" fieldPosition="0">
        <references count="2">
          <reference field="2" count="1">
            <x v="0"/>
          </reference>
          <reference field="4" count="1" selected="0">
            <x v="1"/>
          </reference>
        </references>
      </pivotArea>
    </format>
    <format dxfId="124">
      <pivotArea dataOnly="0" labelOnly="1" fieldPosition="0">
        <references count="2">
          <reference field="2" count="0"/>
          <reference field="4" count="1" selected="0">
            <x v="2"/>
          </reference>
        </references>
      </pivotArea>
    </format>
    <format dxfId="123">
      <pivotArea dataOnly="0" labelOnly="1" fieldPosition="0">
        <references count="2">
          <reference field="2" count="1">
            <x v="1"/>
          </reference>
          <reference field="4" count="1" selected="0">
            <x v="3"/>
          </reference>
        </references>
      </pivotArea>
    </format>
    <format dxfId="1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B9364B-F994-43B6-B4D2-D5749E4D39A8}" name="PivotTable1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M22:CN25"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0" baseItem="0"/>
  </dataFields>
  <formats count="6">
    <format dxfId="137">
      <pivotArea type="all" dataOnly="0" outline="0" fieldPosition="0"/>
    </format>
    <format dxfId="136">
      <pivotArea outline="0" collapsedLevelsAreSubtotals="1" fieldPosition="0"/>
    </format>
    <format dxfId="135">
      <pivotArea field="2" type="button" dataOnly="0" labelOnly="1" outline="0" axis="axisRow" fieldPosition="0"/>
    </format>
    <format dxfId="134">
      <pivotArea dataOnly="0" labelOnly="1" fieldPosition="0">
        <references count="1">
          <reference field="2" count="0"/>
        </references>
      </pivotArea>
    </format>
    <format dxfId="133">
      <pivotArea dataOnly="0" labelOnly="1" grandRow="1" outline="0" fieldPosition="0"/>
    </format>
    <format dxfId="1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EB3D80-DF82-479C-904C-5757A65F0487}"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D15:DE20" firstHeaderRow="1" firstDataRow="1" firstDataCol="1"/>
  <pivotFields count="9">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ID" fld="0" subtotal="count" baseField="0" baseItem="0"/>
  </dataFields>
  <formats count="6">
    <format dxfId="143">
      <pivotArea type="all" dataOnly="0" outline="0" fieldPosition="0"/>
    </format>
    <format dxfId="142">
      <pivotArea outline="0" collapsedLevelsAreSubtotals="1" fieldPosition="0"/>
    </format>
    <format dxfId="141">
      <pivotArea field="3" type="button" dataOnly="0" labelOnly="1" outline="0" axis="axisRow" fieldPosition="0"/>
    </format>
    <format dxfId="140">
      <pivotArea dataOnly="0" labelOnly="1" fieldPosition="0">
        <references count="1">
          <reference field="3" count="0"/>
        </references>
      </pivotArea>
    </format>
    <format dxfId="139">
      <pivotArea dataOnly="0" labelOnly="1" grandRow="1" outline="0" fieldPosition="0"/>
    </format>
    <format dxfId="1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70A55E-C338-4B45-BEE8-0EE7A22AC8D6}"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B23:CC28" firstHeaderRow="1" firstDataRow="1" firstDataCol="1"/>
  <pivotFields count="9">
    <pivotField dataField="1" showAll="0"/>
    <pivotField showAll="0"/>
    <pivotField showAll="0"/>
    <pivotField showAll="0"/>
    <pivotField axis="axisRow" showAll="0">
      <items count="5">
        <item x="2"/>
        <item x="1"/>
        <item x="0"/>
        <item x="3"/>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Count of ID" fld="0" subtotal="count" baseField="0" baseItem="0"/>
  </dataFields>
  <formats count="6">
    <format dxfId="149">
      <pivotArea type="all" dataOnly="0" outline="0" fieldPosition="0"/>
    </format>
    <format dxfId="148">
      <pivotArea outline="0" collapsedLevelsAreSubtotals="1" fieldPosition="0"/>
    </format>
    <format dxfId="147">
      <pivotArea field="4" type="button" dataOnly="0" labelOnly="1" outline="0" axis="axisRow" fieldPosition="0"/>
    </format>
    <format dxfId="146">
      <pivotArea dataOnly="0" labelOnly="1" fieldPosition="0">
        <references count="1">
          <reference field="4" count="0"/>
        </references>
      </pivotArea>
    </format>
    <format dxfId="145">
      <pivotArea dataOnly="0" labelOnly="1" grandRow="1" outline="0" fieldPosition="0"/>
    </format>
    <format dxfId="1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52536E-09C8-4F40-A1E8-C9F20B66E5C5}"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53:AF57" firstHeaderRow="1" firstDataRow="1" firstDataCol="1"/>
  <pivotFields count="11">
    <pivotField showAll="0"/>
    <pivotField showAll="0"/>
    <pivotField showAll="0"/>
    <pivotField showAll="0"/>
    <pivotField showAll="0"/>
    <pivotField showAll="0">
      <items count="6">
        <item x="2"/>
        <item x="1"/>
        <item x="0"/>
        <item x="4"/>
        <item x="3"/>
        <item t="default"/>
      </items>
    </pivotField>
    <pivotField showAll="0"/>
    <pivotField showAll="0"/>
    <pivotField dataField="1" showAll="0">
      <items count="13">
        <item x="6"/>
        <item x="0"/>
        <item x="3"/>
        <item x="8"/>
        <item x="1"/>
        <item x="5"/>
        <item x="2"/>
        <item x="10"/>
        <item x="7"/>
        <item x="4"/>
        <item x="9"/>
        <item x="11"/>
        <item t="default"/>
      </items>
    </pivotField>
    <pivotField axis="axisRow" showAll="0">
      <items count="4">
        <item x="2"/>
        <item x="1"/>
        <item x="0"/>
        <item t="default"/>
      </items>
    </pivotField>
    <pivotField showAll="0"/>
  </pivotFields>
  <rowFields count="1">
    <field x="9"/>
  </rowFields>
  <rowItems count="4">
    <i>
      <x/>
    </i>
    <i>
      <x v="1"/>
    </i>
    <i>
      <x v="2"/>
    </i>
    <i t="grand">
      <x/>
    </i>
  </rowItems>
  <colItems count="1">
    <i/>
  </colItems>
  <dataFields count="1">
    <dataField name="Sum of Experience (Ye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5CB255-CF9C-4988-959F-BC24526E0B2A}"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48:AA55" firstHeaderRow="1" firstDataRow="2" firstDataCol="1"/>
  <pivotFields count="11">
    <pivotField dataField="1" showAll="0">
      <items count="21">
        <item x="0"/>
        <item x="1"/>
        <item x="2"/>
        <item x="3"/>
        <item x="4"/>
        <item x="5"/>
        <item x="6"/>
        <item x="7"/>
        <item x="8"/>
        <item x="9"/>
        <item x="10"/>
        <item x="11"/>
        <item x="12"/>
        <item x="13"/>
        <item x="14"/>
        <item x="15"/>
        <item x="16"/>
        <item x="17"/>
        <item x="18"/>
        <item x="19"/>
        <item t="default"/>
      </items>
    </pivotField>
    <pivotField showAll="0">
      <items count="21">
        <item x="12"/>
        <item x="7"/>
        <item x="2"/>
        <item x="5"/>
        <item x="17"/>
        <item x="9"/>
        <item x="4"/>
        <item x="11"/>
        <item x="14"/>
        <item x="19"/>
        <item x="13"/>
        <item x="1"/>
        <item x="0"/>
        <item x="10"/>
        <item x="6"/>
        <item x="3"/>
        <item x="15"/>
        <item x="18"/>
        <item x="16"/>
        <item x="8"/>
        <item t="default"/>
      </items>
    </pivotField>
    <pivotField axis="axisCol" showAll="0">
      <items count="3">
        <item x="1"/>
        <item x="0"/>
        <item t="default"/>
      </items>
    </pivotField>
    <pivotField showAll="0"/>
    <pivotField showAll="0">
      <items count="6">
        <item x="2"/>
        <item x="1"/>
        <item x="0"/>
        <item x="3"/>
        <item x="4"/>
        <item t="default"/>
      </items>
    </pivotField>
    <pivotField axis="axisRow" showAll="0">
      <items count="6">
        <item x="2"/>
        <item x="1"/>
        <item x="0"/>
        <item x="4"/>
        <item x="3"/>
        <item t="default"/>
      </items>
    </pivotField>
    <pivotField showAll="0"/>
    <pivotField showAll="0"/>
    <pivotField showAll="0"/>
    <pivotField showAll="0"/>
    <pivotField showAll="0"/>
  </pivotFields>
  <rowFields count="1">
    <field x="5"/>
  </rowFields>
  <rowItems count="6">
    <i>
      <x/>
    </i>
    <i>
      <x v="1"/>
    </i>
    <i>
      <x v="2"/>
    </i>
    <i>
      <x v="3"/>
    </i>
    <i>
      <x v="4"/>
    </i>
    <i t="grand">
      <x/>
    </i>
  </rowItems>
  <colFields count="1">
    <field x="2"/>
  </colFields>
  <colItems count="3">
    <i>
      <x/>
    </i>
    <i>
      <x v="1"/>
    </i>
    <i t="grand">
      <x/>
    </i>
  </colItems>
  <dataFields count="1">
    <dataField name="Count of Emp ID"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4C68D4-67AE-4BF8-9B0D-481CF0BB8F1C}"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P28:AQ34" firstHeaderRow="1" firstDataRow="1" firstDataCol="1"/>
  <pivotFields count="11">
    <pivotField showAll="0"/>
    <pivotField showAll="0"/>
    <pivotField showAll="0">
      <items count="3">
        <item x="1"/>
        <item x="0"/>
        <item t="default"/>
      </items>
    </pivotField>
    <pivotField showAll="0"/>
    <pivotField showAll="0"/>
    <pivotField axis="axisRow" showAll="0">
      <items count="6">
        <item x="2"/>
        <item x="1"/>
        <item x="0"/>
        <item x="4"/>
        <item x="3"/>
        <item t="default"/>
      </items>
    </pivotField>
    <pivotField showAll="0"/>
    <pivotField showAll="0"/>
    <pivotField dataField="1" showAll="0">
      <items count="13">
        <item x="6"/>
        <item x="0"/>
        <item x="3"/>
        <item x="8"/>
        <item x="1"/>
        <item x="5"/>
        <item x="2"/>
        <item x="10"/>
        <item x="7"/>
        <item x="4"/>
        <item x="9"/>
        <item x="11"/>
        <item t="default"/>
      </items>
    </pivotField>
    <pivotField showAll="0"/>
    <pivotField showAll="0"/>
  </pivotFields>
  <rowFields count="1">
    <field x="5"/>
  </rowFields>
  <rowItems count="6">
    <i>
      <x/>
    </i>
    <i>
      <x v="1"/>
    </i>
    <i>
      <x v="2"/>
    </i>
    <i>
      <x v="3"/>
    </i>
    <i>
      <x v="4"/>
    </i>
    <i t="grand">
      <x/>
    </i>
  </rowItems>
  <colItems count="1">
    <i/>
  </colItems>
  <dataFields count="1">
    <dataField name="Sum of Experience (Year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119550-B728-4BA4-8D92-5D6833BA141C}"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27:AM34" firstHeaderRow="1" firstDataRow="1" firstDataCol="1"/>
  <pivotFields count="11">
    <pivotField showAll="0"/>
    <pivotField showAll="0"/>
    <pivotField showAll="0"/>
    <pivotField showAll="0"/>
    <pivotField showAll="0"/>
    <pivotField showAll="0"/>
    <pivotField axis="axisRow" showAll="0">
      <items count="7">
        <item x="2"/>
        <item x="0"/>
        <item x="5"/>
        <item x="4"/>
        <item x="1"/>
        <item x="3"/>
        <item t="default"/>
      </items>
    </pivotField>
    <pivotField dataField="1" showAll="0">
      <items count="21">
        <item x="6"/>
        <item x="13"/>
        <item x="0"/>
        <item x="10"/>
        <item x="18"/>
        <item x="3"/>
        <item x="8"/>
        <item x="15"/>
        <item x="1"/>
        <item x="5"/>
        <item x="12"/>
        <item x="9"/>
        <item x="17"/>
        <item x="2"/>
        <item x="19"/>
        <item x="14"/>
        <item x="11"/>
        <item x="4"/>
        <item x="7"/>
        <item x="16"/>
        <item t="default"/>
      </items>
    </pivotField>
    <pivotField showAll="0"/>
    <pivotField showAll="0"/>
    <pivotField showAll="0"/>
  </pivotFields>
  <rowFields count="1">
    <field x="6"/>
  </rowFields>
  <rowItems count="7">
    <i>
      <x/>
    </i>
    <i>
      <x v="1"/>
    </i>
    <i>
      <x v="2"/>
    </i>
    <i>
      <x v="3"/>
    </i>
    <i>
      <x v="4"/>
    </i>
    <i>
      <x v="5"/>
    </i>
    <i t="grand">
      <x/>
    </i>
  </rowItems>
  <colItems count="1">
    <i/>
  </colItems>
  <dataFields count="1">
    <dataField name="Sum of Salar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 xr10:uid="{B31BFF45-B2DB-4768-BDFD-87B3A27F549D}" sourceName="age bins">
  <pivotTables>
    <pivotTable tabId="1" name="PivotTable3"/>
  </pivotTables>
  <data>
    <tabular pivotCacheId="19266695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62A0F30-8CBC-4D35-AC6D-64FFD3181878}" sourceName="Gender">
  <pivotTables>
    <pivotTable tabId="1" name="PivotTable6"/>
  </pivotTables>
  <data>
    <tabular pivotCacheId="1528626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61D6AC6-0D08-454E-8A80-5213E1E51B39}" sourceName="Department">
  <pivotTables>
    <pivotTable tabId="1" name="PivotTable6"/>
  </pivotTables>
  <data>
    <tabular pivotCacheId="15286262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78126D-9EB0-4ABB-8FF2-3FDE57083C5A}" sourceName="City">
  <pivotTables>
    <pivotTable tabId="1" name="PivotTable16"/>
  </pivotTables>
  <data>
    <tabular pivotCacheId="100113047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9F269305-7EED-4F23-BCA2-DAF042A1B634}" sourceName="Department">
  <pivotTables>
    <pivotTable tabId="1" name="PivotTable14"/>
  </pivotTables>
  <data>
    <tabular pivotCacheId="21712441">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62269A-2FC6-4BBB-B9EF-E64D691F9701}" sourceName="Department">
  <pivotTables>
    <pivotTable tabId="1" name="PivotTable9"/>
  </pivotTables>
  <data>
    <tabular pivotCacheId="1855276730">
      <items count="4">
        <i x="2" s="1"/>
        <i x="1"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FB51BFB-C78A-4618-BA4A-71D2AE0EF630}" sourceName="Gender">
  <pivotTables>
    <pivotTable tabId="1" name="PivotTable19"/>
    <pivotTable tabId="14" name="PivotTable4"/>
    <pivotTable tabId="14" name="PivotTable5"/>
    <pivotTable tabId="14" name="PivotTable6"/>
    <pivotTable tabId="14" name="PivotTable7"/>
  </pivotTables>
  <data>
    <tabular pivotCacheId="166708537">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B4E3B8F-CF5D-4C5D-9DE6-9849D09EFEBA}" sourceName="Gender">
  <pivotTables>
    <pivotTable tabId="1" name="PivotTable4"/>
  </pivotTables>
  <data>
    <tabular pivotCacheId="455438640">
      <items count="2">
        <i x="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1E0505D6-DE20-4C4C-973D-3D2C4119D005}" sourceName="Department">
  <pivotTables>
    <pivotTable tabId="14" name="PivotTable4"/>
    <pivotTable tabId="14" name="PivotTable5"/>
  </pivotTables>
  <data>
    <tabular pivotCacheId="166708537">
      <items count="4">
        <i x="2"/>
        <i x="1"/>
        <i x="0"/>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1547E923-D4EA-47C2-BDE7-D291E19883C0}" sourceName="Salary">
  <pivotTables>
    <pivotTable tabId="14" name="PivotTable5"/>
  </pivotTables>
  <data>
    <tabular pivotCacheId="166708537">
      <items count="10">
        <i x="8" s="1"/>
        <i x="4" s="1"/>
        <i x="9" s="1" nd="1"/>
        <i x="1" s="1" nd="1"/>
        <i x="5" s="1" nd="1"/>
        <i x="0" s="1" nd="1"/>
        <i x="7" s="1" nd="1"/>
        <i x="3" s="1" nd="1"/>
        <i x="2" s="1" nd="1"/>
        <i x="6"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E7C3245-7AFA-46D2-BACC-9C71363F27CC}" sourceName="Age">
  <pivotTables>
    <pivotTable tabId="14" name="PivotTable7"/>
  </pivotTables>
  <data>
    <tabular pivotCacheId="166708537">
      <items count="10">
        <i x="9"/>
        <i x="0"/>
        <i x="7"/>
        <i x="3"/>
        <i x="1" s="1"/>
        <i x="5"/>
        <i x="2"/>
        <i x="6"/>
        <i x="8"/>
        <i x="4"/>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DFFEEFDD-9748-459A-93A6-8B832B0726D5}" sourceName="Role">
  <pivotTables>
    <pivotTable tabId="15" name="PivotTable10"/>
  </pivotTables>
  <data>
    <tabular pivotCacheId="1247972529">
      <items count="6">
        <i x="2" s="1"/>
        <i x="0" s="1"/>
        <i x="5" s="1"/>
        <i x="4" s="1"/>
        <i x="1"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1" xr10:uid="{918941FC-9FD0-4A9C-926F-237CCD0AC353}" sourceName="Salary">
  <pivotTables>
    <pivotTable tabId="15" name="PivotTable10"/>
  </pivotTables>
  <data>
    <tabular pivotCacheId="1247972529">
      <items count="20">
        <i x="6" s="1"/>
        <i x="13" s="1"/>
        <i x="0" s="1"/>
        <i x="10" s="1"/>
        <i x="18" s="1"/>
        <i x="3" s="1"/>
        <i x="8" s="1"/>
        <i x="15" s="1"/>
        <i x="1" s="1"/>
        <i x="5" s="1"/>
        <i x="12" s="1"/>
        <i x="9" s="1"/>
        <i x="17" s="1"/>
        <i x="2" s="1"/>
        <i x="19" s="1"/>
        <i x="14" s="1"/>
        <i x="11" s="1"/>
        <i x="4" s="1"/>
        <i x="7" s="1"/>
        <i x="1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1839FED2-A723-45BD-9F8F-5A77293490D4}" sourceName="Department">
  <pivotTables>
    <pivotTable tabId="15" name="PivotTable13"/>
  </pivotTables>
  <data>
    <tabular pivotCacheId="383791313">
      <items count="5">
        <i x="2" s="1"/>
        <i x="1" s="1"/>
        <i x="0" s="1"/>
        <i x="4" s="1"/>
        <i x="3"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 xr10:uid="{D4AAA147-6D35-4D96-87A0-391AEA909FD7}" sourceName="Experience (Years)">
  <pivotTables>
    <pivotTable tabId="15" name="PivotTable13"/>
  </pivotTables>
  <data>
    <tabular pivotCacheId="383791313">
      <items count="12">
        <i x="6" s="1"/>
        <i x="0" s="1"/>
        <i x="3" s="1"/>
        <i x="8" s="1"/>
        <i x="1" s="1"/>
        <i x="5" s="1"/>
        <i x="2" s="1"/>
        <i x="10" s="1"/>
        <i x="7" s="1"/>
        <i x="4" s="1"/>
        <i x="9" s="1"/>
        <i x="1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5" xr10:uid="{A9DFAF74-5F45-4D97-B57F-B9819AF5EF9E}" sourceName="Department">
  <pivotTables>
    <pivotTable tabId="15" name="PivotTable19"/>
  </pivotTables>
  <data>
    <tabular pivotCacheId="400947755">
      <items count="5">
        <i x="2" s="1"/>
        <i x="1" s="1"/>
        <i x="0" s="1"/>
        <i x="4" s="1"/>
        <i x="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1" xr10:uid="{B4AB53F8-8532-4C0F-8AAD-A456D33696E4}" sourceName="Experience (Years)">
  <pivotTables>
    <pivotTable tabId="15" name="PivotTable19"/>
  </pivotTables>
  <data>
    <tabular pivotCacheId="400947755">
      <items count="12">
        <i x="6" s="1"/>
        <i x="0" s="1"/>
        <i x="3" s="1"/>
        <i x="8" s="1"/>
        <i x="1" s="1"/>
        <i x="5" s="1"/>
        <i x="2" s="1"/>
        <i x="10" s="1"/>
        <i x="7" s="1"/>
        <i x="4" s="1"/>
        <i x="9" s="1"/>
        <i x="1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5E70AA82-92A2-4D14-A9F5-FE4160ED6103}" sourceName="Performance">
  <pivotTables>
    <pivotTable tabId="15" name="PivotTable19"/>
  </pivotTables>
  <data>
    <tabular pivotCacheId="400947755">
      <items count="3">
        <i x="2" s="1"/>
        <i x="1"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6" xr10:uid="{49C58158-3200-47A8-9301-6AF88AEBC192}" sourceName="Department">
  <pivotTables>
    <pivotTable tabId="15" name="PivotTable16"/>
  </pivotTables>
  <data>
    <tabular pivotCacheId="1214229634">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509E40A-0524-4B87-BD56-722E53AB9381}" cache="Slicer_Gender2" caption="Gender" rowHeight="241300"/>
  <slicer name="Gender 4" xr10:uid="{B98216E8-0821-4A56-917D-9B25F24EB6D3}" cache="Slicer_Gender2" caption="Gender" rowHeight="241300"/>
  <slicer name="Department 3" xr10:uid="{C0F21360-B669-4AD8-8E70-25B73409B469}" cache="Slicer_Department3" caption="Department" rowHeight="241300"/>
  <slicer name="Department 4" xr10:uid="{C5FBC361-CD24-4FE7-AEEA-56060C7B1AB3}" cache="Slicer_Department3" caption="Department" rowHeight="241300"/>
  <slicer name="Salary" xr10:uid="{CE5DFE2D-960F-473A-8D85-478E942AD73B}" cache="Slicer_Salary" caption="Salary" rowHeight="241300"/>
  <slicer name="Age" xr10:uid="{8C0D7467-AEB7-4DA7-BF5A-927A7589D9F5}" cache="Slicer_Age" caption="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ins" xr10:uid="{55AD7286-E3A9-4132-BFB4-5CDF8DF41F30}" cache="Slicer_age_bins" caption="age bins" rowHeight="241300"/>
  <slicer name="Gender 1" xr10:uid="{D5FFC299-B7E1-4357-95BB-D86916DCD59B}" cache="Slicer_Gender1" caption="Gender" rowHeight="241300"/>
  <slicer name="Department 1" xr10:uid="{B240DEEF-5F05-490C-9B3A-32DA4514346E}" cache="Slicer_Department1" caption="Department" rowHeight="241300"/>
  <slicer name="City" xr10:uid="{38C63931-E3BA-4F2A-A7A4-9C191FF554B2}" cache="Slicer_City" caption="City" rowHeight="241300"/>
  <slicer name="Department 2" xr10:uid="{C84AADF0-8F84-4203-BC9E-AD4F54E34D7D}" cache="Slicer_Department2" caption="Department" rowHeight="241300"/>
  <slicer name="Department" xr10:uid="{8FD20E59-B7E2-470F-A246-4D3F08936554}" cache="Slicer_Department" caption="Department" rowHeight="241300"/>
  <slicer name="Gender 2" xr10:uid="{05E5D9B9-0DA3-43F0-AE18-4BF630364E09}" cache="Slicer_Gender2" caption="Gender" rowHeight="241300"/>
  <slicer name="Gender" xr10:uid="{889E3482-3B79-4E46-B036-B30FE2EB7EC4}"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1914FD5A-EFBA-4FA9-8D01-A13690E2E2AC}" cache="Slicer_Role" caption="Role" rowHeight="241300"/>
  <slicer name="Salary 1" xr10:uid="{7D159BAC-900B-4C9A-853B-4EF682895B8A}" cache="Slicer_Salary1" caption="Salary" rowHeight="241300"/>
  <slicer name="Department 5" xr10:uid="{F0233560-BC2D-4AC2-B9EE-A2DEAA469D98}" cache="Slicer_Department4" caption="Department" rowHeight="241300"/>
  <slicer name="Experience (Years)" xr10:uid="{E1558D56-BEEB-4ABF-90F3-62BFF810DB85}" cache="Slicer_Experience__Years" caption="Experience (Years)" rowHeight="241300"/>
  <slicer name="Department 6" xr10:uid="{0CC8F27A-B453-4444-BA1A-BB7BA8C2A55D}" cache="Slicer_Department5" caption="Department" rowHeight="241300"/>
  <slicer name="Experience (Years) 1" xr10:uid="{60B7D6E9-D690-4FB5-9AB3-143E3EA0053B}" cache="Slicer_Experience__Years1" caption="Experience (Years)" rowHeight="241300"/>
  <slicer name="Performance" xr10:uid="{CC2EF96F-C6F2-440F-B500-741EA7D8A24B}" cache="Slicer_Performance" caption="Performance" rowHeight="241300"/>
  <slicer name="Department 7" xr10:uid="{6838AD68-4CB0-4EE4-8FE7-6CF9C1F9D4D8}" cache="Slicer_Department6"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B6018-6DCD-48ED-966B-7C2018214CE3}" name="Table1" displayName="Table1" ref="M1:AD49" totalsRowShown="0" headerRowDxfId="97" headerRowBorderDxfId="96">
  <autoFilter ref="M1:AD49" xr:uid="{670B6018-6DCD-48ED-966B-7C2018214CE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D8F8B7C-2628-4BD7-8A45-6FA8F55872E0}" name="SQRT">
      <calculatedColumnFormula>SQRT(B2)</calculatedColumnFormula>
    </tableColumn>
    <tableColumn id="2" xr3:uid="{5391718E-A3BE-4DF6-BA33-9EFA5DDA6CF0}" name="ROUND">
      <calculatedColumnFormula>ROUND(Table1[[#This Row],[SQRT]],2)</calculatedColumnFormula>
    </tableColumn>
    <tableColumn id="3" xr3:uid="{C2C92D76-0C33-48C4-A9B1-B2D7716E1DB7}" name="MIN">
      <calculatedColumnFormula>MIN(H2,I2)</calculatedColumnFormula>
    </tableColumn>
    <tableColumn id="4" xr3:uid="{8D5352A2-6DA3-4E02-8D80-4889DF47339F}" name="MAX">
      <calculatedColumnFormula>MAX(H2,I2)</calculatedColumnFormula>
    </tableColumn>
    <tableColumn id="5" xr3:uid="{812BDAE0-8F42-4C7B-AE6F-4D63E1F3DC05}" name="AVERAGE">
      <calculatedColumnFormula>AVERAGE(H2,I2)</calculatedColumnFormula>
    </tableColumn>
    <tableColumn id="6" xr3:uid="{748C8A15-B838-49DE-89D4-FD223B38275D}" name="SUM">
      <calculatedColumnFormula>SUM(H2,I2)</calculatedColumnFormula>
    </tableColumn>
    <tableColumn id="7" xr3:uid="{9D6C922D-4B83-4608-8622-45BCE2EFDA88}" name="MEDAIN">
      <calculatedColumnFormula>MEDIAN(D2,G2)</calculatedColumnFormula>
    </tableColumn>
    <tableColumn id="8" xr3:uid="{283625A0-5037-4DAB-BD33-9EA5EE95868C}" name="RANK">
      <calculatedColumnFormula>RANK(B2,B:B)</calculatedColumnFormula>
    </tableColumn>
    <tableColumn id="9" xr3:uid="{04DA1A55-44CE-4533-8C35-3E4B0C3765AB}" name="LEFT">
      <calculatedColumnFormula>LEFT(C2,1)</calculatedColumnFormula>
    </tableColumn>
    <tableColumn id="10" xr3:uid="{E6936125-73F4-4635-A992-7EBC0D5A8B41}" name="Right">
      <calculatedColumnFormula>RIGHT(C2,2)</calculatedColumnFormula>
    </tableColumn>
    <tableColumn id="11" xr3:uid="{F057A775-426A-4E5E-BBC6-C30141B93D27}" name="Length">
      <calculatedColumnFormula>LEN(C2)</calculatedColumnFormula>
    </tableColumn>
    <tableColumn id="12" xr3:uid="{097A98F5-D5C3-4337-B02A-65005EA454AD}" name="Date"/>
    <tableColumn id="13" xr3:uid="{57C3675E-344E-49F8-B57D-3E6B0DF05BC6}" name="Year">
      <calculatedColumnFormula>YEAR(X2)</calculatedColumnFormula>
    </tableColumn>
    <tableColumn id="14" xr3:uid="{9F71330E-7924-472D-B476-6BBEE1B9AD9F}" name="Month">
      <calculatedColumnFormula>MONTH(X2)</calculatedColumnFormula>
    </tableColumn>
    <tableColumn id="15" xr3:uid="{C2CDCCC6-9370-40C9-BE7B-8FD678BEAFDD}" name="DAY">
      <calculatedColumnFormula>DAY(X2)</calculatedColumnFormula>
    </tableColumn>
    <tableColumn id="16" xr3:uid="{448FA3BF-A112-48EC-B090-5528D9E73F38}" name="WEEKDAYS">
      <calculatedColumnFormula>WEEKDAY(X2)</calculatedColumnFormula>
    </tableColumn>
    <tableColumn id="17" xr3:uid="{338FD27A-AB98-4603-A5B2-B466367DCA97}" name="EOMONTH">
      <calculatedColumnFormula>EOMONTH(X2,4)</calculatedColumnFormula>
    </tableColumn>
    <tableColumn id="18" xr3:uid="{4BC2FFB8-2583-41C9-B9E3-F952E4BC6126}" name="NETWORK DAYS">
      <calculatedColumnFormula>NETWORKDAYS(X2,AC2)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EF5ED0-8D37-47BF-82E0-FDC18D6DE740}" name="Table3" displayName="Table3" ref="AF37:AO47" totalsRowShown="0" headerRowDxfId="95" dataDxfId="93" headerRowBorderDxfId="94" tableBorderDxfId="92" totalsRowBorderDxfId="91">
  <autoFilter ref="AF37:AO47" xr:uid="{30EF5ED0-8D37-47BF-82E0-FDC18D6DE7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5CB019F-D95B-4211-9F64-81153EC311DC}" name="Employee_ID" dataDxfId="90"/>
    <tableColumn id="2" xr3:uid="{AE9B01AB-5013-4D70-9F0D-4A1B31D94F9D}" name="Name" dataDxfId="89"/>
    <tableColumn id="3" xr3:uid="{DDAD7903-D81E-4CEB-9CEE-A3F13D88D971}" name="Age" dataDxfId="88"/>
    <tableColumn id="4" xr3:uid="{514183FC-3ADB-47F7-B36D-8526F55211D8}" name="Gender" dataDxfId="87"/>
    <tableColumn id="5" xr3:uid="{2ED04623-0D48-4E1C-8D05-7E66BF31B0D3}" name="Department" dataDxfId="86"/>
    <tableColumn id="6" xr3:uid="{21C13B09-C99E-40F7-ADA0-BD02A5020478}" name="Job_Role" dataDxfId="85"/>
    <tableColumn id="7" xr3:uid="{25AF5C36-A9B7-481B-BD91-272DE5DF5E3B}" name="Salary" dataDxfId="84"/>
    <tableColumn id="8" xr3:uid="{08E6F58A-B896-4BC6-92CD-FDFF0DC352F8}" name="Experience_Years" dataDxfId="83"/>
    <tableColumn id="9" xr3:uid="{E968437C-0E1D-430B-B631-90BE09BCEF01}" name="Performance_Rating" dataDxfId="82"/>
    <tableColumn id="10" xr3:uid="{A8A35C7D-DA1E-4B1E-97F0-8B5B316528FC}" name="Location" dataDxfId="8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84FF464-2BBC-4E72-82C2-8B87DDB0BEF7}" name="Table7" displayName="Table7" ref="AF57:AP66" totalsRowShown="0" headerRowDxfId="80" dataDxfId="78" headerRowBorderDxfId="79" tableBorderDxfId="77" totalsRowBorderDxfId="76">
  <autoFilter ref="AF57:AP66" xr:uid="{384FF464-2BBC-4E72-82C2-8B87DDB0BE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265E801-4D30-4B73-BD53-68A3AA730A8E}" name="Employee_ID" dataDxfId="75"/>
    <tableColumn id="2" xr3:uid="{8B0E6018-EB0A-40D1-A5F2-96B8C42B04FC}" name="EMP001" dataDxfId="74"/>
    <tableColumn id="3" xr3:uid="{7AD5C290-C582-47C5-9FD6-0745ACA8501C}" name="EMP002" dataDxfId="73"/>
    <tableColumn id="4" xr3:uid="{2AD8EED1-692E-4ACF-8F16-F5B1E1A239F8}" name="EMP003" dataDxfId="72"/>
    <tableColumn id="5" xr3:uid="{46B916F2-1325-4E82-9071-913DFB34C8EC}" name="EMP004" dataDxfId="71"/>
    <tableColumn id="6" xr3:uid="{49E72441-5E2F-4292-B251-446B2D381AD1}" name="EMP005" dataDxfId="70"/>
    <tableColumn id="7" xr3:uid="{DFD02BA4-4F9A-451F-A238-6CF5A4ECA1D9}" name="EMP006" dataDxfId="69"/>
    <tableColumn id="8" xr3:uid="{B71141D0-4AC4-4BD2-96B5-2187CFBD3339}" name="EMP007" dataDxfId="68"/>
    <tableColumn id="9" xr3:uid="{3CEDCF8B-5F2D-4016-A654-486F1DE62CFD}" name="EMP008" dataDxfId="67"/>
    <tableColumn id="10" xr3:uid="{E58BD38C-8E08-4865-B7C5-A98AC5F0976D}" name="EMP009" dataDxfId="66"/>
    <tableColumn id="11" xr3:uid="{D38BBF14-917E-4B05-B93B-0952014A0E80}" name="EMP010" dataDxfId="6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18456E-2534-4A18-A9C6-C1D69B5F06EE}" name="Table9" displayName="Table9" ref="AF51:AO55" totalsRowShown="0" headerRowDxfId="64" dataDxfId="62" headerRowBorderDxfId="63" tableBorderDxfId="61" totalsRowBorderDxfId="60">
  <autoFilter ref="AF51:AO55" xr:uid="{9918456E-2534-4A18-A9C6-C1D69B5F06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449DB61-E1B0-460A-A312-05ED4E162A5C}" name="VLOOKUP" dataDxfId="59"/>
    <tableColumn id="2" xr3:uid="{635A292C-8CED-49B2-8FE5-E72197B32DF5}" name="HLOOKUP" dataDxfId="58"/>
    <tableColumn id="3" xr3:uid="{A7AE5EEB-2F94-4772-9893-14193696E49D}" name="Column1" dataDxfId="57"/>
    <tableColumn id="4" xr3:uid="{0481CD77-AAD2-40E4-818F-A30AD830FEE3}" name="MATCH" dataDxfId="56"/>
    <tableColumn id="5" xr3:uid="{705079EC-EDA7-4A6C-905A-8CE71E4CC04A}" name="Column2" dataDxfId="55"/>
    <tableColumn id="6" xr3:uid="{37337138-D067-4BA2-81BB-BEECE00F6D83}" name="Column3" dataDxfId="54"/>
    <tableColumn id="7" xr3:uid="{F44C6938-E265-42D7-A63F-456FBCFBD295}" name="INDEX" dataDxfId="53"/>
    <tableColumn id="8" xr3:uid="{80A448C8-5964-4391-A4E9-0E1ECD0C547F}" name="Column4" dataDxfId="52"/>
    <tableColumn id="9" xr3:uid="{91FAC03D-F6FA-40F4-AF8E-F6FBBFFFA8E4}" name="Column5" dataDxfId="51"/>
    <tableColumn id="10" xr3:uid="{3BD89289-261B-470E-9504-B5F202057080}" name="XLOOKUP" dataDxfId="5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CECC95-5FC5-478D-96E6-3FCED96D9835}" name="Table22" displayName="Table22" ref="A1:L49" totalsRowShown="0" headerRowDxfId="49" headerRowBorderDxfId="48">
  <autoFilter ref="A1:L49" xr:uid="{8BCECC95-5FC5-478D-96E6-3FCED96D98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D6533EE-978A-4571-B1D2-92933057A55A}" name="Churn"/>
    <tableColumn id="2" xr3:uid="{5796BE1A-E044-4F62-B9C3-986F946C43AA}" name="AccountWeeks"/>
    <tableColumn id="3" xr3:uid="{4A6AE5D0-C754-49ED-96FF-397DD5933128}" name="GENDER"/>
    <tableColumn id="4" xr3:uid="{B2FEBD4C-64E7-4664-B438-A4CAF3594CF6}" name="ContractRenewal"/>
    <tableColumn id="5" xr3:uid="{E6A9B70E-D226-4A4F-B7C9-73F0ADFF27D4}" name="DataPlan"/>
    <tableColumn id="6" xr3:uid="{BF3407A2-BB75-4687-8B7D-D6307F570B83}" name="DataUsage"/>
    <tableColumn id="7" xr3:uid="{14A7C599-212B-4678-86D9-F74717E2B236}" name="CustServCalls"/>
    <tableColumn id="8" xr3:uid="{29BF34D8-65E0-451C-858E-8A9BEFA4453F}" name="DayMins"/>
    <tableColumn id="9" xr3:uid="{96CB0A94-6820-4A8D-A7B1-CD945D472FB6}" name="DayCalls"/>
    <tableColumn id="10" xr3:uid="{957F5951-BE1B-4D80-9B26-6AE8DE8B1CD7}" name="MonthlyCharge"/>
    <tableColumn id="11" xr3:uid="{CB355857-EAA1-41D2-B043-C578CE112B8D}" name="OverageFee"/>
    <tableColumn id="12" xr3:uid="{E90017EC-7646-4E0F-AAAE-79FB47AD6488}" name="RoamMin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95A568-4950-468C-88F3-03890ADB02EF}" name="Table6192026" displayName="Table6192026" ref="B69:G77" totalsRowShown="0">
  <autoFilter ref="B69:G77" xr:uid="{F095A568-4950-468C-88F3-03890ADB02EF}">
    <filterColumn colId="0" hiddenButton="1"/>
    <filterColumn colId="1" hiddenButton="1"/>
    <filterColumn colId="2" hiddenButton="1"/>
    <filterColumn colId="3" hiddenButton="1"/>
    <filterColumn colId="4" hiddenButton="1"/>
    <filterColumn colId="5" hiddenButton="1"/>
  </autoFilter>
  <tableColumns count="6">
    <tableColumn id="1" xr3:uid="{710A532F-F5F2-4234-B6CC-83E6B415B1F0}" name="0"/>
    <tableColumn id="2" xr3:uid="{A1719AD3-F00C-4D99-A8B9-518C9C7C1B9B}" name="Column1"/>
    <tableColumn id="3" xr3:uid="{0B131C8D-0E72-4366-AA7A-8DE12A5534B4}" name="Column2"/>
    <tableColumn id="4" xr3:uid="{DED4170B-AD09-4B7F-B90C-CC5036844329}" name="Column3"/>
    <tableColumn id="5" xr3:uid="{CD6A5A86-A2DA-493A-BA5E-70F704F47383}" name="Column5"/>
    <tableColumn id="6" xr3:uid="{2A4A64FC-10D1-4D02-9A83-6B95BD8764DC}" name="Column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814FCB9-7401-470C-8EFF-A4A377DFA646}" name="Table824" displayName="Table824" ref="A54:S64" totalsRowShown="0" headerRowDxfId="47" dataDxfId="45" headerRowBorderDxfId="46" tableBorderDxfId="44" totalsRowBorderDxfId="43">
  <autoFilter ref="A54:S64" xr:uid="{E814FCB9-7401-470C-8EFF-A4A377DFA64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DC768F44-58D2-4691-95D4-FF02C1322054}" name="Employee_ID" dataDxfId="42"/>
    <tableColumn id="2" xr3:uid="{FA4CF11A-9B39-451D-AEA7-49E9DCA92D97}" name="Name" dataDxfId="41"/>
    <tableColumn id="3" xr3:uid="{4623D732-AD9E-4241-BECD-AB3F0955C131}" name="Age" dataDxfId="40"/>
    <tableColumn id="4" xr3:uid="{8BD08CEC-27E0-4C61-9B30-D1EE8620A41D}" name="Gender" dataDxfId="39"/>
    <tableColumn id="5" xr3:uid="{E82478F9-FBAC-4D8B-B6D7-B0EAA58C77D7}" name="Department" dataDxfId="38"/>
    <tableColumn id="6" xr3:uid="{3EDC41A5-C902-455D-A64A-144D980F7EDE}" name="Job_Role" dataDxfId="37"/>
    <tableColumn id="7" xr3:uid="{560B5C66-8356-47F4-B80D-3F0DDB21758B}" name="Salary" dataDxfId="36"/>
    <tableColumn id="8" xr3:uid="{3A9D3797-2239-4718-83E6-6B112BE88CD6}" name="Experience_Years" dataDxfId="35"/>
    <tableColumn id="9" xr3:uid="{C8741490-7CA4-4098-B3E3-4CC55B5CEA72}" name="Performance_Rating" dataDxfId="34"/>
    <tableColumn id="10" xr3:uid="{5426CD62-9C37-4BE6-8E40-C1F4C9F38AEB}" name="Location" dataDxfId="33"/>
    <tableColumn id="11" xr3:uid="{FD197567-4F4B-403E-93C8-DC16890AE88E}" name="Age status" dataDxfId="32">
      <calculatedColumnFormula>IF(C55&gt;25,"ABOVE 25","BELOW 25")</calculatedColumnFormula>
    </tableColumn>
    <tableColumn id="12" xr3:uid="{30F6689A-7AB7-47F9-8E84-2B6345F194E8}" name="age_bins" dataDxfId="31">
      <calculatedColumnFormula array="1">_xlfn.IFS(G54&lt;50000,"40000-50000",G54&lt;60000,"50000-60000",G54&lt;70000,"60000-70000",G54&lt;80000,"70000-80000",G54&lt;90000,"80000-90000")</calculatedColumnFormula>
    </tableColumn>
    <tableColumn id="13" xr3:uid="{8F3090E8-CAA3-4078-8567-36041DD9CDF7}" name="AND" dataDxfId="30">
      <calculatedColumnFormula>AND(C55&lt;30,H55&lt;6)</calculatedColumnFormula>
    </tableColumn>
    <tableColumn id="14" xr3:uid="{B771FE2A-C3A4-4E86-A326-416A54B9E392}" name="OR" dataDxfId="29">
      <calculatedColumnFormula>OR(C55&gt;35,H55&gt;3)</calculatedColumnFormula>
    </tableColumn>
    <tableColumn id="15" xr3:uid="{FA444B40-BED1-4CA9-8F13-FD1E0E8FEFFA}" name="NOT" dataDxfId="28">
      <calculatedColumnFormula>NOT(G55&gt;60000)</calculatedColumnFormula>
    </tableColumn>
    <tableColumn id="16" xr3:uid="{13B5A8F9-0A49-4ABF-AB85-71058AA7580C}" name="XOR" dataDxfId="27">
      <calculatedColumnFormula>_xlfn.XOR(C55&lt;25,G55&lt;10000)</calculatedColumnFormula>
    </tableColumn>
    <tableColumn id="17" xr3:uid="{1EF96D1F-B185-4844-8AA4-90C7294477F7}" name="ERROR" dataDxfId="26"/>
    <tableColumn id="18" xr3:uid="{1D0F59EC-4EC4-4CE1-8240-4DE16AAE94EC}" name="ISBLANK" dataDxfId="25">
      <calculatedColumnFormula>ISBLANK(I55)</calculatedColumnFormula>
    </tableColumn>
    <tableColumn id="19" xr3:uid="{3D3C072E-F7EE-44AB-BABD-548CCD307F52}" name="ISNUMBER" dataDxfId="24">
      <calculatedColumnFormula>ISNUMBER(I55)</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E1771F-A4DB-4118-9504-DF5B4DEEF4D2}" name="Table4131415" displayName="Table4131415" ref="AF14:AK16" totalsRowShown="0" headerRowDxfId="23" dataDxfId="21" headerRowBorderDxfId="22" tableBorderDxfId="20" totalsRowBorderDxfId="19">
  <autoFilter ref="AF14:AK16" xr:uid="{6FE1771F-A4DB-4118-9504-DF5B4DEEF4D2}">
    <filterColumn colId="0" hiddenButton="1"/>
    <filterColumn colId="1" hiddenButton="1"/>
    <filterColumn colId="2" hiddenButton="1"/>
    <filterColumn colId="3" hiddenButton="1"/>
    <filterColumn colId="4" hiddenButton="1"/>
    <filterColumn colId="5" hiddenButton="1"/>
  </autoFilter>
  <tableColumns count="6">
    <tableColumn id="1" xr3:uid="{209EE404-9709-45B9-B1E4-B88899F9B6AE}" name="PRODUCT" dataDxfId="18">
      <calculatedColumnFormula>PRODUCT(10,5)</calculatedColumnFormula>
    </tableColumn>
    <tableColumn id="2" xr3:uid="{BBBD4DB9-3C92-4909-B942-3A80EE4C30E0}" name="MOD" dataDxfId="17">
      <calculatedColumnFormula>MOD(100,5)</calculatedColumnFormula>
    </tableColumn>
    <tableColumn id="3" xr3:uid="{054C240B-94BF-495E-9979-664C377B61B3}" name="FACT" dataDxfId="16">
      <calculatedColumnFormula>FACT(10)</calculatedColumnFormula>
    </tableColumn>
    <tableColumn id="4" xr3:uid="{8BFD7A6C-7CE2-4057-87C0-5E329C85C636}" name="ROUND" dataDxfId="15">
      <calculatedColumnFormula>ROUND(SQRT(26),2)</calculatedColumnFormula>
    </tableColumn>
    <tableColumn id="5" xr3:uid="{6816E502-42E3-4C85-8F00-DDDD397D190A}" name="ROUNDDOWN" dataDxfId="14">
      <calculatedColumnFormula>ROUNDDOWN(SQRT(42),2)</calculatedColumnFormula>
    </tableColumn>
    <tableColumn id="6" xr3:uid="{9C8A07B2-64D3-43CD-BD7E-9FAD202BD463}" name="ROUNDUP" dataDxfId="13">
      <calculatedColumnFormula>ROUNDUP(SQRT(28),2)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pivotTable" Target="../pivotTables/pivotTable6.xml"/><Relationship Id="rId16" Type="http://schemas.openxmlformats.org/officeDocument/2006/relationships/table" Target="../tables/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table" Target="../tables/table1.xml"/><Relationship Id="rId5" Type="http://schemas.openxmlformats.org/officeDocument/2006/relationships/pivotTable" Target="../pivotTables/pivotTable9.xml"/><Relationship Id="rId15" Type="http://schemas.openxmlformats.org/officeDocument/2006/relationships/table" Target="../tables/table5.xml"/><Relationship Id="rId10" Type="http://schemas.openxmlformats.org/officeDocument/2006/relationships/drawing" Target="../drawings/drawing3.xml"/><Relationship Id="rId19" Type="http://schemas.microsoft.com/office/2007/relationships/slicer" Target="../slicers/slicer2.xml"/><Relationship Id="rId4" Type="http://schemas.openxmlformats.org/officeDocument/2006/relationships/pivotTable" Target="../pivotTables/pivotTable8.xml"/><Relationship Id="rId9" Type="http://schemas.openxmlformats.org/officeDocument/2006/relationships/printerSettings" Target="../printerSettings/printerSettings1.bin"/><Relationship Id="rId1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7EB3-E770-4813-B6BA-70DA6463AF7C}">
  <sheetPr codeName="Sheet2"/>
  <dimension ref="B5:L46"/>
  <sheetViews>
    <sheetView workbookViewId="0">
      <selection activeCell="N46" sqref="N46"/>
    </sheetView>
  </sheetViews>
  <sheetFormatPr defaultRowHeight="15" x14ac:dyDescent="0.25"/>
  <cols>
    <col min="1" max="2" width="13.140625" bestFit="1" customWidth="1"/>
    <col min="3" max="3" width="10.85546875" bestFit="1" customWidth="1"/>
    <col min="4" max="4" width="12.85546875" bestFit="1" customWidth="1"/>
    <col min="10" max="11" width="13.140625" bestFit="1" customWidth="1"/>
    <col min="12" max="12" width="11" bestFit="1" customWidth="1"/>
  </cols>
  <sheetData>
    <row r="5" spans="2:3" ht="15.75" thickBot="1" x14ac:dyDescent="0.3"/>
    <row r="6" spans="2:3" ht="15.75" thickBot="1" x14ac:dyDescent="0.3">
      <c r="B6" s="211" t="s">
        <v>349</v>
      </c>
      <c r="C6" s="144" t="s">
        <v>354</v>
      </c>
    </row>
    <row r="7" spans="2:3" x14ac:dyDescent="0.25">
      <c r="B7" s="215" t="s">
        <v>21</v>
      </c>
      <c r="C7" s="212">
        <v>5</v>
      </c>
    </row>
    <row r="8" spans="2:3" ht="15.75" thickBot="1" x14ac:dyDescent="0.3">
      <c r="B8" s="210" t="s">
        <v>22</v>
      </c>
      <c r="C8" s="208">
        <v>5</v>
      </c>
    </row>
    <row r="9" spans="2:3" ht="15.75" thickBot="1" x14ac:dyDescent="0.3">
      <c r="B9" s="213" t="s">
        <v>350</v>
      </c>
      <c r="C9" s="209">
        <v>10</v>
      </c>
    </row>
    <row r="10" spans="2:3" ht="15.75" thickBot="1" x14ac:dyDescent="0.3"/>
    <row r="11" spans="2:3" ht="15.75" thickBot="1" x14ac:dyDescent="0.3">
      <c r="B11" s="211" t="s">
        <v>349</v>
      </c>
      <c r="C11" s="144" t="s">
        <v>354</v>
      </c>
    </row>
    <row r="12" spans="2:3" ht="15.75" thickBot="1" x14ac:dyDescent="0.3">
      <c r="B12" s="213" t="s">
        <v>22</v>
      </c>
      <c r="C12" s="212">
        <v>2</v>
      </c>
    </row>
    <row r="13" spans="2:3" ht="15.75" thickBot="1" x14ac:dyDescent="0.3">
      <c r="B13" s="188" t="s">
        <v>92</v>
      </c>
      <c r="C13" s="208">
        <v>2</v>
      </c>
    </row>
    <row r="14" spans="2:3" ht="15.75" thickBot="1" x14ac:dyDescent="0.3">
      <c r="B14" s="213" t="s">
        <v>350</v>
      </c>
      <c r="C14" s="209">
        <v>2</v>
      </c>
    </row>
    <row r="16" spans="2:3" ht="15.75" thickBot="1" x14ac:dyDescent="0.3"/>
    <row r="19" spans="2:12" ht="15.75" thickBot="1" x14ac:dyDescent="0.3"/>
    <row r="20" spans="2:12" ht="15.75" thickBot="1" x14ac:dyDescent="0.3"/>
    <row r="21" spans="2:12" ht="15.75" thickBot="1" x14ac:dyDescent="0.3"/>
    <row r="22" spans="2:12" ht="15.75" thickBot="1" x14ac:dyDescent="0.3">
      <c r="B22" s="186" t="s">
        <v>349</v>
      </c>
      <c r="C22" s="144" t="s">
        <v>352</v>
      </c>
    </row>
    <row r="23" spans="2:12" ht="15.75" thickBot="1" x14ac:dyDescent="0.3">
      <c r="B23" s="185" t="s">
        <v>92</v>
      </c>
      <c r="C23" s="212">
        <v>108000</v>
      </c>
    </row>
    <row r="24" spans="2:12" ht="15.75" thickBot="1" x14ac:dyDescent="0.3">
      <c r="B24" s="213" t="s">
        <v>350</v>
      </c>
      <c r="C24" s="209">
        <v>108000</v>
      </c>
    </row>
    <row r="26" spans="2:12" ht="15.75" thickBot="1" x14ac:dyDescent="0.3"/>
    <row r="27" spans="2:12" ht="15.75" thickBot="1" x14ac:dyDescent="0.3"/>
    <row r="28" spans="2:12" ht="15.75" thickBot="1" x14ac:dyDescent="0.3"/>
    <row r="29" spans="2:12" ht="15.75" thickBot="1" x14ac:dyDescent="0.3">
      <c r="K29" s="211" t="s">
        <v>349</v>
      </c>
      <c r="L29" s="144" t="s">
        <v>351</v>
      </c>
    </row>
    <row r="30" spans="2:12" ht="15.75" thickBot="1" x14ac:dyDescent="0.3">
      <c r="K30" s="185" t="s">
        <v>21</v>
      </c>
      <c r="L30" s="212">
        <v>28</v>
      </c>
    </row>
    <row r="31" spans="2:12" ht="15.75" thickBot="1" x14ac:dyDescent="0.3">
      <c r="K31" s="213" t="s">
        <v>350</v>
      </c>
      <c r="L31" s="209">
        <v>28</v>
      </c>
    </row>
    <row r="36" ht="15.75" thickBot="1" x14ac:dyDescent="0.3"/>
    <row r="37" ht="15.75" thickBot="1" x14ac:dyDescent="0.3"/>
    <row r="46" ht="15.75" thickBot="1" x14ac:dyDescent="0.3"/>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8CC9-AB22-4813-9084-A278700D7796}">
  <sheetPr codeName="Sheet3">
    <outlinePr summaryBelow="0"/>
  </sheetPr>
  <dimension ref="B1:I20"/>
  <sheetViews>
    <sheetView showGridLines="0" workbookViewId="0">
      <selection activeCell="G23" sqref="G23"/>
    </sheetView>
  </sheetViews>
  <sheetFormatPr defaultRowHeight="15" outlineLevelRow="1" outlineLevelCol="1" x14ac:dyDescent="0.25"/>
  <cols>
    <col min="3" max="3" width="7.28515625" bestFit="1" customWidth="1"/>
    <col min="4" max="9" width="13.140625" bestFit="1" customWidth="1" outlineLevel="1"/>
  </cols>
  <sheetData>
    <row r="1" spans="2:9" ht="15.75" thickBot="1" x14ac:dyDescent="0.3"/>
    <row r="2" spans="2:9" ht="15.75" x14ac:dyDescent="0.25">
      <c r="B2" s="224" t="s">
        <v>438</v>
      </c>
      <c r="C2" s="224"/>
      <c r="D2" s="229"/>
      <c r="E2" s="229"/>
      <c r="F2" s="229"/>
      <c r="G2" s="229"/>
      <c r="H2" s="229"/>
      <c r="I2" s="229"/>
    </row>
    <row r="3" spans="2:9" ht="15.75" collapsed="1" x14ac:dyDescent="0.25">
      <c r="B3" s="223"/>
      <c r="C3" s="223"/>
      <c r="D3" s="230" t="s">
        <v>440</v>
      </c>
      <c r="E3" s="230" t="s">
        <v>431</v>
      </c>
      <c r="F3" s="230" t="s">
        <v>433</v>
      </c>
      <c r="G3" s="230" t="s">
        <v>434</v>
      </c>
      <c r="H3" s="230" t="s">
        <v>435</v>
      </c>
      <c r="I3" s="230" t="s">
        <v>437</v>
      </c>
    </row>
    <row r="4" spans="2:9" ht="67.5" hidden="1" outlineLevel="1" x14ac:dyDescent="0.25">
      <c r="B4" s="226"/>
      <c r="C4" s="226"/>
      <c r="E4" s="232" t="s">
        <v>432</v>
      </c>
      <c r="F4" s="232" t="s">
        <v>432</v>
      </c>
      <c r="G4" s="232" t="s">
        <v>432</v>
      </c>
      <c r="H4" s="232" t="s">
        <v>436</v>
      </c>
      <c r="I4" s="232" t="s">
        <v>432</v>
      </c>
    </row>
    <row r="5" spans="2:9" x14ac:dyDescent="0.25">
      <c r="B5" s="227" t="s">
        <v>439</v>
      </c>
      <c r="C5" s="227"/>
      <c r="D5" s="225"/>
      <c r="E5" s="225"/>
      <c r="F5" s="225"/>
      <c r="G5" s="225"/>
      <c r="H5" s="225"/>
      <c r="I5" s="225"/>
    </row>
    <row r="6" spans="2:9" outlineLevel="1" x14ac:dyDescent="0.25">
      <c r="B6" s="226"/>
      <c r="C6" s="226" t="s">
        <v>420</v>
      </c>
      <c r="D6">
        <v>100</v>
      </c>
      <c r="E6" s="231">
        <v>100</v>
      </c>
      <c r="F6" s="231">
        <v>100</v>
      </c>
      <c r="G6" s="231">
        <v>100</v>
      </c>
      <c r="H6" s="231">
        <v>85</v>
      </c>
      <c r="I6" s="231">
        <v>50</v>
      </c>
    </row>
    <row r="7" spans="2:9" outlineLevel="1" x14ac:dyDescent="0.25">
      <c r="B7" s="226"/>
      <c r="C7" s="226" t="s">
        <v>421</v>
      </c>
      <c r="D7">
        <v>95</v>
      </c>
      <c r="E7" s="231">
        <v>95</v>
      </c>
      <c r="F7" s="231">
        <v>95</v>
      </c>
      <c r="G7" s="231">
        <v>95</v>
      </c>
      <c r="H7" s="231">
        <v>80</v>
      </c>
      <c r="I7" s="231">
        <v>45</v>
      </c>
    </row>
    <row r="8" spans="2:9" outlineLevel="1" x14ac:dyDescent="0.25">
      <c r="B8" s="226"/>
      <c r="C8" s="226" t="s">
        <v>422</v>
      </c>
      <c r="D8">
        <v>95</v>
      </c>
      <c r="E8" s="231">
        <v>95</v>
      </c>
      <c r="F8" s="231">
        <v>95</v>
      </c>
      <c r="G8" s="231">
        <v>95</v>
      </c>
      <c r="H8" s="231">
        <v>84</v>
      </c>
      <c r="I8" s="231">
        <v>35</v>
      </c>
    </row>
    <row r="9" spans="2:9" outlineLevel="1" x14ac:dyDescent="0.25">
      <c r="B9" s="226"/>
      <c r="C9" s="226" t="s">
        <v>423</v>
      </c>
      <c r="D9">
        <v>122</v>
      </c>
      <c r="E9" s="231">
        <v>122</v>
      </c>
      <c r="F9" s="231">
        <v>122</v>
      </c>
      <c r="G9" s="231">
        <v>122</v>
      </c>
      <c r="H9" s="231">
        <v>97</v>
      </c>
      <c r="I9" s="231">
        <v>30</v>
      </c>
    </row>
    <row r="10" spans="2:9" outlineLevel="1" x14ac:dyDescent="0.25">
      <c r="B10" s="226"/>
      <c r="C10" s="226" t="s">
        <v>424</v>
      </c>
      <c r="D10">
        <v>175</v>
      </c>
      <c r="E10" s="231">
        <v>175</v>
      </c>
      <c r="F10" s="231">
        <v>175</v>
      </c>
      <c r="G10" s="231">
        <v>175</v>
      </c>
      <c r="H10" s="231">
        <v>95</v>
      </c>
      <c r="I10" s="231">
        <v>30</v>
      </c>
    </row>
    <row r="11" spans="2:9" x14ac:dyDescent="0.25">
      <c r="B11" s="227" t="s">
        <v>441</v>
      </c>
      <c r="C11" s="227"/>
      <c r="D11" s="225"/>
      <c r="E11" s="225"/>
      <c r="F11" s="225"/>
      <c r="G11" s="225"/>
      <c r="H11" s="225"/>
      <c r="I11" s="225"/>
    </row>
    <row r="12" spans="2:9" outlineLevel="1" x14ac:dyDescent="0.25">
      <c r="B12" s="226"/>
      <c r="C12" s="226" t="s">
        <v>425</v>
      </c>
      <c r="D12">
        <v>79</v>
      </c>
      <c r="E12">
        <v>79</v>
      </c>
      <c r="F12">
        <v>79</v>
      </c>
      <c r="G12">
        <v>79</v>
      </c>
      <c r="H12">
        <v>79</v>
      </c>
      <c r="I12">
        <v>79</v>
      </c>
    </row>
    <row r="13" spans="2:9" outlineLevel="1" x14ac:dyDescent="0.25">
      <c r="B13" s="226"/>
      <c r="C13" s="226" t="s">
        <v>426</v>
      </c>
      <c r="D13">
        <v>80</v>
      </c>
      <c r="E13">
        <v>80</v>
      </c>
      <c r="F13">
        <v>80</v>
      </c>
      <c r="G13">
        <v>80</v>
      </c>
      <c r="H13">
        <v>80</v>
      </c>
      <c r="I13">
        <v>80</v>
      </c>
    </row>
    <row r="14" spans="2:9" outlineLevel="1" x14ac:dyDescent="0.25">
      <c r="B14" s="226"/>
      <c r="C14" s="226" t="s">
        <v>427</v>
      </c>
      <c r="D14">
        <v>81</v>
      </c>
      <c r="E14">
        <v>81</v>
      </c>
      <c r="F14">
        <v>81</v>
      </c>
      <c r="G14">
        <v>81</v>
      </c>
      <c r="H14">
        <v>81</v>
      </c>
      <c r="I14">
        <v>81</v>
      </c>
    </row>
    <row r="15" spans="2:9" outlineLevel="1" x14ac:dyDescent="0.25">
      <c r="B15" s="226"/>
      <c r="C15" s="226" t="s">
        <v>428</v>
      </c>
      <c r="D15">
        <v>82</v>
      </c>
      <c r="E15">
        <v>82</v>
      </c>
      <c r="F15">
        <v>82</v>
      </c>
      <c r="G15">
        <v>82</v>
      </c>
      <c r="H15">
        <v>82</v>
      </c>
      <c r="I15">
        <v>82</v>
      </c>
    </row>
    <row r="16" spans="2:9" outlineLevel="1" x14ac:dyDescent="0.25">
      <c r="B16" s="226"/>
      <c r="C16" s="226" t="s">
        <v>429</v>
      </c>
      <c r="D16">
        <v>83</v>
      </c>
      <c r="E16">
        <v>83</v>
      </c>
      <c r="F16">
        <v>83</v>
      </c>
      <c r="G16">
        <v>83</v>
      </c>
      <c r="H16">
        <v>83</v>
      </c>
      <c r="I16">
        <v>83</v>
      </c>
    </row>
    <row r="17" spans="2:9" ht="15.75" outlineLevel="1" thickBot="1" x14ac:dyDescent="0.3">
      <c r="B17" s="228"/>
      <c r="C17" s="228" t="s">
        <v>430</v>
      </c>
      <c r="D17" s="68">
        <v>84</v>
      </c>
      <c r="E17" s="68">
        <v>84</v>
      </c>
      <c r="F17" s="68">
        <v>84</v>
      </c>
      <c r="G17" s="68">
        <v>84</v>
      </c>
      <c r="H17" s="68">
        <v>84</v>
      </c>
      <c r="I17" s="68">
        <v>84</v>
      </c>
    </row>
    <row r="18" spans="2:9" x14ac:dyDescent="0.25">
      <c r="B18" t="s">
        <v>442</v>
      </c>
    </row>
    <row r="19" spans="2:9" x14ac:dyDescent="0.25">
      <c r="B19" t="s">
        <v>443</v>
      </c>
    </row>
    <row r="20" spans="2:9" x14ac:dyDescent="0.25">
      <c r="B20" t="s">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1321-4A1E-4089-BD50-19DD412397C8}">
  <sheetPr codeName="Sheet4"/>
  <dimension ref="A1:DS198"/>
  <sheetViews>
    <sheetView tabSelected="1" topLeftCell="CI25" zoomScale="55" zoomScaleNormal="55" workbookViewId="0">
      <selection activeCell="CO44" sqref="CO44"/>
    </sheetView>
  </sheetViews>
  <sheetFormatPr defaultRowHeight="15" outlineLevelCol="1" x14ac:dyDescent="0.25"/>
  <cols>
    <col min="2" max="2" width="17.7109375" customWidth="1"/>
    <col min="3" max="3" width="14.42578125" customWidth="1"/>
    <col min="4" max="4" width="19.5703125" customWidth="1"/>
    <col min="5" max="5" width="12.28515625" customWidth="1"/>
    <col min="6" max="6" width="13.85546875" customWidth="1"/>
    <col min="7" max="7" width="16.28515625" customWidth="1"/>
    <col min="8" max="8" width="12.140625" customWidth="1"/>
    <col min="9" max="9" width="11.42578125" customWidth="1"/>
    <col min="10" max="10" width="17.5703125" customWidth="1"/>
    <col min="11" max="11" width="15.140625" customWidth="1"/>
    <col min="12" max="12" width="13" customWidth="1"/>
    <col min="14" max="14" width="9.7109375" customWidth="1"/>
    <col min="17" max="17" width="11.42578125" customWidth="1"/>
    <col min="19" max="19" width="10.42578125" customWidth="1"/>
    <col min="24" max="24" width="10.42578125" bestFit="1" customWidth="1"/>
    <col min="28" max="28" width="12.7109375" customWidth="1"/>
    <col min="29" max="29" width="12.42578125" customWidth="1"/>
    <col min="30" max="30" width="17.140625" customWidth="1"/>
    <col min="31" max="31" width="12.85546875" customWidth="1"/>
    <col min="32" max="32" width="17.140625" customWidth="1"/>
    <col min="33" max="33" width="14.42578125" customWidth="1"/>
    <col min="34" max="34" width="10.42578125" customWidth="1"/>
    <col min="35" max="35" width="17.7109375" customWidth="1"/>
    <col min="36" max="36" width="16.28515625" customWidth="1"/>
    <col min="37" max="37" width="16.7109375" customWidth="1"/>
    <col min="38" max="38" width="11" customWidth="1"/>
    <col min="39" max="39" width="22" customWidth="1"/>
    <col min="40" max="40" width="26" customWidth="1"/>
    <col min="41" max="41" width="14.85546875" customWidth="1"/>
    <col min="42" max="42" width="19.140625" customWidth="1"/>
    <col min="43" max="43" width="12.28515625" customWidth="1"/>
    <col min="45" max="45" width="16.42578125" customWidth="1"/>
    <col min="47" max="47" width="13.7109375" customWidth="1"/>
    <col min="48" max="48" width="11" customWidth="1"/>
    <col min="49" max="49" width="16.42578125" customWidth="1"/>
    <col min="50" max="50" width="14.7109375" customWidth="1"/>
    <col min="51" max="51" width="15.42578125" customWidth="1"/>
    <col min="52" max="52" width="14.7109375" customWidth="1"/>
    <col min="53" max="53" width="12.7109375" customWidth="1"/>
    <col min="55" max="55" width="11" customWidth="1"/>
    <col min="56" max="56" width="18.85546875" customWidth="1"/>
    <col min="58" max="58" width="11" customWidth="1"/>
    <col min="59" max="59" width="18.85546875" customWidth="1"/>
    <col min="60" max="60" width="13.28515625" customWidth="1"/>
    <col min="61" max="61" width="15" customWidth="1"/>
    <col min="62" max="62" width="13.5703125" customWidth="1"/>
    <col min="63" max="63" width="11.42578125" customWidth="1"/>
    <col min="64" max="64" width="25.5703125" customWidth="1"/>
    <col min="65" max="65" width="19.42578125" customWidth="1"/>
    <col min="67" max="67" width="13.28515625" customWidth="1"/>
    <col min="68" max="68" width="15.140625" customWidth="1"/>
    <col min="70" max="70" width="17.7109375" customWidth="1"/>
    <col min="71" max="71" width="13.140625" customWidth="1"/>
    <col min="72" max="72" width="13.85546875" customWidth="1"/>
    <col min="73" max="73" width="16.28515625" customWidth="1"/>
    <col min="80" max="80" width="13.140625" bestFit="1" customWidth="1"/>
    <col min="81" max="81" width="11.140625" bestFit="1" customWidth="1"/>
    <col min="82" max="82" width="12" customWidth="1"/>
    <col min="84" max="84" width="14.85546875" customWidth="1"/>
    <col min="87" max="87" width="17.42578125" customWidth="1"/>
    <col min="89" max="89" width="13.7109375" customWidth="1"/>
    <col min="90" max="90" width="17.85546875" bestFit="1" customWidth="1" outlineLevel="1"/>
    <col min="91" max="91" width="13.140625" bestFit="1" customWidth="1"/>
    <col min="92" max="92" width="10.85546875" bestFit="1" customWidth="1"/>
    <col min="93" max="93" width="12.85546875" bestFit="1" customWidth="1"/>
    <col min="94" max="94" width="13.140625" customWidth="1"/>
    <col min="95" max="95" width="15.85546875" customWidth="1"/>
    <col min="96" max="96" width="15.140625" customWidth="1"/>
    <col min="97" max="97" width="17.7109375" customWidth="1"/>
    <col min="98" max="98" width="16.140625" customWidth="1"/>
    <col min="99" max="99" width="11.42578125" customWidth="1"/>
    <col min="100" max="101" width="6.140625" bestFit="1" customWidth="1"/>
    <col min="102" max="102" width="11.28515625" bestFit="1" customWidth="1"/>
    <col min="104" max="104" width="26" customWidth="1"/>
    <col min="105" max="105" width="21.85546875" customWidth="1"/>
    <col min="106" max="106" width="20.42578125" customWidth="1"/>
    <col min="107" max="107" width="13.5703125" customWidth="1"/>
    <col min="108" max="108" width="12.42578125" customWidth="1"/>
    <col min="109" max="109" width="13.140625" bestFit="1" customWidth="1"/>
    <col min="110" max="110" width="11.140625" bestFit="1" customWidth="1"/>
    <col min="113" max="113" width="25.5703125" customWidth="1"/>
    <col min="114" max="114" width="12.140625" customWidth="1"/>
    <col min="116" max="116" width="12.42578125" customWidth="1"/>
    <col min="117" max="117" width="12.7109375" customWidth="1"/>
    <col min="118" max="118" width="13" customWidth="1"/>
  </cols>
  <sheetData>
    <row r="1" spans="1:122" ht="27.75" thickBot="1" x14ac:dyDescent="0.55000000000000004">
      <c r="A1" s="9" t="s">
        <v>0</v>
      </c>
      <c r="B1" s="9" t="s">
        <v>1</v>
      </c>
      <c r="C1" s="9" t="s">
        <v>20</v>
      </c>
      <c r="D1" s="9" t="s">
        <v>2</v>
      </c>
      <c r="E1" s="9" t="s">
        <v>3</v>
      </c>
      <c r="F1" s="9" t="s">
        <v>4</v>
      </c>
      <c r="G1" s="9" t="s">
        <v>5</v>
      </c>
      <c r="H1" s="9" t="s">
        <v>6</v>
      </c>
      <c r="I1" s="9" t="s">
        <v>7</v>
      </c>
      <c r="J1" s="9" t="s">
        <v>8</v>
      </c>
      <c r="K1" s="9" t="s">
        <v>9</v>
      </c>
      <c r="L1" s="9" t="s">
        <v>10</v>
      </c>
      <c r="M1" s="42" t="s">
        <v>11</v>
      </c>
      <c r="N1" s="42" t="s">
        <v>12</v>
      </c>
      <c r="O1" s="42" t="s">
        <v>13</v>
      </c>
      <c r="P1" s="42" t="s">
        <v>14</v>
      </c>
      <c r="Q1" s="42" t="s">
        <v>15</v>
      </c>
      <c r="R1" s="42" t="s">
        <v>16</v>
      </c>
      <c r="S1" s="42" t="s">
        <v>17</v>
      </c>
      <c r="T1" s="42" t="s">
        <v>18</v>
      </c>
      <c r="U1" s="42" t="s">
        <v>19</v>
      </c>
      <c r="V1" s="42" t="s">
        <v>23</v>
      </c>
      <c r="W1" s="42" t="s">
        <v>24</v>
      </c>
      <c r="X1" s="42" t="s">
        <v>25</v>
      </c>
      <c r="Y1" s="42" t="s">
        <v>26</v>
      </c>
      <c r="Z1" s="42" t="s">
        <v>27</v>
      </c>
      <c r="AA1" s="42" t="s">
        <v>45</v>
      </c>
      <c r="AB1" s="42" t="s">
        <v>44</v>
      </c>
      <c r="AC1" s="42" t="s">
        <v>42</v>
      </c>
      <c r="AD1" s="42" t="s">
        <v>43</v>
      </c>
      <c r="AF1" s="271" t="s">
        <v>159</v>
      </c>
      <c r="AG1" s="272"/>
      <c r="AH1" s="273"/>
      <c r="AP1" s="109" t="s">
        <v>251</v>
      </c>
      <c r="AQ1" s="97"/>
      <c r="AR1" s="96"/>
      <c r="AS1" s="97"/>
      <c r="BB1" s="72"/>
      <c r="BC1" s="289" t="s">
        <v>253</v>
      </c>
      <c r="BD1" s="290"/>
      <c r="BE1" s="290"/>
      <c r="BF1" s="290"/>
      <c r="BG1" s="291"/>
      <c r="BH1" s="66"/>
      <c r="BI1" s="66"/>
      <c r="BJ1" s="66"/>
      <c r="BK1" s="66"/>
      <c r="BL1" s="66"/>
      <c r="BM1" s="66"/>
      <c r="BN1" s="66"/>
      <c r="BO1" s="66"/>
      <c r="BP1" s="66"/>
      <c r="BQ1" s="66"/>
      <c r="BR1" s="100" t="s">
        <v>301</v>
      </c>
      <c r="BS1" s="66"/>
      <c r="BT1" s="66"/>
      <c r="BU1" s="21"/>
      <c r="BV1" s="66"/>
      <c r="BW1" s="66"/>
      <c r="BX1" s="66"/>
      <c r="BY1" s="21"/>
    </row>
    <row r="2" spans="1:122" ht="30.75" thickBot="1" x14ac:dyDescent="0.35">
      <c r="A2" s="41">
        <v>0</v>
      </c>
      <c r="B2" s="41">
        <v>128</v>
      </c>
      <c r="C2" s="41" t="s">
        <v>22</v>
      </c>
      <c r="D2" s="41">
        <v>1</v>
      </c>
      <c r="E2" s="41">
        <v>1</v>
      </c>
      <c r="F2" s="41">
        <v>2.7</v>
      </c>
      <c r="G2" s="41">
        <v>1</v>
      </c>
      <c r="H2" s="41">
        <v>265.10000000000002</v>
      </c>
      <c r="I2" s="41">
        <v>110</v>
      </c>
      <c r="J2" s="41">
        <v>89</v>
      </c>
      <c r="K2" s="41">
        <v>9.8699999999999992</v>
      </c>
      <c r="L2" s="41">
        <v>10</v>
      </c>
      <c r="M2" s="43">
        <f>SQRT(B2)</f>
        <v>11.313708498984761</v>
      </c>
      <c r="N2" s="43">
        <f>O3</f>
        <v>123</v>
      </c>
      <c r="O2" s="43">
        <f>MIN(Table22[[#This Row],[DayMins]:[DayCalls]])</f>
        <v>110</v>
      </c>
      <c r="P2" s="43">
        <f t="shared" ref="P2:P20" si="0">MAX(H2,I2)</f>
        <v>265.10000000000002</v>
      </c>
      <c r="Q2" s="43">
        <f>AVERAGE(H2,I2)</f>
        <v>187.55</v>
      </c>
      <c r="R2" s="43">
        <f>SUM(H2,I2)</f>
        <v>375.1</v>
      </c>
      <c r="S2" s="43">
        <f>MEDIAN(D2,G2)</f>
        <v>1</v>
      </c>
      <c r="T2" s="43"/>
      <c r="U2" s="43" t="str">
        <f>V4</f>
        <v>le</v>
      </c>
      <c r="V2" s="43" t="str">
        <f t="shared" ref="V2:V20" si="1">RIGHT(C2,2)</f>
        <v>le</v>
      </c>
      <c r="W2" s="43">
        <f t="shared" ref="W2:W20" si="2">LEN(C2)</f>
        <v>4</v>
      </c>
      <c r="X2" s="43">
        <v>46113</v>
      </c>
      <c r="Y2" s="43">
        <f>YEAR(X2)</f>
        <v>2026</v>
      </c>
      <c r="Z2" s="43">
        <f t="shared" ref="Z2:Z20" si="3">MONTH(X2)</f>
        <v>4</v>
      </c>
      <c r="AA2" s="43">
        <f t="shared" ref="AA2:AA20" si="4">DAY(X2)</f>
        <v>1</v>
      </c>
      <c r="AB2" s="43">
        <f>WEEKDAY(X2)</f>
        <v>4</v>
      </c>
      <c r="AC2" s="43">
        <f>EOMONTH(X2,2)</f>
        <v>46203</v>
      </c>
      <c r="AD2" s="43">
        <f t="shared" ref="AD2:AD20" si="5">NETWORKDAYS(X2,AC2)</f>
        <v>65</v>
      </c>
      <c r="AF2" s="22" t="s">
        <v>35</v>
      </c>
      <c r="AG2" s="23" t="s">
        <v>46</v>
      </c>
      <c r="AH2" s="23" t="s">
        <v>28</v>
      </c>
      <c r="AI2" s="23" t="s">
        <v>47</v>
      </c>
      <c r="AJ2" s="23" t="s">
        <v>34</v>
      </c>
      <c r="AK2" s="23" t="s">
        <v>37</v>
      </c>
      <c r="AL2" s="23" t="s">
        <v>38</v>
      </c>
      <c r="AM2" s="23" t="s">
        <v>39</v>
      </c>
      <c r="AN2" s="24" t="s">
        <v>40</v>
      </c>
      <c r="AP2" s="73" t="s">
        <v>168</v>
      </c>
      <c r="AQ2" s="73" t="s">
        <v>71</v>
      </c>
      <c r="AR2" s="73" t="s">
        <v>72</v>
      </c>
      <c r="AS2" s="73" t="s">
        <v>73</v>
      </c>
      <c r="AT2" s="57" t="s">
        <v>169</v>
      </c>
      <c r="AU2" s="57" t="s">
        <v>76</v>
      </c>
      <c r="AV2" s="57" t="s">
        <v>74</v>
      </c>
      <c r="AW2" s="57" t="s">
        <v>170</v>
      </c>
      <c r="AX2" s="57" t="s">
        <v>171</v>
      </c>
      <c r="BB2" s="70"/>
      <c r="BC2" s="75" t="s">
        <v>254</v>
      </c>
      <c r="BD2" s="75" t="s">
        <v>71</v>
      </c>
      <c r="BE2" s="75" t="s">
        <v>72</v>
      </c>
      <c r="BF2" s="75" t="s">
        <v>73</v>
      </c>
      <c r="BG2" s="75" t="s">
        <v>171</v>
      </c>
      <c r="BH2" s="75" t="s">
        <v>255</v>
      </c>
      <c r="BI2" s="75" t="s">
        <v>256</v>
      </c>
      <c r="BJ2" s="75" t="s">
        <v>257</v>
      </c>
      <c r="BK2" s="75" t="s">
        <v>225</v>
      </c>
      <c r="BM2" s="277" t="s">
        <v>297</v>
      </c>
      <c r="BN2" s="278"/>
      <c r="BO2" s="278"/>
      <c r="BP2" s="279"/>
      <c r="BR2" s="79"/>
      <c r="BS2" s="80" t="s">
        <v>255</v>
      </c>
      <c r="BT2" s="80" t="s">
        <v>256</v>
      </c>
      <c r="BU2" s="81" t="s">
        <v>257</v>
      </c>
      <c r="BY2" s="67"/>
      <c r="CA2" s="72"/>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186" t="s">
        <v>349</v>
      </c>
      <c r="DB2" s="66" t="s">
        <v>351</v>
      </c>
      <c r="DC2" s="66"/>
      <c r="DD2" s="66"/>
      <c r="DE2" s="66"/>
      <c r="DF2" s="66"/>
      <c r="DG2" s="66"/>
      <c r="DH2" s="66"/>
      <c r="DI2" s="66"/>
      <c r="DJ2" s="21"/>
      <c r="DK2" s="66"/>
      <c r="DL2" s="66"/>
      <c r="DM2" s="66"/>
      <c r="DN2" s="66"/>
      <c r="DO2" s="66"/>
      <c r="DP2" s="66"/>
      <c r="DQ2" s="66"/>
      <c r="DR2" s="21"/>
    </row>
    <row r="3" spans="1:122" ht="30.75" thickBot="1" x14ac:dyDescent="0.3">
      <c r="A3" s="41">
        <v>0</v>
      </c>
      <c r="B3" s="41">
        <v>107</v>
      </c>
      <c r="C3" s="41" t="s">
        <v>22</v>
      </c>
      <c r="D3" s="41">
        <v>1</v>
      </c>
      <c r="E3" s="41">
        <v>1</v>
      </c>
      <c r="F3" s="41">
        <v>3.7</v>
      </c>
      <c r="G3" s="41">
        <v>1</v>
      </c>
      <c r="H3" s="41">
        <v>161.6</v>
      </c>
      <c r="I3" s="41">
        <v>123</v>
      </c>
      <c r="J3" s="41">
        <v>82</v>
      </c>
      <c r="K3" s="41">
        <v>9.7799999999999994</v>
      </c>
      <c r="L3" s="41">
        <v>13.7</v>
      </c>
      <c r="M3" s="43">
        <f t="shared" ref="M3:M20" si="6">SQRT(B3)</f>
        <v>10.344080432788601</v>
      </c>
      <c r="N3" s="43">
        <f>ROUND(Table1[[#This Row],[SQRT]],2)</f>
        <v>10.34</v>
      </c>
      <c r="O3" s="43">
        <f>MIN(H3,I3)</f>
        <v>123</v>
      </c>
      <c r="P3" s="43">
        <f t="shared" si="0"/>
        <v>161.6</v>
      </c>
      <c r="Q3" s="43">
        <f t="shared" ref="Q3:Q20" si="7">AVERAGE(H3,I3)</f>
        <v>142.30000000000001</v>
      </c>
      <c r="R3" s="43">
        <f t="shared" ref="R3:R20" si="8">SUM(H3,I3)</f>
        <v>284.60000000000002</v>
      </c>
      <c r="S3" s="43">
        <f t="shared" ref="S3:S20" si="9">MEDIAN(D3,G3)</f>
        <v>1</v>
      </c>
      <c r="T3" s="43" t="e">
        <f t="shared" ref="T3:T20" si="10">RANK(B3,B:B)</f>
        <v>#N/A</v>
      </c>
      <c r="U3" s="43" t="str">
        <f t="shared" ref="U3:U20" si="11">LEFT(C3,1)</f>
        <v>M</v>
      </c>
      <c r="V3" s="43" t="str">
        <f t="shared" si="1"/>
        <v>le</v>
      </c>
      <c r="W3" s="43">
        <f t="shared" si="2"/>
        <v>4</v>
      </c>
      <c r="X3" s="43">
        <v>46114</v>
      </c>
      <c r="Y3" s="43">
        <f t="shared" ref="Y3:Y20" si="12">YEAR(X3)</f>
        <v>2026</v>
      </c>
      <c r="Z3" s="43">
        <f t="shared" si="3"/>
        <v>4</v>
      </c>
      <c r="AA3" s="43">
        <f t="shared" si="4"/>
        <v>2</v>
      </c>
      <c r="AB3" s="43">
        <f t="shared" ref="AB3:AB20" si="13">WEEKDAY(X3)</f>
        <v>5</v>
      </c>
      <c r="AC3" s="43">
        <f t="shared" ref="AC3:AC20" si="14">EOMONTH(X3,4)</f>
        <v>46265</v>
      </c>
      <c r="AD3" s="43">
        <f t="shared" si="5"/>
        <v>108</v>
      </c>
      <c r="AF3" s="50" t="s">
        <v>29</v>
      </c>
      <c r="AG3" s="51" t="s">
        <v>33</v>
      </c>
      <c r="AH3" s="51">
        <f>FIND(AF3,AG3)</f>
        <v>1</v>
      </c>
      <c r="AI3" s="51" t="s">
        <v>36</v>
      </c>
      <c r="AJ3" s="51" t="str">
        <f>REPLACE(AI3,1,3,"EFG")</f>
        <v>EFG-2026-011</v>
      </c>
      <c r="AK3" s="51" t="str">
        <f>SUBSTITUTE(AI3,"ABC","ZZZ")</f>
        <v>ZZZ-2026-011</v>
      </c>
      <c r="AL3" s="51" t="str">
        <f>MID(AG3,2,3)</f>
        <v>PPL</v>
      </c>
      <c r="AM3" s="51">
        <f>SEARCH("L",AG3,1)</f>
        <v>4</v>
      </c>
      <c r="AN3" s="52" t="str">
        <f>_xlfn.CONCAT(AG3,AG9)</f>
        <v>APPLE</v>
      </c>
      <c r="AP3" s="56">
        <v>1</v>
      </c>
      <c r="AQ3" s="56" t="s">
        <v>172</v>
      </c>
      <c r="AR3" s="56">
        <v>25</v>
      </c>
      <c r="AS3" s="56" t="s">
        <v>22</v>
      </c>
      <c r="AT3" s="56" t="s">
        <v>83</v>
      </c>
      <c r="AU3" s="56">
        <v>35000</v>
      </c>
      <c r="AV3" s="56" t="s">
        <v>82</v>
      </c>
      <c r="AW3" s="56">
        <v>2</v>
      </c>
      <c r="AX3" s="56" t="s">
        <v>84</v>
      </c>
      <c r="BB3" s="70"/>
      <c r="BC3" s="74">
        <v>101</v>
      </c>
      <c r="BD3" s="74" t="s">
        <v>228</v>
      </c>
      <c r="BE3" s="74">
        <v>18</v>
      </c>
      <c r="BF3" s="74" t="s">
        <v>22</v>
      </c>
      <c r="BG3" s="74" t="s">
        <v>201</v>
      </c>
      <c r="BH3" s="74">
        <v>78</v>
      </c>
      <c r="BI3" s="74">
        <v>82</v>
      </c>
      <c r="BJ3" s="74">
        <v>75</v>
      </c>
      <c r="BK3" s="74">
        <v>92</v>
      </c>
      <c r="BM3" s="70"/>
      <c r="BP3" s="67"/>
      <c r="BR3" s="82" t="s">
        <v>255</v>
      </c>
      <c r="BS3" s="78">
        <v>1</v>
      </c>
      <c r="BT3" s="78"/>
      <c r="BU3" s="83"/>
      <c r="BX3" s="76"/>
      <c r="BY3" s="94"/>
      <c r="BZ3" s="76"/>
      <c r="CA3" s="216"/>
      <c r="CB3" s="205" t="s">
        <v>168</v>
      </c>
      <c r="CC3" s="206" t="s">
        <v>71</v>
      </c>
      <c r="CD3" s="206" t="s">
        <v>73</v>
      </c>
      <c r="CE3" s="206" t="s">
        <v>171</v>
      </c>
      <c r="CF3" s="206" t="s">
        <v>74</v>
      </c>
      <c r="CG3" s="206" t="s">
        <v>72</v>
      </c>
      <c r="CH3" s="206" t="s">
        <v>76</v>
      </c>
      <c r="CI3" s="206" t="s">
        <v>242</v>
      </c>
      <c r="CJ3" s="207" t="s">
        <v>353</v>
      </c>
      <c r="CL3" s="211" t="s">
        <v>349</v>
      </c>
      <c r="CM3" s="144" t="s">
        <v>352</v>
      </c>
      <c r="CN3" s="66"/>
      <c r="CO3" s="66"/>
      <c r="CP3" s="66"/>
      <c r="CQ3" s="66"/>
      <c r="CR3" s="66"/>
      <c r="CS3" s="66"/>
      <c r="CT3" s="66"/>
      <c r="CU3" s="66"/>
      <c r="CV3" s="66"/>
      <c r="CW3" s="66"/>
      <c r="CX3" s="21"/>
      <c r="DA3" s="185" t="s">
        <v>97</v>
      </c>
      <c r="DB3">
        <v>56</v>
      </c>
      <c r="DJ3" s="67"/>
      <c r="DR3" s="67"/>
    </row>
    <row r="4" spans="1:122" ht="45.75" thickBot="1" x14ac:dyDescent="0.3">
      <c r="A4" s="41">
        <v>0</v>
      </c>
      <c r="B4" s="41">
        <v>137</v>
      </c>
      <c r="C4" s="41" t="s">
        <v>22</v>
      </c>
      <c r="D4" s="41">
        <v>1</v>
      </c>
      <c r="E4" s="41">
        <v>0</v>
      </c>
      <c r="F4" s="41">
        <v>0</v>
      </c>
      <c r="G4" s="41">
        <v>0</v>
      </c>
      <c r="H4" s="41">
        <v>243.4</v>
      </c>
      <c r="I4" s="41">
        <v>114</v>
      </c>
      <c r="J4" s="41">
        <v>52</v>
      </c>
      <c r="K4" s="41">
        <v>6.06</v>
      </c>
      <c r="L4" s="41">
        <v>12.2</v>
      </c>
      <c r="M4" s="43">
        <f t="shared" si="6"/>
        <v>11.704699910719626</v>
      </c>
      <c r="N4" s="43">
        <f>ROUND(Table1[[#This Row],[SQRT]],2)</f>
        <v>11.7</v>
      </c>
      <c r="O4" s="43">
        <f t="shared" ref="O4:O6" si="15">MIN(H4,I4)</f>
        <v>114</v>
      </c>
      <c r="P4" s="43">
        <f t="shared" si="0"/>
        <v>243.4</v>
      </c>
      <c r="Q4" s="43">
        <f t="shared" si="7"/>
        <v>178.7</v>
      </c>
      <c r="R4" s="43">
        <f t="shared" si="8"/>
        <v>357.4</v>
      </c>
      <c r="S4" s="43">
        <f t="shared" si="9"/>
        <v>0.5</v>
      </c>
      <c r="T4" s="43" t="e">
        <f t="shared" si="10"/>
        <v>#N/A</v>
      </c>
      <c r="U4" s="43" t="str">
        <f t="shared" si="11"/>
        <v>M</v>
      </c>
      <c r="V4" s="43" t="str">
        <f t="shared" si="1"/>
        <v>le</v>
      </c>
      <c r="W4" s="43">
        <f t="shared" si="2"/>
        <v>4</v>
      </c>
      <c r="X4" s="43">
        <v>46115</v>
      </c>
      <c r="Y4" s="43">
        <f t="shared" si="12"/>
        <v>2026</v>
      </c>
      <c r="Z4" s="43">
        <f t="shared" si="3"/>
        <v>4</v>
      </c>
      <c r="AA4" s="43">
        <f t="shared" si="4"/>
        <v>3</v>
      </c>
      <c r="AB4" s="43">
        <f t="shared" si="13"/>
        <v>6</v>
      </c>
      <c r="AC4" s="43">
        <f t="shared" si="14"/>
        <v>46265</v>
      </c>
      <c r="AD4" s="43">
        <f t="shared" si="5"/>
        <v>107</v>
      </c>
      <c r="AF4" s="50" t="s">
        <v>31</v>
      </c>
      <c r="AG4" s="51" t="s">
        <v>33</v>
      </c>
      <c r="AH4" s="51">
        <f t="shared" ref="AH4:AH7" si="16">FIND(AF4,AG4)</f>
        <v>2</v>
      </c>
      <c r="AI4" s="51"/>
      <c r="AJ4" s="51" t="str">
        <f>REPLACE(AI3,5,4,"2027")</f>
        <v>ABC-2027-011</v>
      </c>
      <c r="AK4" s="51" t="str">
        <f>SUBSTITUTE(AI3,"011","022")</f>
        <v>ABC-2026-022</v>
      </c>
      <c r="AL4" s="51" t="str">
        <f>MID(AG4,1,5)</f>
        <v>APPLE</v>
      </c>
      <c r="AM4" s="51">
        <f>SEARCH("E",AG4,1)</f>
        <v>5</v>
      </c>
      <c r="AN4" s="52"/>
      <c r="AP4" s="56">
        <v>2</v>
      </c>
      <c r="AQ4" s="56" t="s">
        <v>173</v>
      </c>
      <c r="AR4" s="56">
        <v>28</v>
      </c>
      <c r="AS4" s="56" t="s">
        <v>21</v>
      </c>
      <c r="AT4" s="56" t="s">
        <v>174</v>
      </c>
      <c r="AU4" s="56">
        <v>40000</v>
      </c>
      <c r="AV4" s="56" t="s">
        <v>87</v>
      </c>
      <c r="AW4" s="56">
        <v>4</v>
      </c>
      <c r="AX4" s="56" t="s">
        <v>94</v>
      </c>
      <c r="BB4" s="70"/>
      <c r="BC4" s="74">
        <v>102</v>
      </c>
      <c r="BD4" s="74" t="s">
        <v>229</v>
      </c>
      <c r="BE4" s="74">
        <v>19</v>
      </c>
      <c r="BF4" s="74" t="s">
        <v>21</v>
      </c>
      <c r="BG4" s="74" t="s">
        <v>198</v>
      </c>
      <c r="BH4" s="74">
        <v>85</v>
      </c>
      <c r="BI4" s="74">
        <v>88</v>
      </c>
      <c r="BJ4" s="74">
        <v>90</v>
      </c>
      <c r="BK4" s="74">
        <v>95</v>
      </c>
      <c r="BM4" s="88" t="s">
        <v>264</v>
      </c>
      <c r="BN4" s="89" t="s">
        <v>256</v>
      </c>
      <c r="BO4" s="89" t="s">
        <v>257</v>
      </c>
      <c r="BP4" s="90" t="s">
        <v>292</v>
      </c>
      <c r="BR4" s="82" t="s">
        <v>256</v>
      </c>
      <c r="BS4" s="78">
        <v>0.98312431204843498</v>
      </c>
      <c r="BT4" s="78">
        <v>1</v>
      </c>
      <c r="BU4" s="83"/>
      <c r="BY4" s="67"/>
      <c r="CA4" s="70"/>
      <c r="CB4" s="199">
        <v>1</v>
      </c>
      <c r="CC4" s="200" t="s">
        <v>228</v>
      </c>
      <c r="CD4" s="200" t="s">
        <v>22</v>
      </c>
      <c r="CE4" s="200" t="s">
        <v>84</v>
      </c>
      <c r="CF4" s="200" t="s">
        <v>82</v>
      </c>
      <c r="CG4" s="200">
        <v>25</v>
      </c>
      <c r="CH4" s="200">
        <v>45000</v>
      </c>
      <c r="CI4" s="200" t="s">
        <v>244</v>
      </c>
      <c r="CJ4" s="103" t="str">
        <f>IF(CG4&lt;20,"Below 20",IF(CG4&lt;=25,"20-25",IF(CG4&lt;=30,"26-30",IF(CG4&lt;=35,"31-35","Above 35"))))</f>
        <v>20-25</v>
      </c>
      <c r="CL4" s="213" t="s">
        <v>22</v>
      </c>
      <c r="CM4" s="212">
        <v>263000</v>
      </c>
      <c r="CX4" s="67"/>
      <c r="DA4" s="188" t="s">
        <v>21</v>
      </c>
      <c r="DB4">
        <v>26</v>
      </c>
      <c r="DJ4" s="67"/>
      <c r="DR4" s="67"/>
    </row>
    <row r="5" spans="1:122" ht="30.75" thickBot="1" x14ac:dyDescent="0.3">
      <c r="A5" s="41">
        <v>0</v>
      </c>
      <c r="B5" s="41">
        <v>84</v>
      </c>
      <c r="C5" s="41" t="s">
        <v>22</v>
      </c>
      <c r="D5" s="41">
        <v>0</v>
      </c>
      <c r="E5" s="41">
        <v>0</v>
      </c>
      <c r="F5" s="41">
        <v>0</v>
      </c>
      <c r="G5" s="41">
        <v>2</v>
      </c>
      <c r="H5" s="41">
        <v>299.39999999999998</v>
      </c>
      <c r="I5" s="41">
        <v>71</v>
      </c>
      <c r="J5" s="41">
        <v>57</v>
      </c>
      <c r="K5" s="41">
        <v>3.1</v>
      </c>
      <c r="L5" s="41">
        <v>6.6</v>
      </c>
      <c r="M5" s="43">
        <f t="shared" si="6"/>
        <v>9.1651513899116797</v>
      </c>
      <c r="N5" s="43">
        <f>ROUND(Table1[[#This Row],[SQRT]],2)</f>
        <v>9.17</v>
      </c>
      <c r="O5" s="43">
        <f t="shared" si="15"/>
        <v>71</v>
      </c>
      <c r="P5" s="43">
        <f t="shared" si="0"/>
        <v>299.39999999999998</v>
      </c>
      <c r="Q5" s="43">
        <f t="shared" si="7"/>
        <v>185.2</v>
      </c>
      <c r="R5" s="43">
        <f t="shared" si="8"/>
        <v>370.4</v>
      </c>
      <c r="S5" s="43">
        <f t="shared" si="9"/>
        <v>1</v>
      </c>
      <c r="T5" s="43" t="e">
        <f t="shared" si="10"/>
        <v>#N/A</v>
      </c>
      <c r="U5" s="43" t="str">
        <f t="shared" si="11"/>
        <v>M</v>
      </c>
      <c r="V5" s="43" t="str">
        <f t="shared" si="1"/>
        <v>le</v>
      </c>
      <c r="W5" s="43">
        <f t="shared" si="2"/>
        <v>4</v>
      </c>
      <c r="X5" s="43">
        <v>46116</v>
      </c>
      <c r="Y5" s="43">
        <f t="shared" si="12"/>
        <v>2026</v>
      </c>
      <c r="Z5" s="43">
        <f t="shared" si="3"/>
        <v>4</v>
      </c>
      <c r="AA5" s="43">
        <f t="shared" si="4"/>
        <v>4</v>
      </c>
      <c r="AB5" s="43">
        <f t="shared" si="13"/>
        <v>7</v>
      </c>
      <c r="AC5" s="43">
        <f t="shared" si="14"/>
        <v>46265</v>
      </c>
      <c r="AD5" s="43">
        <f t="shared" si="5"/>
        <v>106</v>
      </c>
      <c r="AF5" s="50" t="s">
        <v>31</v>
      </c>
      <c r="AG5" s="51" t="s">
        <v>33</v>
      </c>
      <c r="AH5" s="51">
        <f t="shared" si="16"/>
        <v>2</v>
      </c>
      <c r="AI5" s="51"/>
      <c r="AJ5" s="51"/>
      <c r="AK5" s="51"/>
      <c r="AL5" s="51" t="str">
        <f>MID(AG5,3,5)</f>
        <v>PLE</v>
      </c>
      <c r="AM5" s="51"/>
      <c r="AN5" s="52"/>
      <c r="AP5" s="56">
        <v>3</v>
      </c>
      <c r="AQ5" s="56" t="s">
        <v>175</v>
      </c>
      <c r="AR5" s="56">
        <v>30</v>
      </c>
      <c r="AS5" s="56" t="s">
        <v>22</v>
      </c>
      <c r="AT5" s="56" t="s">
        <v>102</v>
      </c>
      <c r="AU5" s="56">
        <v>55000</v>
      </c>
      <c r="AV5" s="56" t="s">
        <v>82</v>
      </c>
      <c r="AW5" s="56">
        <v>6</v>
      </c>
      <c r="AX5" s="56" t="s">
        <v>176</v>
      </c>
      <c r="BB5" s="70"/>
      <c r="BC5" s="74">
        <v>103</v>
      </c>
      <c r="BD5" s="74" t="s">
        <v>232</v>
      </c>
      <c r="BE5" s="74">
        <v>18</v>
      </c>
      <c r="BF5" s="74" t="s">
        <v>22</v>
      </c>
      <c r="BG5" s="74" t="s">
        <v>258</v>
      </c>
      <c r="BH5" s="74">
        <v>65</v>
      </c>
      <c r="BI5" s="74">
        <v>70</v>
      </c>
      <c r="BJ5" s="74">
        <v>68</v>
      </c>
      <c r="BK5" s="74">
        <v>85</v>
      </c>
      <c r="BM5" s="91">
        <v>78</v>
      </c>
      <c r="BN5" s="87"/>
      <c r="BO5" s="87"/>
      <c r="BP5" s="92"/>
      <c r="BR5" s="84" t="s">
        <v>257</v>
      </c>
      <c r="BS5" s="85">
        <v>0.97810918651359613</v>
      </c>
      <c r="BT5" s="85">
        <v>0.96831539462159277</v>
      </c>
      <c r="BU5" s="86">
        <v>1</v>
      </c>
      <c r="BY5" s="67"/>
      <c r="CA5" s="70"/>
      <c r="CB5" s="159">
        <v>2</v>
      </c>
      <c r="CC5" s="156" t="s">
        <v>229</v>
      </c>
      <c r="CD5" s="156" t="s">
        <v>21</v>
      </c>
      <c r="CE5" s="156" t="s">
        <v>94</v>
      </c>
      <c r="CF5" s="156" t="s">
        <v>87</v>
      </c>
      <c r="CG5" s="156">
        <v>28</v>
      </c>
      <c r="CH5" s="156">
        <v>40000</v>
      </c>
      <c r="CI5" s="156" t="s">
        <v>243</v>
      </c>
      <c r="CJ5" s="83" t="str">
        <f>IF(CG5&lt;20,"Below 20",IF(CG5&lt;=25,"20-25",IF(CG5&lt;=30,"26-30",IF(CG5&lt;=35,"31-35","Above 35"))))</f>
        <v>26-30</v>
      </c>
      <c r="CL5" s="213" t="s">
        <v>350</v>
      </c>
      <c r="CM5" s="144">
        <v>263000</v>
      </c>
      <c r="CX5" s="67"/>
      <c r="DA5" s="188" t="s">
        <v>22</v>
      </c>
      <c r="DB5">
        <v>30</v>
      </c>
      <c r="DJ5" s="67"/>
      <c r="DR5" s="67"/>
    </row>
    <row r="6" spans="1:122" ht="58.5" customHeight="1" thickBot="1" x14ac:dyDescent="0.3">
      <c r="A6" s="41">
        <v>0</v>
      </c>
      <c r="B6" s="41">
        <v>75</v>
      </c>
      <c r="C6" s="41" t="s">
        <v>22</v>
      </c>
      <c r="D6" s="41">
        <v>0</v>
      </c>
      <c r="E6" s="41">
        <v>0</v>
      </c>
      <c r="F6" s="41">
        <v>0</v>
      </c>
      <c r="G6" s="41">
        <v>3</v>
      </c>
      <c r="H6" s="41">
        <v>166.7</v>
      </c>
      <c r="I6" s="41">
        <v>113</v>
      </c>
      <c r="J6" s="41">
        <v>41</v>
      </c>
      <c r="K6" s="41">
        <v>7.42</v>
      </c>
      <c r="L6" s="41">
        <v>10.1</v>
      </c>
      <c r="M6" s="43">
        <f t="shared" si="6"/>
        <v>8.6602540378443873</v>
      </c>
      <c r="N6" s="43">
        <f>ROUND(Table1[[#This Row],[SQRT]],2)</f>
        <v>8.66</v>
      </c>
      <c r="O6" s="43">
        <f t="shared" si="15"/>
        <v>113</v>
      </c>
      <c r="P6" s="43">
        <f t="shared" si="0"/>
        <v>166.7</v>
      </c>
      <c r="Q6" s="43">
        <f t="shared" si="7"/>
        <v>139.85</v>
      </c>
      <c r="R6" s="43">
        <f t="shared" si="8"/>
        <v>279.7</v>
      </c>
      <c r="S6" s="43">
        <f t="shared" si="9"/>
        <v>1.5</v>
      </c>
      <c r="T6" s="43" t="e">
        <f t="shared" si="10"/>
        <v>#N/A</v>
      </c>
      <c r="U6" s="43" t="str">
        <f t="shared" si="11"/>
        <v>M</v>
      </c>
      <c r="V6" s="43" t="str">
        <f t="shared" si="1"/>
        <v>le</v>
      </c>
      <c r="W6" s="43">
        <f t="shared" si="2"/>
        <v>4</v>
      </c>
      <c r="X6" s="43">
        <v>46117</v>
      </c>
      <c r="Y6" s="43">
        <f t="shared" si="12"/>
        <v>2026</v>
      </c>
      <c r="Z6" s="43">
        <f t="shared" si="3"/>
        <v>4</v>
      </c>
      <c r="AA6" s="43">
        <f t="shared" si="4"/>
        <v>5</v>
      </c>
      <c r="AB6" s="43">
        <f t="shared" si="13"/>
        <v>1</v>
      </c>
      <c r="AC6" s="43">
        <f t="shared" si="14"/>
        <v>46265</v>
      </c>
      <c r="AD6" s="43">
        <f t="shared" si="5"/>
        <v>106</v>
      </c>
      <c r="AF6" s="50" t="s">
        <v>32</v>
      </c>
      <c r="AG6" s="51" t="s">
        <v>33</v>
      </c>
      <c r="AH6" s="51">
        <f t="shared" si="16"/>
        <v>4</v>
      </c>
      <c r="AI6" s="51"/>
      <c r="AJ6" s="51"/>
      <c r="AK6" s="51"/>
      <c r="AL6" s="51"/>
      <c r="AM6" s="51"/>
      <c r="AN6" s="52"/>
      <c r="AP6" s="56">
        <v>4</v>
      </c>
      <c r="AQ6" s="56" t="s">
        <v>96</v>
      </c>
      <c r="AR6" s="56">
        <v>27</v>
      </c>
      <c r="AS6" s="56" t="s">
        <v>21</v>
      </c>
      <c r="AT6" s="56" t="s">
        <v>177</v>
      </c>
      <c r="AU6" s="56">
        <v>42000</v>
      </c>
      <c r="AV6" s="56" t="s">
        <v>97</v>
      </c>
      <c r="AW6" s="56">
        <v>3</v>
      </c>
      <c r="AX6" s="56" t="s">
        <v>99</v>
      </c>
      <c r="BB6" s="70"/>
      <c r="BC6" s="74">
        <v>104</v>
      </c>
      <c r="BD6" s="74" t="s">
        <v>231</v>
      </c>
      <c r="BE6" s="74">
        <v>20</v>
      </c>
      <c r="BF6" s="74" t="s">
        <v>21</v>
      </c>
      <c r="BG6" s="74" t="s">
        <v>201</v>
      </c>
      <c r="BH6" s="74">
        <v>92</v>
      </c>
      <c r="BI6" s="74">
        <v>95</v>
      </c>
      <c r="BJ6" s="74">
        <v>91</v>
      </c>
      <c r="BK6" s="74">
        <v>98</v>
      </c>
      <c r="BM6" s="82" t="s">
        <v>265</v>
      </c>
      <c r="BN6" s="78">
        <v>10</v>
      </c>
      <c r="BO6" s="78">
        <v>10</v>
      </c>
      <c r="BP6" s="83">
        <v>20</v>
      </c>
      <c r="BY6" s="67"/>
      <c r="CA6" s="70"/>
      <c r="CB6" s="159">
        <v>3</v>
      </c>
      <c r="CC6" s="156" t="s">
        <v>230</v>
      </c>
      <c r="CD6" s="156" t="s">
        <v>22</v>
      </c>
      <c r="CE6" s="156" t="s">
        <v>89</v>
      </c>
      <c r="CF6" s="156" t="s">
        <v>97</v>
      </c>
      <c r="CG6" s="156">
        <v>30</v>
      </c>
      <c r="CH6" s="156">
        <v>50000</v>
      </c>
      <c r="CI6" s="156" t="s">
        <v>166</v>
      </c>
      <c r="CJ6" s="83" t="str">
        <f t="shared" ref="CJ6:CJ13" si="17">IF(CG6&lt;20,"Below 20",IF(CG6&lt;=25,"20-25",IF(CG6&lt;=30,"26-30",IF(CG6&lt;=35,"31-35","Above 35"))))</f>
        <v>26-30</v>
      </c>
      <c r="CN6" s="68"/>
      <c r="CO6" s="68"/>
      <c r="CP6" s="68"/>
      <c r="CQ6" s="68"/>
      <c r="CR6" s="68"/>
      <c r="CS6" s="68"/>
      <c r="CT6" s="68"/>
      <c r="CU6" s="68"/>
      <c r="CV6" s="68"/>
      <c r="CW6" s="68"/>
      <c r="CX6" s="69"/>
      <c r="DA6" s="185" t="s">
        <v>87</v>
      </c>
      <c r="DB6">
        <v>81</v>
      </c>
      <c r="DJ6" s="67"/>
      <c r="DR6" s="67"/>
    </row>
    <row r="7" spans="1:122" ht="82.5" customHeight="1" thickBot="1" x14ac:dyDescent="0.3">
      <c r="A7" s="41">
        <v>0</v>
      </c>
      <c r="B7" s="41">
        <v>118</v>
      </c>
      <c r="C7" s="41" t="s">
        <v>22</v>
      </c>
      <c r="D7" s="41">
        <v>0</v>
      </c>
      <c r="E7" s="41">
        <v>0</v>
      </c>
      <c r="F7" s="41">
        <v>0</v>
      </c>
      <c r="G7" s="41">
        <v>0</v>
      </c>
      <c r="H7" s="41">
        <v>223.4</v>
      </c>
      <c r="I7" s="41">
        <v>98</v>
      </c>
      <c r="J7" s="41">
        <v>57</v>
      </c>
      <c r="K7" s="41">
        <v>11.03</v>
      </c>
      <c r="L7" s="41">
        <v>6.3</v>
      </c>
      <c r="M7" s="43">
        <f t="shared" si="6"/>
        <v>10.862780491200215</v>
      </c>
      <c r="N7" s="43">
        <f>ROUND(Table1[[#This Row],[SQRT]],2)</f>
        <v>10.86</v>
      </c>
      <c r="O7" s="43">
        <f t="shared" ref="O7:O20" si="18">MIN(H7,I7)</f>
        <v>98</v>
      </c>
      <c r="P7" s="43">
        <f t="shared" si="0"/>
        <v>223.4</v>
      </c>
      <c r="Q7" s="43">
        <f t="shared" si="7"/>
        <v>160.69999999999999</v>
      </c>
      <c r="R7" s="43">
        <f t="shared" si="8"/>
        <v>321.39999999999998</v>
      </c>
      <c r="S7" s="43">
        <f t="shared" si="9"/>
        <v>0</v>
      </c>
      <c r="T7" s="43" t="e">
        <f t="shared" si="10"/>
        <v>#N/A</v>
      </c>
      <c r="U7" s="43" t="str">
        <f t="shared" si="11"/>
        <v>M</v>
      </c>
      <c r="V7" s="43" t="str">
        <f t="shared" si="1"/>
        <v>le</v>
      </c>
      <c r="W7" s="43">
        <f t="shared" si="2"/>
        <v>4</v>
      </c>
      <c r="X7" s="43">
        <v>46118</v>
      </c>
      <c r="Y7" s="43">
        <f t="shared" si="12"/>
        <v>2026</v>
      </c>
      <c r="Z7" s="43">
        <f t="shared" si="3"/>
        <v>4</v>
      </c>
      <c r="AA7" s="43">
        <f t="shared" si="4"/>
        <v>6</v>
      </c>
      <c r="AB7" s="43">
        <f t="shared" si="13"/>
        <v>2</v>
      </c>
      <c r="AC7" s="43">
        <f t="shared" si="14"/>
        <v>46265</v>
      </c>
      <c r="AD7" s="43">
        <f t="shared" si="5"/>
        <v>106</v>
      </c>
      <c r="AF7" s="53" t="s">
        <v>30</v>
      </c>
      <c r="AG7" s="54" t="s">
        <v>33</v>
      </c>
      <c r="AH7" s="54">
        <f t="shared" si="16"/>
        <v>5</v>
      </c>
      <c r="AI7" s="54" t="s">
        <v>41</v>
      </c>
      <c r="AJ7" s="54"/>
      <c r="AK7" s="54"/>
      <c r="AL7" s="54"/>
      <c r="AM7" s="54"/>
      <c r="AN7" s="55"/>
      <c r="AP7" s="56">
        <v>5</v>
      </c>
      <c r="AQ7" s="56" t="s">
        <v>178</v>
      </c>
      <c r="AR7" s="56">
        <v>35</v>
      </c>
      <c r="AS7" s="56" t="s">
        <v>22</v>
      </c>
      <c r="AT7" s="56" t="s">
        <v>179</v>
      </c>
      <c r="AU7" s="56">
        <v>75000</v>
      </c>
      <c r="AV7" s="56" t="s">
        <v>110</v>
      </c>
      <c r="AW7" s="56">
        <v>10</v>
      </c>
      <c r="AX7" s="56" t="s">
        <v>103</v>
      </c>
      <c r="BB7" s="70"/>
      <c r="BC7" s="74">
        <v>105</v>
      </c>
      <c r="BD7" s="74" t="s">
        <v>230</v>
      </c>
      <c r="BE7" s="74">
        <v>19</v>
      </c>
      <c r="BF7" s="74" t="s">
        <v>22</v>
      </c>
      <c r="BG7" s="74" t="s">
        <v>247</v>
      </c>
      <c r="BH7" s="74">
        <v>74</v>
      </c>
      <c r="BI7" s="74">
        <v>78</v>
      </c>
      <c r="BJ7" s="74">
        <v>72</v>
      </c>
      <c r="BK7" s="74">
        <v>89</v>
      </c>
      <c r="BM7" s="82" t="s">
        <v>266</v>
      </c>
      <c r="BN7" s="78">
        <v>823</v>
      </c>
      <c r="BO7" s="78">
        <v>793</v>
      </c>
      <c r="BP7" s="83">
        <v>1616</v>
      </c>
      <c r="BY7" s="67"/>
      <c r="CA7" s="70"/>
      <c r="CB7" s="159">
        <v>4</v>
      </c>
      <c r="CC7" s="156" t="s">
        <v>231</v>
      </c>
      <c r="CD7" s="156" t="s">
        <v>21</v>
      </c>
      <c r="CE7" s="156" t="s">
        <v>99</v>
      </c>
      <c r="CF7" s="156" t="s">
        <v>82</v>
      </c>
      <c r="CG7" s="156">
        <v>27</v>
      </c>
      <c r="CH7" s="156">
        <v>48000</v>
      </c>
      <c r="CI7" s="156" t="s">
        <v>244</v>
      </c>
      <c r="CJ7" s="83" t="str">
        <f t="shared" si="17"/>
        <v>26-30</v>
      </c>
      <c r="DA7" s="188" t="s">
        <v>21</v>
      </c>
      <c r="DB7">
        <v>81</v>
      </c>
      <c r="DJ7" s="67"/>
      <c r="DR7" s="67"/>
    </row>
    <row r="8" spans="1:122" ht="60.75" thickBot="1" x14ac:dyDescent="0.35">
      <c r="A8" s="41">
        <v>0</v>
      </c>
      <c r="B8" s="41">
        <v>121</v>
      </c>
      <c r="C8" s="41" t="s">
        <v>22</v>
      </c>
      <c r="D8" s="41">
        <v>1</v>
      </c>
      <c r="E8" s="41">
        <v>1</v>
      </c>
      <c r="F8" s="41">
        <v>2.0299999999999998</v>
      </c>
      <c r="G8" s="41">
        <v>3</v>
      </c>
      <c r="H8" s="41">
        <v>218.2</v>
      </c>
      <c r="I8" s="41">
        <v>88</v>
      </c>
      <c r="J8" s="41">
        <v>87.3</v>
      </c>
      <c r="K8" s="41">
        <v>17.43</v>
      </c>
      <c r="L8" s="41">
        <v>7.5</v>
      </c>
      <c r="M8" s="43">
        <f t="shared" si="6"/>
        <v>11</v>
      </c>
      <c r="N8" s="43">
        <f>ROUND(Table1[[#This Row],[SQRT]],2)</f>
        <v>11</v>
      </c>
      <c r="O8" s="43">
        <f t="shared" si="18"/>
        <v>88</v>
      </c>
      <c r="P8" s="43">
        <f t="shared" si="0"/>
        <v>218.2</v>
      </c>
      <c r="Q8" s="43">
        <f t="shared" si="7"/>
        <v>153.1</v>
      </c>
      <c r="R8" s="43">
        <f t="shared" si="8"/>
        <v>306.2</v>
      </c>
      <c r="S8" s="43">
        <f t="shared" si="9"/>
        <v>2</v>
      </c>
      <c r="T8" s="43" t="e">
        <f t="shared" si="10"/>
        <v>#N/A</v>
      </c>
      <c r="U8" s="43" t="str">
        <f t="shared" si="11"/>
        <v>M</v>
      </c>
      <c r="V8" s="43" t="str">
        <f t="shared" si="1"/>
        <v>le</v>
      </c>
      <c r="W8" s="43">
        <f t="shared" si="2"/>
        <v>4</v>
      </c>
      <c r="X8" s="43">
        <v>46119</v>
      </c>
      <c r="Y8" s="43">
        <f t="shared" si="12"/>
        <v>2026</v>
      </c>
      <c r="Z8" s="43">
        <f t="shared" si="3"/>
        <v>4</v>
      </c>
      <c r="AA8" s="43">
        <f t="shared" si="4"/>
        <v>7</v>
      </c>
      <c r="AB8" s="43">
        <f t="shared" si="13"/>
        <v>3</v>
      </c>
      <c r="AC8" s="43">
        <f t="shared" si="14"/>
        <v>46265</v>
      </c>
      <c r="AD8" s="43">
        <f t="shared" si="5"/>
        <v>105</v>
      </c>
      <c r="AP8" s="56">
        <v>6</v>
      </c>
      <c r="AQ8" s="56" t="s">
        <v>180</v>
      </c>
      <c r="AR8" s="56">
        <v>24</v>
      </c>
      <c r="AS8" s="56" t="s">
        <v>21</v>
      </c>
      <c r="AT8" s="56" t="s">
        <v>181</v>
      </c>
      <c r="AU8" s="56">
        <v>32000</v>
      </c>
      <c r="AV8" s="56" t="s">
        <v>106</v>
      </c>
      <c r="AW8" s="56">
        <v>1</v>
      </c>
      <c r="AX8" s="56" t="s">
        <v>112</v>
      </c>
      <c r="BB8" s="70"/>
      <c r="BC8" s="74">
        <v>106</v>
      </c>
      <c r="BD8" s="74" t="s">
        <v>233</v>
      </c>
      <c r="BE8" s="74">
        <v>18</v>
      </c>
      <c r="BF8" s="74" t="s">
        <v>21</v>
      </c>
      <c r="BG8" s="74" t="s">
        <v>258</v>
      </c>
      <c r="BH8" s="74">
        <v>88</v>
      </c>
      <c r="BI8" s="74">
        <v>84</v>
      </c>
      <c r="BJ8" s="74">
        <v>86</v>
      </c>
      <c r="BK8" s="74">
        <v>94</v>
      </c>
      <c r="BM8" s="82" t="s">
        <v>166</v>
      </c>
      <c r="BN8" s="78">
        <v>82.3</v>
      </c>
      <c r="BO8" s="78">
        <v>79.3</v>
      </c>
      <c r="BP8" s="83">
        <v>80.8</v>
      </c>
      <c r="BR8" s="101" t="s">
        <v>302</v>
      </c>
      <c r="BY8" s="67"/>
      <c r="CA8" s="70"/>
      <c r="CB8" s="159">
        <v>5</v>
      </c>
      <c r="CC8" s="156" t="s">
        <v>232</v>
      </c>
      <c r="CD8" s="156" t="s">
        <v>22</v>
      </c>
      <c r="CE8" s="156" t="s">
        <v>84</v>
      </c>
      <c r="CF8" s="156" t="s">
        <v>92</v>
      </c>
      <c r="CG8" s="156">
        <v>35</v>
      </c>
      <c r="CH8" s="156">
        <v>55000</v>
      </c>
      <c r="CI8" s="156" t="s">
        <v>243</v>
      </c>
      <c r="CJ8" s="83" t="str">
        <f t="shared" si="17"/>
        <v>31-35</v>
      </c>
      <c r="CL8" s="211" t="s">
        <v>349</v>
      </c>
      <c r="CM8" s="144" t="s">
        <v>352</v>
      </c>
      <c r="CN8" s="66"/>
      <c r="CO8" s="66"/>
      <c r="CP8" s="66"/>
      <c r="CQ8" s="66"/>
      <c r="CR8" s="66"/>
      <c r="CS8" s="66"/>
      <c r="CT8" s="66"/>
      <c r="CU8" s="66"/>
      <c r="CV8" s="66"/>
      <c r="CW8" s="66"/>
      <c r="CX8" s="66"/>
      <c r="CY8" s="21"/>
      <c r="DA8" s="185" t="s">
        <v>82</v>
      </c>
      <c r="DB8">
        <v>83</v>
      </c>
      <c r="DJ8" s="67"/>
      <c r="DR8" s="67"/>
    </row>
    <row r="9" spans="1:122" ht="30" x14ac:dyDescent="0.25">
      <c r="A9" s="41">
        <v>0</v>
      </c>
      <c r="B9" s="41">
        <v>147</v>
      </c>
      <c r="C9" s="41" t="s">
        <v>22</v>
      </c>
      <c r="D9" s="41">
        <v>0</v>
      </c>
      <c r="E9" s="41">
        <v>0</v>
      </c>
      <c r="F9" s="41">
        <v>0</v>
      </c>
      <c r="G9" s="41">
        <v>0</v>
      </c>
      <c r="H9" s="41">
        <v>157</v>
      </c>
      <c r="I9" s="41">
        <v>79</v>
      </c>
      <c r="J9" s="41">
        <v>36</v>
      </c>
      <c r="K9" s="41">
        <v>5.16</v>
      </c>
      <c r="L9" s="41">
        <v>7.1</v>
      </c>
      <c r="M9" s="43">
        <f t="shared" si="6"/>
        <v>12.124355652982141</v>
      </c>
      <c r="N9" s="43">
        <f>ROUND(Table1[[#This Row],[SQRT]],2)</f>
        <v>12.12</v>
      </c>
      <c r="O9" s="43">
        <f t="shared" si="18"/>
        <v>79</v>
      </c>
      <c r="P9" s="43">
        <f t="shared" si="0"/>
        <v>157</v>
      </c>
      <c r="Q9" s="43">
        <f t="shared" si="7"/>
        <v>118</v>
      </c>
      <c r="R9" s="43">
        <f t="shared" si="8"/>
        <v>236</v>
      </c>
      <c r="S9" s="43">
        <f t="shared" si="9"/>
        <v>0</v>
      </c>
      <c r="T9" s="43" t="e">
        <f t="shared" si="10"/>
        <v>#N/A</v>
      </c>
      <c r="U9" s="43" t="str">
        <f t="shared" si="11"/>
        <v>M</v>
      </c>
      <c r="V9" s="43" t="str">
        <f t="shared" si="1"/>
        <v>le</v>
      </c>
      <c r="W9" s="43">
        <f t="shared" si="2"/>
        <v>4</v>
      </c>
      <c r="X9" s="43">
        <v>46120</v>
      </c>
      <c r="Y9" s="43">
        <f t="shared" si="12"/>
        <v>2026</v>
      </c>
      <c r="Z9" s="43">
        <f t="shared" si="3"/>
        <v>4</v>
      </c>
      <c r="AA9" s="43">
        <f t="shared" si="4"/>
        <v>8</v>
      </c>
      <c r="AB9" s="43">
        <f t="shared" si="13"/>
        <v>4</v>
      </c>
      <c r="AC9" s="43">
        <f t="shared" si="14"/>
        <v>46265</v>
      </c>
      <c r="AD9" s="43">
        <f t="shared" si="5"/>
        <v>104</v>
      </c>
      <c r="AP9" s="56">
        <v>7</v>
      </c>
      <c r="AQ9" s="56" t="s">
        <v>182</v>
      </c>
      <c r="AR9" s="56">
        <v>32</v>
      </c>
      <c r="AS9" s="56" t="s">
        <v>22</v>
      </c>
      <c r="AT9" s="56" t="s">
        <v>183</v>
      </c>
      <c r="AU9" s="56">
        <v>68000</v>
      </c>
      <c r="AV9" s="56" t="s">
        <v>82</v>
      </c>
      <c r="AW9" s="56">
        <v>8</v>
      </c>
      <c r="AX9" s="56" t="s">
        <v>184</v>
      </c>
      <c r="BB9" s="70"/>
      <c r="BC9" s="74">
        <v>107</v>
      </c>
      <c r="BD9" s="74" t="s">
        <v>259</v>
      </c>
      <c r="BE9" s="74">
        <v>20</v>
      </c>
      <c r="BF9" s="74" t="s">
        <v>22</v>
      </c>
      <c r="BG9" s="74" t="s">
        <v>198</v>
      </c>
      <c r="BH9" s="74">
        <v>55</v>
      </c>
      <c r="BI9" s="74">
        <v>60</v>
      </c>
      <c r="BJ9" s="74">
        <v>58</v>
      </c>
      <c r="BK9" s="74">
        <v>80</v>
      </c>
      <c r="BM9" s="82" t="s">
        <v>267</v>
      </c>
      <c r="BN9" s="78">
        <v>142.01111111111175</v>
      </c>
      <c r="BO9" s="78">
        <v>149.56666666666649</v>
      </c>
      <c r="BP9" s="83">
        <v>140.48421052631565</v>
      </c>
      <c r="BR9" s="79"/>
      <c r="BS9" s="80" t="s">
        <v>278</v>
      </c>
      <c r="BT9" s="80" t="s">
        <v>279</v>
      </c>
      <c r="BU9" s="81" t="s">
        <v>280</v>
      </c>
      <c r="BY9" s="67"/>
      <c r="CA9" s="70"/>
      <c r="CB9" s="159">
        <v>6</v>
      </c>
      <c r="CC9" s="156" t="s">
        <v>233</v>
      </c>
      <c r="CD9" s="156" t="s">
        <v>21</v>
      </c>
      <c r="CE9" s="156" t="s">
        <v>94</v>
      </c>
      <c r="CF9" s="156" t="s">
        <v>87</v>
      </c>
      <c r="CG9" s="156">
        <v>29</v>
      </c>
      <c r="CH9" s="156">
        <v>42000</v>
      </c>
      <c r="CI9" s="156" t="s">
        <v>244</v>
      </c>
      <c r="CJ9" s="83" t="str">
        <f t="shared" si="17"/>
        <v>26-30</v>
      </c>
      <c r="CL9" s="215" t="s">
        <v>97</v>
      </c>
      <c r="CM9" s="212">
        <v>97000</v>
      </c>
      <c r="CY9" s="67"/>
      <c r="DA9" s="188" t="s">
        <v>21</v>
      </c>
      <c r="DB9">
        <v>27</v>
      </c>
      <c r="DJ9" s="67"/>
      <c r="DR9" s="67"/>
    </row>
    <row r="10" spans="1:122" ht="34.5" x14ac:dyDescent="0.55000000000000004">
      <c r="A10" s="41">
        <v>0</v>
      </c>
      <c r="B10" s="41">
        <v>117</v>
      </c>
      <c r="C10" s="41" t="s">
        <v>22</v>
      </c>
      <c r="D10" s="41">
        <v>1</v>
      </c>
      <c r="E10" s="41">
        <v>0</v>
      </c>
      <c r="F10" s="41">
        <v>0.19</v>
      </c>
      <c r="G10" s="41">
        <v>1</v>
      </c>
      <c r="H10" s="41">
        <v>184.5</v>
      </c>
      <c r="I10" s="41">
        <v>97</v>
      </c>
      <c r="J10" s="41">
        <v>63.9</v>
      </c>
      <c r="K10" s="41">
        <v>17.579999999999998</v>
      </c>
      <c r="L10" s="41">
        <v>8.6999999999999993</v>
      </c>
      <c r="M10" s="43">
        <f t="shared" si="6"/>
        <v>10.816653826391969</v>
      </c>
      <c r="N10" s="43">
        <f>ROUND(Table1[[#This Row],[SQRT]],2)</f>
        <v>10.82</v>
      </c>
      <c r="O10" s="43">
        <f t="shared" si="18"/>
        <v>97</v>
      </c>
      <c r="P10" s="43">
        <f t="shared" si="0"/>
        <v>184.5</v>
      </c>
      <c r="Q10" s="43">
        <f t="shared" si="7"/>
        <v>140.75</v>
      </c>
      <c r="R10" s="43">
        <f t="shared" si="8"/>
        <v>281.5</v>
      </c>
      <c r="S10" s="43">
        <f t="shared" si="9"/>
        <v>1</v>
      </c>
      <c r="T10" s="43" t="e">
        <f t="shared" si="10"/>
        <v>#N/A</v>
      </c>
      <c r="U10" s="43" t="str">
        <f t="shared" si="11"/>
        <v>M</v>
      </c>
      <c r="V10" s="43" t="str">
        <f t="shared" si="1"/>
        <v>le</v>
      </c>
      <c r="W10" s="43">
        <f t="shared" si="2"/>
        <v>4</v>
      </c>
      <c r="X10" s="43">
        <v>46121</v>
      </c>
      <c r="Y10" s="43">
        <f t="shared" si="12"/>
        <v>2026</v>
      </c>
      <c r="Z10" s="43">
        <f t="shared" si="3"/>
        <v>4</v>
      </c>
      <c r="AA10" s="43">
        <f t="shared" si="4"/>
        <v>9</v>
      </c>
      <c r="AB10" s="43">
        <f t="shared" si="13"/>
        <v>5</v>
      </c>
      <c r="AC10" s="43">
        <f t="shared" si="14"/>
        <v>46265</v>
      </c>
      <c r="AD10" s="43">
        <f t="shared" si="5"/>
        <v>103</v>
      </c>
      <c r="AE10" s="5"/>
      <c r="AP10" s="56">
        <v>8</v>
      </c>
      <c r="AQ10" s="56" t="s">
        <v>185</v>
      </c>
      <c r="AR10" s="56">
        <v>29</v>
      </c>
      <c r="AS10" s="56" t="s">
        <v>21</v>
      </c>
      <c r="AT10" s="56" t="s">
        <v>186</v>
      </c>
      <c r="AU10" s="56">
        <v>50000</v>
      </c>
      <c r="AV10" s="56" t="s">
        <v>187</v>
      </c>
      <c r="AW10" s="56">
        <v>5</v>
      </c>
      <c r="AX10" s="56" t="s">
        <v>123</v>
      </c>
      <c r="BB10" s="70"/>
      <c r="BC10" s="74">
        <v>108</v>
      </c>
      <c r="BD10" s="74" t="s">
        <v>260</v>
      </c>
      <c r="BE10" s="74">
        <v>19</v>
      </c>
      <c r="BF10" s="74" t="s">
        <v>21</v>
      </c>
      <c r="BG10" s="74" t="s">
        <v>201</v>
      </c>
      <c r="BH10" s="74">
        <v>90</v>
      </c>
      <c r="BI10" s="74">
        <v>93</v>
      </c>
      <c r="BJ10" s="74">
        <v>89</v>
      </c>
      <c r="BK10" s="74">
        <v>97</v>
      </c>
      <c r="BM10" s="82"/>
      <c r="BN10" s="78"/>
      <c r="BO10" s="78"/>
      <c r="BP10" s="83"/>
      <c r="BR10" s="82" t="s">
        <v>278</v>
      </c>
      <c r="BS10" s="78">
        <f>VARP(telecom_churn!$BH$3:$BH$12)</f>
        <v>154.05000000000001</v>
      </c>
      <c r="BT10" s="78"/>
      <c r="BU10" s="83"/>
      <c r="BY10" s="67"/>
      <c r="CA10" s="70"/>
      <c r="CB10" s="159">
        <v>7</v>
      </c>
      <c r="CC10" s="156" t="s">
        <v>346</v>
      </c>
      <c r="CD10" s="156" t="s">
        <v>22</v>
      </c>
      <c r="CE10" s="156" t="s">
        <v>89</v>
      </c>
      <c r="CF10" s="156" t="s">
        <v>82</v>
      </c>
      <c r="CG10" s="156">
        <v>31</v>
      </c>
      <c r="CH10" s="156">
        <v>60000</v>
      </c>
      <c r="CI10" s="156" t="s">
        <v>243</v>
      </c>
      <c r="CJ10" s="83" t="str">
        <f t="shared" si="17"/>
        <v>31-35</v>
      </c>
      <c r="CL10" s="214" t="s">
        <v>87</v>
      </c>
      <c r="CM10" s="208">
        <v>121000</v>
      </c>
      <c r="CY10" s="67"/>
      <c r="DA10" s="188" t="s">
        <v>22</v>
      </c>
      <c r="DB10">
        <v>56</v>
      </c>
      <c r="DJ10" s="67"/>
      <c r="DR10" s="67"/>
    </row>
    <row r="11" spans="1:122" ht="30.75" thickBot="1" x14ac:dyDescent="0.3">
      <c r="A11" s="41">
        <v>0</v>
      </c>
      <c r="B11" s="41">
        <v>141</v>
      </c>
      <c r="C11" s="41" t="s">
        <v>21</v>
      </c>
      <c r="D11" s="41">
        <v>0</v>
      </c>
      <c r="E11" s="41">
        <v>1</v>
      </c>
      <c r="F11" s="41">
        <v>3.02</v>
      </c>
      <c r="G11" s="41">
        <v>0</v>
      </c>
      <c r="H11" s="41">
        <v>258.60000000000002</v>
      </c>
      <c r="I11" s="41">
        <v>84</v>
      </c>
      <c r="J11" s="41">
        <v>93.2</v>
      </c>
      <c r="K11" s="41">
        <v>11.1</v>
      </c>
      <c r="L11" s="41">
        <v>11.2</v>
      </c>
      <c r="M11" s="43">
        <f t="shared" si="6"/>
        <v>11.874342087037917</v>
      </c>
      <c r="N11" s="43">
        <f>ROUND(Table1[[#This Row],[SQRT]],2)</f>
        <v>11.87</v>
      </c>
      <c r="O11" s="43">
        <f t="shared" si="18"/>
        <v>84</v>
      </c>
      <c r="P11" s="43">
        <f t="shared" si="0"/>
        <v>258.60000000000002</v>
      </c>
      <c r="Q11" s="43">
        <f t="shared" si="7"/>
        <v>171.3</v>
      </c>
      <c r="R11" s="43">
        <f t="shared" si="8"/>
        <v>342.6</v>
      </c>
      <c r="S11" s="43">
        <f t="shared" si="9"/>
        <v>0</v>
      </c>
      <c r="T11" s="43" t="e">
        <f t="shared" si="10"/>
        <v>#N/A</v>
      </c>
      <c r="U11" s="43" t="str">
        <f t="shared" si="11"/>
        <v>F</v>
      </c>
      <c r="V11" s="43" t="str">
        <f t="shared" si="1"/>
        <v>le</v>
      </c>
      <c r="W11" s="43">
        <f t="shared" si="2"/>
        <v>6</v>
      </c>
      <c r="X11" s="43">
        <v>46122</v>
      </c>
      <c r="Y11" s="43">
        <f t="shared" si="12"/>
        <v>2026</v>
      </c>
      <c r="Z11" s="43">
        <f t="shared" si="3"/>
        <v>4</v>
      </c>
      <c r="AA11" s="43">
        <f t="shared" si="4"/>
        <v>10</v>
      </c>
      <c r="AB11" s="43">
        <f t="shared" si="13"/>
        <v>6</v>
      </c>
      <c r="AC11" s="43">
        <f t="shared" si="14"/>
        <v>46265</v>
      </c>
      <c r="AD11" s="43">
        <f t="shared" si="5"/>
        <v>102</v>
      </c>
      <c r="AP11" s="56">
        <v>9</v>
      </c>
      <c r="AQ11" s="56" t="s">
        <v>188</v>
      </c>
      <c r="AR11" s="56">
        <v>40</v>
      </c>
      <c r="AS11" s="56" t="s">
        <v>22</v>
      </c>
      <c r="AT11" s="56" t="s">
        <v>189</v>
      </c>
      <c r="AU11" s="56">
        <v>90000</v>
      </c>
      <c r="AV11" s="56" t="s">
        <v>190</v>
      </c>
      <c r="AW11" s="56">
        <v>15</v>
      </c>
      <c r="AX11" s="56" t="s">
        <v>191</v>
      </c>
      <c r="BB11" s="70"/>
      <c r="BC11" s="74">
        <v>109</v>
      </c>
      <c r="BD11" s="74" t="s">
        <v>261</v>
      </c>
      <c r="BE11" s="74">
        <v>18</v>
      </c>
      <c r="BF11" s="74" t="s">
        <v>22</v>
      </c>
      <c r="BG11" s="74" t="s">
        <v>247</v>
      </c>
      <c r="BH11" s="74">
        <v>72</v>
      </c>
      <c r="BI11" s="74">
        <v>75</v>
      </c>
      <c r="BJ11" s="74">
        <v>70</v>
      </c>
      <c r="BK11" s="74">
        <v>88</v>
      </c>
      <c r="BM11" s="91" t="s">
        <v>292</v>
      </c>
      <c r="BN11" s="87"/>
      <c r="BO11" s="87"/>
      <c r="BP11" s="83"/>
      <c r="BR11" s="82" t="s">
        <v>279</v>
      </c>
      <c r="BS11" s="78">
        <v>137.94999999999999</v>
      </c>
      <c r="BT11" s="78">
        <f>VARP(telecom_churn!$BI$3:$BI$12)</f>
        <v>127.81</v>
      </c>
      <c r="BU11" s="83"/>
      <c r="BY11" s="67"/>
      <c r="CA11" s="70"/>
      <c r="CB11" s="159">
        <v>8</v>
      </c>
      <c r="CC11" s="156" t="s">
        <v>235</v>
      </c>
      <c r="CD11" s="156" t="s">
        <v>21</v>
      </c>
      <c r="CE11" s="156" t="s">
        <v>99</v>
      </c>
      <c r="CF11" s="156" t="s">
        <v>97</v>
      </c>
      <c r="CG11" s="156">
        <v>26</v>
      </c>
      <c r="CH11" s="156">
        <v>47000</v>
      </c>
      <c r="CI11" s="156" t="s">
        <v>166</v>
      </c>
      <c r="CJ11" s="83" t="str">
        <f t="shared" si="17"/>
        <v>26-30</v>
      </c>
      <c r="CL11" s="214" t="s">
        <v>82</v>
      </c>
      <c r="CM11" s="208">
        <v>153000</v>
      </c>
      <c r="CY11" s="67"/>
      <c r="DA11" s="185" t="s">
        <v>92</v>
      </c>
      <c r="DB11">
        <v>68</v>
      </c>
      <c r="DJ11" s="67"/>
      <c r="DR11" s="67"/>
    </row>
    <row r="12" spans="1:122" ht="30.75" thickBot="1" x14ac:dyDescent="0.55000000000000004">
      <c r="A12" s="41">
        <v>1</v>
      </c>
      <c r="B12" s="41">
        <v>65</v>
      </c>
      <c r="C12" s="41" t="s">
        <v>21</v>
      </c>
      <c r="D12" s="41">
        <v>1</v>
      </c>
      <c r="E12" s="41">
        <v>0</v>
      </c>
      <c r="F12" s="41">
        <v>0.28999999999999998</v>
      </c>
      <c r="G12" s="41">
        <v>4</v>
      </c>
      <c r="H12" s="41">
        <v>129.1</v>
      </c>
      <c r="I12" s="41">
        <v>137</v>
      </c>
      <c r="J12" s="41">
        <v>44.9</v>
      </c>
      <c r="K12" s="41">
        <v>11.43</v>
      </c>
      <c r="L12" s="41">
        <v>12.7</v>
      </c>
      <c r="M12" s="43">
        <f t="shared" si="6"/>
        <v>8.0622577482985491</v>
      </c>
      <c r="N12" s="43">
        <f>ROUND(Table1[[#This Row],[SQRT]],2)</f>
        <v>8.06</v>
      </c>
      <c r="O12" s="43">
        <f t="shared" si="18"/>
        <v>129.1</v>
      </c>
      <c r="P12" s="43">
        <f t="shared" si="0"/>
        <v>137</v>
      </c>
      <c r="Q12" s="43">
        <f t="shared" si="7"/>
        <v>133.05000000000001</v>
      </c>
      <c r="R12" s="43">
        <f t="shared" si="8"/>
        <v>266.10000000000002</v>
      </c>
      <c r="S12" s="43">
        <f t="shared" si="9"/>
        <v>2.5</v>
      </c>
      <c r="T12" s="43" t="e">
        <f t="shared" si="10"/>
        <v>#N/A</v>
      </c>
      <c r="U12" s="43" t="str">
        <f t="shared" si="11"/>
        <v>F</v>
      </c>
      <c r="V12" s="43" t="str">
        <f t="shared" si="1"/>
        <v>le</v>
      </c>
      <c r="W12" s="43">
        <f t="shared" si="2"/>
        <v>6</v>
      </c>
      <c r="X12" s="43">
        <v>46123</v>
      </c>
      <c r="Y12" s="43">
        <f t="shared" si="12"/>
        <v>2026</v>
      </c>
      <c r="Z12" s="43">
        <f t="shared" si="3"/>
        <v>4</v>
      </c>
      <c r="AA12" s="43">
        <f t="shared" si="4"/>
        <v>11</v>
      </c>
      <c r="AB12" s="43">
        <f t="shared" si="13"/>
        <v>7</v>
      </c>
      <c r="AC12" s="43">
        <f t="shared" si="14"/>
        <v>46265</v>
      </c>
      <c r="AD12" s="43">
        <f t="shared" si="5"/>
        <v>101</v>
      </c>
      <c r="AF12" s="109" t="s">
        <v>68</v>
      </c>
      <c r="AG12" s="96"/>
      <c r="AH12" s="96"/>
      <c r="AI12" s="97"/>
      <c r="AP12" s="56">
        <v>10</v>
      </c>
      <c r="AQ12" s="56" t="s">
        <v>192</v>
      </c>
      <c r="AR12" s="56">
        <v>26</v>
      </c>
      <c r="AS12" s="56" t="s">
        <v>21</v>
      </c>
      <c r="AT12" s="56" t="s">
        <v>193</v>
      </c>
      <c r="AU12" s="56">
        <v>45000</v>
      </c>
      <c r="AV12" s="56" t="s">
        <v>194</v>
      </c>
      <c r="AW12" s="56">
        <v>3</v>
      </c>
      <c r="AX12" s="56" t="s">
        <v>195</v>
      </c>
      <c r="BB12" s="70"/>
      <c r="BC12" s="74">
        <v>110</v>
      </c>
      <c r="BD12" s="74" t="s">
        <v>262</v>
      </c>
      <c r="BE12" s="74">
        <v>20</v>
      </c>
      <c r="BF12" s="74" t="s">
        <v>21</v>
      </c>
      <c r="BG12" s="74" t="s">
        <v>198</v>
      </c>
      <c r="BH12" s="74">
        <v>96</v>
      </c>
      <c r="BI12" s="74">
        <v>98</v>
      </c>
      <c r="BJ12" s="74">
        <v>94</v>
      </c>
      <c r="BK12" s="74">
        <v>99</v>
      </c>
      <c r="BM12" s="82" t="s">
        <v>265</v>
      </c>
      <c r="BN12" s="78">
        <v>10</v>
      </c>
      <c r="BO12" s="78">
        <v>10</v>
      </c>
      <c r="BP12" s="83"/>
      <c r="BR12" s="84" t="s">
        <v>280</v>
      </c>
      <c r="BS12" s="85">
        <v>140.84999999999997</v>
      </c>
      <c r="BT12" s="85">
        <v>127.00999999999999</v>
      </c>
      <c r="BU12" s="86">
        <f>VARP(telecom_churn!$BJ$3:$BJ$12)</f>
        <v>134.61000000000001</v>
      </c>
      <c r="BY12" s="67"/>
      <c r="CA12" s="70"/>
      <c r="CB12" s="159">
        <v>9</v>
      </c>
      <c r="CC12" s="156" t="s">
        <v>347</v>
      </c>
      <c r="CD12" s="156" t="s">
        <v>22</v>
      </c>
      <c r="CE12" s="156" t="s">
        <v>84</v>
      </c>
      <c r="CF12" s="156" t="s">
        <v>92</v>
      </c>
      <c r="CG12" s="156">
        <v>33</v>
      </c>
      <c r="CH12" s="156">
        <v>53000</v>
      </c>
      <c r="CI12" s="156" t="s">
        <v>244</v>
      </c>
      <c r="CJ12" s="83" t="str">
        <f t="shared" si="17"/>
        <v>31-35</v>
      </c>
      <c r="CL12" s="210" t="s">
        <v>92</v>
      </c>
      <c r="CM12" s="208">
        <v>108000</v>
      </c>
      <c r="CY12" s="67"/>
      <c r="DA12" s="188" t="s">
        <v>22</v>
      </c>
      <c r="DB12">
        <v>68</v>
      </c>
      <c r="DJ12" s="67"/>
      <c r="DR12" s="67"/>
    </row>
    <row r="13" spans="1:122" ht="30.75" thickBot="1" x14ac:dyDescent="0.55000000000000004">
      <c r="A13" s="41">
        <v>0</v>
      </c>
      <c r="B13" s="41">
        <v>74</v>
      </c>
      <c r="C13" s="41" t="s">
        <v>21</v>
      </c>
      <c r="D13" s="41">
        <v>1</v>
      </c>
      <c r="E13" s="41">
        <v>0</v>
      </c>
      <c r="F13" s="41">
        <v>0.34</v>
      </c>
      <c r="G13" s="41">
        <v>0</v>
      </c>
      <c r="H13" s="41">
        <v>187.7</v>
      </c>
      <c r="I13" s="41">
        <v>127</v>
      </c>
      <c r="J13" s="41">
        <v>49.4</v>
      </c>
      <c r="K13" s="41">
        <v>8.17</v>
      </c>
      <c r="L13" s="41">
        <v>9.1</v>
      </c>
      <c r="M13" s="43">
        <f t="shared" si="6"/>
        <v>8.6023252670426267</v>
      </c>
      <c r="N13" s="43">
        <f>ROUND(Table1[[#This Row],[SQRT]],2)</f>
        <v>8.6</v>
      </c>
      <c r="O13" s="43">
        <f t="shared" si="18"/>
        <v>127</v>
      </c>
      <c r="P13" s="43">
        <f t="shared" si="0"/>
        <v>187.7</v>
      </c>
      <c r="Q13" s="43">
        <f t="shared" si="7"/>
        <v>157.35</v>
      </c>
      <c r="R13" s="43">
        <f t="shared" si="8"/>
        <v>314.7</v>
      </c>
      <c r="S13" s="43">
        <f t="shared" si="9"/>
        <v>0.5</v>
      </c>
      <c r="T13" s="43" t="e">
        <f t="shared" si="10"/>
        <v>#N/A</v>
      </c>
      <c r="U13" s="43" t="str">
        <f t="shared" si="11"/>
        <v>F</v>
      </c>
      <c r="V13" s="43" t="str">
        <f t="shared" si="1"/>
        <v>le</v>
      </c>
      <c r="W13" s="43">
        <f t="shared" si="2"/>
        <v>6</v>
      </c>
      <c r="X13" s="43">
        <v>46124</v>
      </c>
      <c r="Y13" s="43">
        <f t="shared" si="12"/>
        <v>2026</v>
      </c>
      <c r="Z13" s="43">
        <f t="shared" si="3"/>
        <v>4</v>
      </c>
      <c r="AA13" s="43">
        <f t="shared" si="4"/>
        <v>12</v>
      </c>
      <c r="AB13" s="43">
        <f t="shared" si="13"/>
        <v>1</v>
      </c>
      <c r="AC13" s="43">
        <f t="shared" si="14"/>
        <v>46265</v>
      </c>
      <c r="AD13" s="43">
        <f t="shared" si="5"/>
        <v>101</v>
      </c>
      <c r="AF13" s="19"/>
      <c r="AP13" s="56">
        <v>11</v>
      </c>
      <c r="AQ13" s="56" t="s">
        <v>196</v>
      </c>
      <c r="AR13" s="56">
        <v>31</v>
      </c>
      <c r="AS13" s="56" t="s">
        <v>22</v>
      </c>
      <c r="AT13" s="56" t="s">
        <v>197</v>
      </c>
      <c r="AU13" s="56">
        <v>52000</v>
      </c>
      <c r="AV13" s="56" t="s">
        <v>82</v>
      </c>
      <c r="AW13" s="56">
        <v>7</v>
      </c>
      <c r="AX13" s="56" t="s">
        <v>198</v>
      </c>
      <c r="BA13">
        <v>30</v>
      </c>
      <c r="BB13" s="70"/>
      <c r="BM13" s="82" t="s">
        <v>266</v>
      </c>
      <c r="BN13" s="78">
        <v>823</v>
      </c>
      <c r="BO13" s="78">
        <v>793</v>
      </c>
      <c r="BP13" s="83"/>
      <c r="BY13" s="67"/>
      <c r="CA13" s="70"/>
      <c r="CB13" s="189">
        <v>10</v>
      </c>
      <c r="CC13" s="190" t="s">
        <v>348</v>
      </c>
      <c r="CD13" s="190" t="s">
        <v>21</v>
      </c>
      <c r="CE13" s="190" t="s">
        <v>89</v>
      </c>
      <c r="CF13" s="190" t="s">
        <v>87</v>
      </c>
      <c r="CG13" s="190">
        <v>24</v>
      </c>
      <c r="CH13" s="190">
        <v>39000</v>
      </c>
      <c r="CI13" s="190" t="s">
        <v>243</v>
      </c>
      <c r="CJ13" s="86" t="str">
        <f t="shared" si="17"/>
        <v>20-25</v>
      </c>
      <c r="CL13" s="213" t="s">
        <v>350</v>
      </c>
      <c r="CM13" s="209">
        <v>479000</v>
      </c>
      <c r="CN13" s="68"/>
      <c r="CO13" s="68"/>
      <c r="CP13" s="68"/>
      <c r="CQ13" s="68"/>
      <c r="CR13" s="68"/>
      <c r="CS13" s="68"/>
      <c r="CT13" s="68"/>
      <c r="CU13" s="68"/>
      <c r="CV13" s="68"/>
      <c r="CW13" s="68"/>
      <c r="CX13" s="68"/>
      <c r="CY13" s="69"/>
      <c r="DA13" s="187" t="s">
        <v>350</v>
      </c>
      <c r="DB13" s="68">
        <v>288</v>
      </c>
      <c r="DC13" s="68"/>
      <c r="DD13" s="68"/>
      <c r="DE13" s="68"/>
      <c r="DF13" s="68"/>
      <c r="DG13" s="68"/>
      <c r="DH13" s="68"/>
      <c r="DI13" s="68"/>
      <c r="DJ13" s="69"/>
      <c r="DR13" s="67"/>
    </row>
    <row r="14" spans="1:122" ht="30.75" thickBot="1" x14ac:dyDescent="0.35">
      <c r="A14" s="41">
        <v>0</v>
      </c>
      <c r="B14" s="41">
        <v>168</v>
      </c>
      <c r="C14" s="41" t="s">
        <v>21</v>
      </c>
      <c r="D14" s="41">
        <v>1</v>
      </c>
      <c r="E14" s="41">
        <v>0</v>
      </c>
      <c r="F14" s="41">
        <v>0</v>
      </c>
      <c r="G14" s="41">
        <v>1</v>
      </c>
      <c r="H14" s="41">
        <v>128.80000000000001</v>
      </c>
      <c r="I14" s="41">
        <v>96</v>
      </c>
      <c r="J14" s="41">
        <v>31</v>
      </c>
      <c r="K14" s="41">
        <v>5.25</v>
      </c>
      <c r="L14" s="41">
        <v>11.2</v>
      </c>
      <c r="M14" s="43">
        <f t="shared" si="6"/>
        <v>12.961481396815721</v>
      </c>
      <c r="N14" s="43">
        <f>ROUND(Table1[[#This Row],[SQRT]],2)</f>
        <v>12.96</v>
      </c>
      <c r="O14" s="43">
        <f t="shared" si="18"/>
        <v>96</v>
      </c>
      <c r="P14" s="43">
        <f t="shared" si="0"/>
        <v>128.80000000000001</v>
      </c>
      <c r="Q14" s="43">
        <f t="shared" si="7"/>
        <v>112.4</v>
      </c>
      <c r="R14" s="43">
        <f t="shared" si="8"/>
        <v>224.8</v>
      </c>
      <c r="S14" s="43">
        <f t="shared" si="9"/>
        <v>1</v>
      </c>
      <c r="T14" s="43" t="e">
        <f t="shared" si="10"/>
        <v>#N/A</v>
      </c>
      <c r="U14" s="43" t="str">
        <f t="shared" si="11"/>
        <v>F</v>
      </c>
      <c r="V14" s="43" t="str">
        <f t="shared" si="1"/>
        <v>le</v>
      </c>
      <c r="W14" s="43">
        <f t="shared" si="2"/>
        <v>6</v>
      </c>
      <c r="X14" s="43">
        <v>46125</v>
      </c>
      <c r="Y14" s="43">
        <f t="shared" si="12"/>
        <v>2026</v>
      </c>
      <c r="Z14" s="43">
        <f t="shared" si="3"/>
        <v>4</v>
      </c>
      <c r="AA14" s="43">
        <f t="shared" si="4"/>
        <v>13</v>
      </c>
      <c r="AB14" s="43">
        <f t="shared" si="13"/>
        <v>2</v>
      </c>
      <c r="AC14" s="43">
        <f t="shared" si="14"/>
        <v>46265</v>
      </c>
      <c r="AD14" s="43">
        <f t="shared" si="5"/>
        <v>101</v>
      </c>
      <c r="AF14" s="10" t="s">
        <v>48</v>
      </c>
      <c r="AG14" s="11" t="s">
        <v>49</v>
      </c>
      <c r="AH14" s="11" t="s">
        <v>50</v>
      </c>
      <c r="AI14" s="11" t="s">
        <v>12</v>
      </c>
      <c r="AJ14" s="11" t="s">
        <v>52</v>
      </c>
      <c r="AK14" s="12" t="s">
        <v>51</v>
      </c>
      <c r="AP14" s="56">
        <v>12</v>
      </c>
      <c r="AQ14" s="56" t="s">
        <v>199</v>
      </c>
      <c r="AR14" s="56">
        <v>23</v>
      </c>
      <c r="AS14" s="56" t="s">
        <v>21</v>
      </c>
      <c r="AT14" s="56" t="s">
        <v>200</v>
      </c>
      <c r="AU14" s="56">
        <v>28000</v>
      </c>
      <c r="AV14" s="56" t="s">
        <v>106</v>
      </c>
      <c r="AW14" s="56">
        <v>1</v>
      </c>
      <c r="AX14" s="56" t="s">
        <v>201</v>
      </c>
      <c r="BB14" s="70"/>
      <c r="BD14" s="286" t="s">
        <v>293</v>
      </c>
      <c r="BE14" s="287"/>
      <c r="BF14" s="287"/>
      <c r="BG14" s="287"/>
      <c r="BH14" s="288"/>
      <c r="BM14" s="82" t="s">
        <v>166</v>
      </c>
      <c r="BN14" s="78">
        <v>82.3</v>
      </c>
      <c r="BO14" s="78">
        <v>79.3</v>
      </c>
      <c r="BP14" s="83"/>
      <c r="BY14" s="67"/>
      <c r="CA14" s="70"/>
      <c r="DR14" s="67"/>
    </row>
    <row r="15" spans="1:122" ht="45.75" thickBot="1" x14ac:dyDescent="0.3">
      <c r="A15" s="41">
        <v>0</v>
      </c>
      <c r="B15" s="41">
        <v>95</v>
      </c>
      <c r="C15" s="41" t="s">
        <v>21</v>
      </c>
      <c r="D15" s="41">
        <v>1</v>
      </c>
      <c r="E15" s="41">
        <v>0</v>
      </c>
      <c r="F15" s="41">
        <v>0.44</v>
      </c>
      <c r="G15" s="41">
        <v>3</v>
      </c>
      <c r="H15" s="41">
        <v>156.6</v>
      </c>
      <c r="I15" s="41">
        <v>88</v>
      </c>
      <c r="J15" s="41">
        <v>52.4</v>
      </c>
      <c r="K15" s="41">
        <v>12.38</v>
      </c>
      <c r="L15" s="41">
        <v>12.3</v>
      </c>
      <c r="M15" s="43">
        <f t="shared" si="6"/>
        <v>9.7467943448089631</v>
      </c>
      <c r="N15" s="43">
        <f>ROUND(Table1[[#This Row],[SQRT]],2)</f>
        <v>9.75</v>
      </c>
      <c r="O15" s="43">
        <f t="shared" si="18"/>
        <v>88</v>
      </c>
      <c r="P15" s="43">
        <f t="shared" si="0"/>
        <v>156.6</v>
      </c>
      <c r="Q15" s="43">
        <f t="shared" si="7"/>
        <v>122.3</v>
      </c>
      <c r="R15" s="43">
        <f t="shared" si="8"/>
        <v>244.6</v>
      </c>
      <c r="S15" s="43">
        <f t="shared" si="9"/>
        <v>2</v>
      </c>
      <c r="T15" s="43" t="e">
        <f t="shared" si="10"/>
        <v>#N/A</v>
      </c>
      <c r="U15" s="43" t="str">
        <f t="shared" si="11"/>
        <v>F</v>
      </c>
      <c r="V15" s="43" t="str">
        <f t="shared" si="1"/>
        <v>le</v>
      </c>
      <c r="W15" s="43">
        <f t="shared" si="2"/>
        <v>6</v>
      </c>
      <c r="X15" s="43">
        <v>46126</v>
      </c>
      <c r="Y15" s="43">
        <f t="shared" si="12"/>
        <v>2026</v>
      </c>
      <c r="Z15" s="43">
        <f t="shared" si="3"/>
        <v>4</v>
      </c>
      <c r="AA15" s="43">
        <f t="shared" si="4"/>
        <v>14</v>
      </c>
      <c r="AB15" s="43">
        <f t="shared" si="13"/>
        <v>3</v>
      </c>
      <c r="AC15" s="43">
        <f t="shared" si="14"/>
        <v>46265</v>
      </c>
      <c r="AD15" s="43">
        <f t="shared" si="5"/>
        <v>100</v>
      </c>
      <c r="AF15" s="13">
        <f>PRODUCT(3,9)</f>
        <v>27</v>
      </c>
      <c r="AG15" s="8">
        <f>MOD(77,3)</f>
        <v>2</v>
      </c>
      <c r="AH15" s="8">
        <f>FACT(6)</f>
        <v>720</v>
      </c>
      <c r="AI15" s="8">
        <f>ROUND(SQRT(45),2)</f>
        <v>6.71</v>
      </c>
      <c r="AJ15" s="8">
        <f>ROUNDDOWN(SQRT(38),2)</f>
        <v>6.16</v>
      </c>
      <c r="AK15" s="14">
        <f>ROUNDUP(SQRT(68),2)</f>
        <v>8.25</v>
      </c>
      <c r="AP15" s="56">
        <v>13</v>
      </c>
      <c r="AQ15" s="56" t="s">
        <v>202</v>
      </c>
      <c r="AR15" s="56">
        <v>38</v>
      </c>
      <c r="AS15" s="56" t="s">
        <v>22</v>
      </c>
      <c r="AT15" s="56" t="s">
        <v>203</v>
      </c>
      <c r="AU15" s="56">
        <v>80000</v>
      </c>
      <c r="AV15" s="56" t="s">
        <v>82</v>
      </c>
      <c r="AW15" s="56">
        <v>12</v>
      </c>
      <c r="AX15" s="56" t="s">
        <v>84</v>
      </c>
      <c r="BB15" s="70"/>
      <c r="BM15" s="84" t="s">
        <v>267</v>
      </c>
      <c r="BN15" s="85">
        <v>142.01111111111175</v>
      </c>
      <c r="BO15" s="85">
        <v>149.56666666666649</v>
      </c>
      <c r="BP15" s="86"/>
      <c r="BY15" s="67"/>
      <c r="CA15" s="70"/>
      <c r="CB15" s="72"/>
      <c r="CC15" s="183" t="s">
        <v>349</v>
      </c>
      <c r="CD15" s="66" t="s">
        <v>352</v>
      </c>
      <c r="CE15" s="66"/>
      <c r="CF15" s="66"/>
      <c r="CG15" s="66"/>
      <c r="CH15" s="66"/>
      <c r="CI15" s="66"/>
      <c r="CJ15" s="66"/>
      <c r="CK15" s="21"/>
      <c r="CM15" s="72"/>
      <c r="CN15" s="66"/>
      <c r="CO15" s="66"/>
      <c r="CP15" s="66"/>
      <c r="CQ15" s="66"/>
      <c r="CR15" s="66"/>
      <c r="CS15" s="66"/>
      <c r="CT15" s="66"/>
      <c r="CU15" s="66"/>
      <c r="CV15" s="66"/>
      <c r="CW15" s="66"/>
      <c r="CX15" s="66"/>
      <c r="CY15" s="66"/>
      <c r="CZ15" s="66"/>
      <c r="DA15" s="66"/>
      <c r="DB15" s="66"/>
      <c r="DC15" s="21"/>
      <c r="DD15" s="186" t="s">
        <v>349</v>
      </c>
      <c r="DE15" s="66" t="s">
        <v>354</v>
      </c>
      <c r="DF15" s="66"/>
      <c r="DG15" s="66"/>
      <c r="DH15" s="66"/>
      <c r="DI15" s="66"/>
      <c r="DJ15" s="66"/>
      <c r="DK15" s="66"/>
      <c r="DL15" s="66"/>
      <c r="DM15" s="66"/>
      <c r="DN15" s="66"/>
      <c r="DO15" s="66"/>
      <c r="DP15" s="66"/>
      <c r="DQ15" s="21"/>
      <c r="DR15" s="67"/>
    </row>
    <row r="16" spans="1:122" ht="15.75" thickBot="1" x14ac:dyDescent="0.3">
      <c r="A16" s="41">
        <v>0</v>
      </c>
      <c r="B16" s="41">
        <v>62</v>
      </c>
      <c r="C16" s="41" t="s">
        <v>21</v>
      </c>
      <c r="D16" s="41">
        <v>1</v>
      </c>
      <c r="E16" s="41">
        <v>0</v>
      </c>
      <c r="F16" s="41">
        <v>0</v>
      </c>
      <c r="G16" s="41">
        <v>4</v>
      </c>
      <c r="H16" s="41">
        <v>120.7</v>
      </c>
      <c r="I16" s="41">
        <v>70</v>
      </c>
      <c r="J16" s="41">
        <v>47</v>
      </c>
      <c r="K16" s="41">
        <v>15.36</v>
      </c>
      <c r="L16" s="41">
        <v>13.1</v>
      </c>
      <c r="M16" s="43">
        <f t="shared" si="6"/>
        <v>7.8740078740118111</v>
      </c>
      <c r="N16" s="43">
        <f>ROUND(Table1[[#This Row],[SQRT]],2)</f>
        <v>7.87</v>
      </c>
      <c r="O16" s="43">
        <f t="shared" si="18"/>
        <v>70</v>
      </c>
      <c r="P16" s="43">
        <f t="shared" si="0"/>
        <v>120.7</v>
      </c>
      <c r="Q16" s="43">
        <f t="shared" si="7"/>
        <v>95.35</v>
      </c>
      <c r="R16" s="43">
        <f t="shared" si="8"/>
        <v>190.7</v>
      </c>
      <c r="S16" s="43">
        <f t="shared" si="9"/>
        <v>2.5</v>
      </c>
      <c r="T16" s="43" t="e">
        <f t="shared" si="10"/>
        <v>#N/A</v>
      </c>
      <c r="U16" s="43" t="str">
        <f t="shared" si="11"/>
        <v>F</v>
      </c>
      <c r="V16" s="43" t="str">
        <f t="shared" si="1"/>
        <v>le</v>
      </c>
      <c r="W16" s="43">
        <f t="shared" si="2"/>
        <v>6</v>
      </c>
      <c r="X16" s="43">
        <v>46127</v>
      </c>
      <c r="Y16" s="43">
        <f t="shared" si="12"/>
        <v>2026</v>
      </c>
      <c r="Z16" s="43">
        <f t="shared" si="3"/>
        <v>4</v>
      </c>
      <c r="AA16" s="43">
        <f t="shared" si="4"/>
        <v>15</v>
      </c>
      <c r="AB16" s="43">
        <f t="shared" si="13"/>
        <v>4</v>
      </c>
      <c r="AC16" s="43">
        <f t="shared" si="14"/>
        <v>46265</v>
      </c>
      <c r="AD16" s="43">
        <f t="shared" si="5"/>
        <v>99</v>
      </c>
      <c r="AF16" s="15">
        <f>PRODUCT(10,5)</f>
        <v>50</v>
      </c>
      <c r="AG16" s="16">
        <f>MOD(100,5)</f>
        <v>0</v>
      </c>
      <c r="AH16" s="16">
        <f>FACT(10)</f>
        <v>3628800</v>
      </c>
      <c r="AI16" s="16">
        <f>ROUND(SQRT(26),2)</f>
        <v>5.0999999999999996</v>
      </c>
      <c r="AJ16" s="16">
        <f>ROUNDDOWN(SQRT(42),2)</f>
        <v>6.48</v>
      </c>
      <c r="AK16" s="17">
        <f>ROUNDUP(SQRT(28),2)</f>
        <v>5.3</v>
      </c>
      <c r="AP16" s="56">
        <v>14</v>
      </c>
      <c r="AQ16" s="56" t="s">
        <v>204</v>
      </c>
      <c r="AR16" s="56">
        <v>29</v>
      </c>
      <c r="AS16" s="56" t="s">
        <v>21</v>
      </c>
      <c r="AT16" s="56" t="s">
        <v>205</v>
      </c>
      <c r="AU16" s="56">
        <v>39000</v>
      </c>
      <c r="AV16" s="56" t="s">
        <v>87</v>
      </c>
      <c r="AW16" s="56">
        <v>5</v>
      </c>
      <c r="AX16" s="56" t="s">
        <v>206</v>
      </c>
      <c r="BB16" s="70"/>
      <c r="BD16" s="72" t="s">
        <v>264</v>
      </c>
      <c r="BE16" s="66"/>
      <c r="BF16" s="66"/>
      <c r="BG16" s="66"/>
      <c r="BH16" s="21"/>
      <c r="BY16" s="67"/>
      <c r="CA16" s="70"/>
      <c r="CB16" s="70"/>
      <c r="CC16" s="182" t="s">
        <v>166</v>
      </c>
      <c r="CD16">
        <v>97000</v>
      </c>
      <c r="CK16" s="67"/>
      <c r="CM16" s="184" t="s">
        <v>349</v>
      </c>
      <c r="CN16" t="s">
        <v>351</v>
      </c>
      <c r="CO16" t="s">
        <v>352</v>
      </c>
      <c r="DC16" s="67"/>
      <c r="DD16" s="185" t="s">
        <v>89</v>
      </c>
      <c r="DE16">
        <v>3</v>
      </c>
      <c r="DQ16" s="67"/>
      <c r="DR16" s="67"/>
    </row>
    <row r="17" spans="1:122" ht="45.75" thickBot="1" x14ac:dyDescent="0.3">
      <c r="A17" s="41">
        <v>1</v>
      </c>
      <c r="B17" s="41">
        <v>161</v>
      </c>
      <c r="C17" s="41" t="s">
        <v>21</v>
      </c>
      <c r="D17" s="41">
        <v>1</v>
      </c>
      <c r="E17" s="41">
        <v>0</v>
      </c>
      <c r="F17" s="41">
        <v>0</v>
      </c>
      <c r="G17" s="41">
        <v>4</v>
      </c>
      <c r="H17" s="41">
        <v>332.9</v>
      </c>
      <c r="I17" s="41">
        <v>67</v>
      </c>
      <c r="J17" s="41">
        <v>84</v>
      </c>
      <c r="K17" s="41">
        <v>15.89</v>
      </c>
      <c r="L17" s="41">
        <v>5.4</v>
      </c>
      <c r="M17" s="43">
        <f t="shared" si="6"/>
        <v>12.68857754044952</v>
      </c>
      <c r="N17" s="43">
        <f>ROUND(Table1[[#This Row],[SQRT]],2)</f>
        <v>12.69</v>
      </c>
      <c r="O17" s="43">
        <f t="shared" si="18"/>
        <v>67</v>
      </c>
      <c r="P17" s="43">
        <f t="shared" si="0"/>
        <v>332.9</v>
      </c>
      <c r="Q17" s="43">
        <f t="shared" si="7"/>
        <v>199.95</v>
      </c>
      <c r="R17" s="43">
        <f t="shared" si="8"/>
        <v>399.9</v>
      </c>
      <c r="S17" s="43">
        <f t="shared" si="9"/>
        <v>2.5</v>
      </c>
      <c r="T17" s="43" t="e">
        <f t="shared" si="10"/>
        <v>#N/A</v>
      </c>
      <c r="U17" s="43" t="str">
        <f t="shared" si="11"/>
        <v>F</v>
      </c>
      <c r="V17" s="43" t="str">
        <f t="shared" si="1"/>
        <v>le</v>
      </c>
      <c r="W17" s="43">
        <f t="shared" si="2"/>
        <v>6</v>
      </c>
      <c r="X17" s="43">
        <v>46128</v>
      </c>
      <c r="Y17" s="43">
        <f t="shared" si="12"/>
        <v>2026</v>
      </c>
      <c r="Z17" s="43">
        <f t="shared" si="3"/>
        <v>4</v>
      </c>
      <c r="AA17" s="43">
        <f t="shared" si="4"/>
        <v>16</v>
      </c>
      <c r="AB17" s="43">
        <f t="shared" si="13"/>
        <v>5</v>
      </c>
      <c r="AC17" s="43">
        <f t="shared" si="14"/>
        <v>46265</v>
      </c>
      <c r="AD17" s="43">
        <f t="shared" si="5"/>
        <v>98</v>
      </c>
      <c r="AP17" s="56">
        <v>15</v>
      </c>
      <c r="AQ17" s="56" t="s">
        <v>207</v>
      </c>
      <c r="AR17" s="56">
        <v>27</v>
      </c>
      <c r="AS17" s="56" t="s">
        <v>22</v>
      </c>
      <c r="AT17" s="56" t="s">
        <v>93</v>
      </c>
      <c r="AU17" s="56">
        <v>36000</v>
      </c>
      <c r="AV17" s="56" t="s">
        <v>92</v>
      </c>
      <c r="AW17" s="56">
        <v>3</v>
      </c>
      <c r="AX17" s="56" t="s">
        <v>208</v>
      </c>
      <c r="BB17" s="70"/>
      <c r="BD17" s="79" t="s">
        <v>294</v>
      </c>
      <c r="BE17" s="80" t="s">
        <v>265</v>
      </c>
      <c r="BF17" s="80" t="s">
        <v>266</v>
      </c>
      <c r="BG17" s="80" t="s">
        <v>166</v>
      </c>
      <c r="BH17" s="81" t="s">
        <v>267</v>
      </c>
      <c r="BY17" s="67"/>
      <c r="CA17" s="70"/>
      <c r="CB17" s="70"/>
      <c r="CC17" s="182" t="s">
        <v>243</v>
      </c>
      <c r="CD17">
        <v>194000</v>
      </c>
      <c r="CK17" s="67"/>
      <c r="CM17" s="185" t="s">
        <v>355</v>
      </c>
      <c r="CN17">
        <v>49</v>
      </c>
      <c r="CO17">
        <v>84000</v>
      </c>
      <c r="DC17" s="67"/>
      <c r="DD17" s="185" t="s">
        <v>94</v>
      </c>
      <c r="DE17">
        <v>2</v>
      </c>
      <c r="DQ17" s="67"/>
      <c r="DR17" s="67"/>
    </row>
    <row r="18" spans="1:122" ht="30.75" thickBot="1" x14ac:dyDescent="0.3">
      <c r="A18" s="41">
        <v>0</v>
      </c>
      <c r="B18" s="41">
        <v>85</v>
      </c>
      <c r="C18" s="41" t="s">
        <v>21</v>
      </c>
      <c r="D18" s="41">
        <v>1</v>
      </c>
      <c r="E18" s="41">
        <v>1</v>
      </c>
      <c r="F18" s="41">
        <v>3.73</v>
      </c>
      <c r="G18" s="41">
        <v>1</v>
      </c>
      <c r="H18" s="41">
        <v>196.4</v>
      </c>
      <c r="I18" s="41">
        <v>139</v>
      </c>
      <c r="J18" s="41">
        <v>95.3</v>
      </c>
      <c r="K18" s="41">
        <v>14.05</v>
      </c>
      <c r="L18" s="41">
        <v>13.8</v>
      </c>
      <c r="M18" s="43">
        <f t="shared" si="6"/>
        <v>9.2195444572928871</v>
      </c>
      <c r="N18" s="43">
        <f>ROUND(Table1[[#This Row],[SQRT]],2)</f>
        <v>9.2200000000000006</v>
      </c>
      <c r="O18" s="43">
        <f t="shared" si="18"/>
        <v>139</v>
      </c>
      <c r="P18" s="43">
        <f t="shared" si="0"/>
        <v>196.4</v>
      </c>
      <c r="Q18" s="43">
        <f t="shared" si="7"/>
        <v>167.7</v>
      </c>
      <c r="R18" s="43">
        <f t="shared" si="8"/>
        <v>335.4</v>
      </c>
      <c r="S18" s="43">
        <f t="shared" si="9"/>
        <v>1</v>
      </c>
      <c r="T18" s="43" t="e">
        <f t="shared" si="10"/>
        <v>#N/A</v>
      </c>
      <c r="U18" s="43" t="str">
        <f t="shared" si="11"/>
        <v>F</v>
      </c>
      <c r="V18" s="43" t="str">
        <f t="shared" si="1"/>
        <v>le</v>
      </c>
      <c r="W18" s="43">
        <f t="shared" si="2"/>
        <v>6</v>
      </c>
      <c r="X18" s="43">
        <v>46129</v>
      </c>
      <c r="Y18" s="43">
        <f t="shared" si="12"/>
        <v>2026</v>
      </c>
      <c r="Z18" s="43">
        <f t="shared" si="3"/>
        <v>4</v>
      </c>
      <c r="AA18" s="43">
        <f t="shared" si="4"/>
        <v>17</v>
      </c>
      <c r="AB18" s="43">
        <f t="shared" si="13"/>
        <v>6</v>
      </c>
      <c r="AC18" s="43">
        <f t="shared" si="14"/>
        <v>46265</v>
      </c>
      <c r="AD18" s="43">
        <f t="shared" si="5"/>
        <v>97</v>
      </c>
      <c r="AP18" s="56">
        <v>16</v>
      </c>
      <c r="AQ18" s="56" t="s">
        <v>209</v>
      </c>
      <c r="AR18" s="56">
        <v>34</v>
      </c>
      <c r="AS18" s="56" t="s">
        <v>21</v>
      </c>
      <c r="AT18" s="56" t="s">
        <v>98</v>
      </c>
      <c r="AU18" s="56">
        <v>62000</v>
      </c>
      <c r="AV18" s="56" t="s">
        <v>97</v>
      </c>
      <c r="AW18" s="56">
        <v>9</v>
      </c>
      <c r="AX18" s="56" t="s">
        <v>210</v>
      </c>
      <c r="BA18">
        <v>45000</v>
      </c>
      <c r="BB18" s="70"/>
      <c r="BD18" s="82" t="s">
        <v>278</v>
      </c>
      <c r="BE18" s="78">
        <v>10</v>
      </c>
      <c r="BF18" s="78">
        <v>795</v>
      </c>
      <c r="BG18" s="78">
        <v>79.5</v>
      </c>
      <c r="BH18" s="83">
        <v>171.16666666666666</v>
      </c>
      <c r="BM18" s="72" t="s">
        <v>281</v>
      </c>
      <c r="BN18" s="66"/>
      <c r="BO18" s="66"/>
      <c r="BP18" s="66"/>
      <c r="BQ18" s="66"/>
      <c r="BR18" s="66"/>
      <c r="BS18" s="66"/>
      <c r="BT18" s="21"/>
      <c r="BY18" s="67"/>
      <c r="CA18" s="70"/>
      <c r="CB18" s="70"/>
      <c r="CC18" s="182" t="s">
        <v>244</v>
      </c>
      <c r="CD18">
        <v>188000</v>
      </c>
      <c r="CK18" s="67"/>
      <c r="CM18" s="185" t="s">
        <v>356</v>
      </c>
      <c r="CN18">
        <v>140</v>
      </c>
      <c r="CO18">
        <v>227000</v>
      </c>
      <c r="DC18" s="67"/>
      <c r="DD18" s="185" t="s">
        <v>84</v>
      </c>
      <c r="DE18">
        <v>3</v>
      </c>
      <c r="DQ18" s="67"/>
      <c r="DR18" s="67"/>
    </row>
    <row r="19" spans="1:122" ht="45.75" thickBot="1" x14ac:dyDescent="0.3">
      <c r="A19" s="41">
        <v>0</v>
      </c>
      <c r="B19" s="41">
        <v>93</v>
      </c>
      <c r="C19" s="41" t="s">
        <v>21</v>
      </c>
      <c r="D19" s="41">
        <v>1</v>
      </c>
      <c r="E19" s="41">
        <v>0</v>
      </c>
      <c r="F19" s="41">
        <v>0</v>
      </c>
      <c r="G19" s="41">
        <v>3</v>
      </c>
      <c r="H19" s="41">
        <v>190.7</v>
      </c>
      <c r="I19" s="41">
        <v>114</v>
      </c>
      <c r="J19" s="41">
        <v>51</v>
      </c>
      <c r="K19" s="41">
        <v>10.91</v>
      </c>
      <c r="L19" s="41">
        <v>8.1</v>
      </c>
      <c r="M19" s="43">
        <f t="shared" si="6"/>
        <v>9.6436507609929549</v>
      </c>
      <c r="N19" s="43">
        <f>ROUND(Table1[[#This Row],[SQRT]],2)</f>
        <v>9.64</v>
      </c>
      <c r="O19" s="43">
        <f t="shared" si="18"/>
        <v>114</v>
      </c>
      <c r="P19" s="43">
        <f t="shared" si="0"/>
        <v>190.7</v>
      </c>
      <c r="Q19" s="43">
        <f t="shared" si="7"/>
        <v>152.35</v>
      </c>
      <c r="R19" s="43">
        <f t="shared" si="8"/>
        <v>304.7</v>
      </c>
      <c r="S19" s="43">
        <f t="shared" si="9"/>
        <v>2</v>
      </c>
      <c r="T19" s="43" t="e">
        <f t="shared" si="10"/>
        <v>#N/A</v>
      </c>
      <c r="U19" s="43" t="str">
        <f t="shared" si="11"/>
        <v>F</v>
      </c>
      <c r="V19" s="43" t="str">
        <f t="shared" si="1"/>
        <v>le</v>
      </c>
      <c r="W19" s="43">
        <f t="shared" si="2"/>
        <v>6</v>
      </c>
      <c r="X19" s="43">
        <v>46130</v>
      </c>
      <c r="Y19" s="43">
        <f t="shared" si="12"/>
        <v>2026</v>
      </c>
      <c r="Z19" s="43">
        <f t="shared" si="3"/>
        <v>4</v>
      </c>
      <c r="AA19" s="43">
        <f t="shared" si="4"/>
        <v>18</v>
      </c>
      <c r="AB19" s="43">
        <f t="shared" si="13"/>
        <v>7</v>
      </c>
      <c r="AC19" s="43">
        <f t="shared" si="14"/>
        <v>46265</v>
      </c>
      <c r="AD19" s="43">
        <f t="shared" si="5"/>
        <v>96</v>
      </c>
      <c r="AE19" s="1"/>
      <c r="AF19" s="30" t="s">
        <v>53</v>
      </c>
      <c r="AG19" s="31" t="s">
        <v>48</v>
      </c>
      <c r="AH19" s="31" t="s">
        <v>54</v>
      </c>
      <c r="AI19" s="31" t="s">
        <v>55</v>
      </c>
      <c r="AJ19" s="31" t="s">
        <v>56</v>
      </c>
      <c r="AK19" s="31" t="s">
        <v>64</v>
      </c>
      <c r="AL19" s="32" t="s">
        <v>67</v>
      </c>
      <c r="AP19" s="56">
        <v>17</v>
      </c>
      <c r="AQ19" s="56" t="s">
        <v>211</v>
      </c>
      <c r="AR19" s="56">
        <v>22</v>
      </c>
      <c r="AS19" s="56" t="s">
        <v>22</v>
      </c>
      <c r="AT19" s="56" t="s">
        <v>212</v>
      </c>
      <c r="AU19" s="56">
        <v>30000</v>
      </c>
      <c r="AV19" s="56" t="s">
        <v>82</v>
      </c>
      <c r="AW19" s="56">
        <v>1</v>
      </c>
      <c r="AX19" s="56" t="s">
        <v>213</v>
      </c>
      <c r="BB19" s="70"/>
      <c r="BD19" s="82" t="s">
        <v>279</v>
      </c>
      <c r="BE19" s="78">
        <v>10</v>
      </c>
      <c r="BF19" s="78">
        <v>823</v>
      </c>
      <c r="BG19" s="78">
        <v>82.3</v>
      </c>
      <c r="BH19" s="83">
        <v>142.01111111111175</v>
      </c>
      <c r="BM19" s="79" t="s">
        <v>282</v>
      </c>
      <c r="BN19" s="80" t="s">
        <v>283</v>
      </c>
      <c r="BO19" s="80" t="s">
        <v>284</v>
      </c>
      <c r="BP19" s="80" t="s">
        <v>285</v>
      </c>
      <c r="BQ19" s="80" t="s">
        <v>286</v>
      </c>
      <c r="BR19" s="89"/>
      <c r="BS19" s="89"/>
      <c r="BT19" s="90"/>
      <c r="BY19" s="67"/>
      <c r="CA19" s="70"/>
      <c r="CB19" s="70"/>
      <c r="CC19" s="182" t="s">
        <v>350</v>
      </c>
      <c r="CD19">
        <v>479000</v>
      </c>
      <c r="CK19" s="67"/>
      <c r="CM19" s="185" t="s">
        <v>357</v>
      </c>
      <c r="CN19">
        <v>99</v>
      </c>
      <c r="CO19">
        <v>168000</v>
      </c>
      <c r="DC19" s="67"/>
      <c r="DD19" s="187" t="s">
        <v>99</v>
      </c>
      <c r="DE19" s="68">
        <v>2</v>
      </c>
      <c r="DQ19" s="67"/>
      <c r="DR19" s="67"/>
    </row>
    <row r="20" spans="1:122" ht="45.75" thickBot="1" x14ac:dyDescent="0.3">
      <c r="A20" s="41">
        <v>0</v>
      </c>
      <c r="B20" s="41">
        <v>76</v>
      </c>
      <c r="C20" s="41" t="s">
        <v>22</v>
      </c>
      <c r="D20" s="41">
        <v>1</v>
      </c>
      <c r="E20" s="41">
        <v>1</v>
      </c>
      <c r="F20" s="41">
        <v>2.7</v>
      </c>
      <c r="G20" s="41">
        <v>1</v>
      </c>
      <c r="H20" s="41">
        <v>189.7</v>
      </c>
      <c r="I20" s="41">
        <v>66</v>
      </c>
      <c r="J20" s="41">
        <v>78</v>
      </c>
      <c r="K20" s="41">
        <v>10.64</v>
      </c>
      <c r="L20" s="41">
        <v>10</v>
      </c>
      <c r="M20" s="43">
        <f t="shared" si="6"/>
        <v>8.717797887081348</v>
      </c>
      <c r="N20" s="43">
        <f>ROUND(Table1[[#This Row],[SQRT]],2)</f>
        <v>8.7200000000000006</v>
      </c>
      <c r="O20" s="43">
        <f t="shared" si="18"/>
        <v>66</v>
      </c>
      <c r="P20" s="43">
        <f t="shared" si="0"/>
        <v>189.7</v>
      </c>
      <c r="Q20" s="43">
        <f t="shared" si="7"/>
        <v>127.85</v>
      </c>
      <c r="R20" s="43">
        <f t="shared" si="8"/>
        <v>255.7</v>
      </c>
      <c r="S20" s="43">
        <f t="shared" si="9"/>
        <v>1</v>
      </c>
      <c r="T20" s="43" t="e">
        <f t="shared" si="10"/>
        <v>#N/A</v>
      </c>
      <c r="U20" s="43" t="str">
        <f t="shared" si="11"/>
        <v>M</v>
      </c>
      <c r="V20" s="43" t="str">
        <f t="shared" si="1"/>
        <v>le</v>
      </c>
      <c r="W20" s="43">
        <f t="shared" si="2"/>
        <v>4</v>
      </c>
      <c r="X20" s="43">
        <v>46131</v>
      </c>
      <c r="Y20" s="43">
        <f t="shared" si="12"/>
        <v>2026</v>
      </c>
      <c r="Z20" s="43">
        <f t="shared" si="3"/>
        <v>4</v>
      </c>
      <c r="AA20" s="43">
        <f t="shared" si="4"/>
        <v>19</v>
      </c>
      <c r="AB20" s="43">
        <f t="shared" si="13"/>
        <v>1</v>
      </c>
      <c r="AC20" s="43">
        <f t="shared" si="14"/>
        <v>46265</v>
      </c>
      <c r="AD20" s="43">
        <f t="shared" si="5"/>
        <v>96</v>
      </c>
      <c r="AE20" s="1"/>
      <c r="AF20" s="25">
        <v>46174</v>
      </c>
      <c r="AG20" s="8" t="s">
        <v>57</v>
      </c>
      <c r="AH20" s="8" t="s">
        <v>59</v>
      </c>
      <c r="AI20" s="8" t="s">
        <v>62</v>
      </c>
      <c r="AJ20" s="8">
        <v>100</v>
      </c>
      <c r="AK20" s="8" t="s">
        <v>59</v>
      </c>
      <c r="AL20" s="26">
        <f>AVERAGEIF(AH20:AH24,"RED",AJ20:AJ24)</f>
        <v>76.666666666666671</v>
      </c>
      <c r="AP20" s="56">
        <v>18</v>
      </c>
      <c r="AQ20" s="56" t="s">
        <v>214</v>
      </c>
      <c r="AR20" s="56">
        <v>33</v>
      </c>
      <c r="AS20" s="56" t="s">
        <v>21</v>
      </c>
      <c r="AT20" s="56" t="s">
        <v>111</v>
      </c>
      <c r="AU20" s="56">
        <v>70000</v>
      </c>
      <c r="AV20" s="56" t="s">
        <v>110</v>
      </c>
      <c r="AW20" s="56">
        <v>8</v>
      </c>
      <c r="AX20" s="56" t="s">
        <v>215</v>
      </c>
      <c r="BB20" s="70"/>
      <c r="BD20" s="84" t="s">
        <v>280</v>
      </c>
      <c r="BE20" s="85">
        <v>10</v>
      </c>
      <c r="BF20" s="85">
        <v>793</v>
      </c>
      <c r="BG20" s="85">
        <v>79.3</v>
      </c>
      <c r="BH20" s="86">
        <v>149.56666666666649</v>
      </c>
      <c r="BM20" s="82" t="s">
        <v>298</v>
      </c>
      <c r="BN20" s="78">
        <v>0</v>
      </c>
      <c r="BO20" s="78">
        <v>0</v>
      </c>
      <c r="BP20" s="78">
        <v>65535</v>
      </c>
      <c r="BQ20" s="78">
        <v>65535</v>
      </c>
      <c r="BR20" s="78"/>
      <c r="BS20" s="78"/>
      <c r="BT20" s="83"/>
      <c r="BY20" s="67"/>
      <c r="CA20" s="70"/>
      <c r="CB20" s="71"/>
      <c r="CC20" s="68"/>
      <c r="CD20" s="68"/>
      <c r="CE20" s="68"/>
      <c r="CF20" s="68"/>
      <c r="CG20" s="68"/>
      <c r="CH20" s="68"/>
      <c r="CI20" s="68"/>
      <c r="CJ20" s="68"/>
      <c r="CK20" s="69"/>
      <c r="CM20" s="187" t="s">
        <v>350</v>
      </c>
      <c r="CN20" s="68">
        <v>288</v>
      </c>
      <c r="CO20" s="68">
        <v>479000</v>
      </c>
      <c r="CP20" s="68"/>
      <c r="CQ20" s="68"/>
      <c r="CR20" s="68"/>
      <c r="CS20" s="68"/>
      <c r="CT20" s="68"/>
      <c r="CU20" s="68"/>
      <c r="CV20" s="68"/>
      <c r="CW20" s="68"/>
      <c r="CX20" s="68"/>
      <c r="CY20" s="68"/>
      <c r="CZ20" s="68"/>
      <c r="DA20" s="68"/>
      <c r="DB20" s="68"/>
      <c r="DC20" s="69"/>
      <c r="DD20" s="187" t="s">
        <v>350</v>
      </c>
      <c r="DE20" s="68">
        <v>10</v>
      </c>
      <c r="DF20" s="68"/>
      <c r="DG20" s="68"/>
      <c r="DH20" s="68"/>
      <c r="DI20" s="68"/>
      <c r="DJ20" s="68"/>
      <c r="DK20" s="68"/>
      <c r="DL20" s="68"/>
      <c r="DM20" s="68"/>
      <c r="DN20" s="68"/>
      <c r="DO20" s="68"/>
      <c r="DP20" s="68"/>
      <c r="DQ20" s="69"/>
      <c r="DR20" s="67"/>
    </row>
    <row r="21" spans="1:122" ht="30.75" thickBot="1" x14ac:dyDescent="0.3">
      <c r="AE21" s="1"/>
      <c r="AF21" s="25">
        <v>46174</v>
      </c>
      <c r="AG21" s="8" t="s">
        <v>58</v>
      </c>
      <c r="AH21" s="8" t="s">
        <v>60</v>
      </c>
      <c r="AI21" s="8" t="s">
        <v>63</v>
      </c>
      <c r="AJ21" s="8">
        <v>50</v>
      </c>
      <c r="AK21" s="8" t="s">
        <v>65</v>
      </c>
      <c r="AL21" s="26">
        <f>AVERAGEIFS(AJ20:AJ24,AH20:AH24,"RED",AI20:AI24,"AP")</f>
        <v>76.666666666666671</v>
      </c>
      <c r="AP21" s="56">
        <v>19</v>
      </c>
      <c r="AQ21" s="56" t="s">
        <v>216</v>
      </c>
      <c r="AR21" s="56">
        <v>41</v>
      </c>
      <c r="AS21" s="56" t="s">
        <v>22</v>
      </c>
      <c r="AT21" s="56" t="s">
        <v>217</v>
      </c>
      <c r="AU21" s="56">
        <v>95000</v>
      </c>
      <c r="AV21" s="56" t="s">
        <v>190</v>
      </c>
      <c r="AW21" s="56">
        <v>16</v>
      </c>
      <c r="AX21" s="56" t="s">
        <v>218</v>
      </c>
      <c r="BB21" s="70"/>
      <c r="BM21" s="82" t="s">
        <v>290</v>
      </c>
      <c r="BN21" s="78">
        <v>45.000000000000455</v>
      </c>
      <c r="BO21" s="78">
        <v>1</v>
      </c>
      <c r="BP21" s="78">
        <v>45.000000000000455</v>
      </c>
      <c r="BQ21" s="78">
        <v>0.30866549805655369</v>
      </c>
      <c r="BR21" s="78" t="s">
        <v>292</v>
      </c>
      <c r="BS21" s="78">
        <v>4220.9666666666662</v>
      </c>
      <c r="BT21" s="83">
        <v>29</v>
      </c>
      <c r="BX21" s="76"/>
      <c r="BY21" s="94"/>
      <c r="BZ21" s="76"/>
      <c r="CA21" s="216"/>
      <c r="CB21" s="76"/>
      <c r="CC21" s="76"/>
      <c r="CD21" s="76"/>
      <c r="DR21" s="67"/>
    </row>
    <row r="22" spans="1:122" ht="30.75" thickBot="1" x14ac:dyDescent="0.3">
      <c r="AE22" s="1"/>
      <c r="AF22" s="25">
        <v>46175</v>
      </c>
      <c r="AG22" s="8" t="s">
        <v>57</v>
      </c>
      <c r="AH22" s="8" t="s">
        <v>59</v>
      </c>
      <c r="AI22" s="8" t="s">
        <v>62</v>
      </c>
      <c r="AJ22" s="8">
        <v>100</v>
      </c>
      <c r="AK22" s="8" t="s">
        <v>66</v>
      </c>
      <c r="AL22" s="26">
        <f>AVERAGEIFS(AJ20:AJ24,AH20:AH24,"RED",AI20:AI24,"AP",AG20:AG24,"MOUSE")</f>
        <v>76.666666666666671</v>
      </c>
      <c r="AP22" s="56">
        <v>20</v>
      </c>
      <c r="AQ22" s="56" t="s">
        <v>219</v>
      </c>
      <c r="AR22" s="56">
        <v>28</v>
      </c>
      <c r="AS22" s="60" t="s">
        <v>21</v>
      </c>
      <c r="AT22" s="56" t="s">
        <v>220</v>
      </c>
      <c r="AU22" s="56">
        <v>43000</v>
      </c>
      <c r="AV22" s="56" t="s">
        <v>194</v>
      </c>
      <c r="AW22" s="56">
        <v>4</v>
      </c>
      <c r="AX22" s="56" t="s">
        <v>221</v>
      </c>
      <c r="BB22" s="70"/>
      <c r="BM22" s="82" t="s">
        <v>299</v>
      </c>
      <c r="BN22" s="78">
        <v>0</v>
      </c>
      <c r="BO22" s="78">
        <v>0</v>
      </c>
      <c r="BP22" s="78">
        <v>65535</v>
      </c>
      <c r="BQ22" s="78">
        <v>65535</v>
      </c>
      <c r="BR22" s="78" t="e">
        <v>#NUM!</v>
      </c>
      <c r="BS22" s="78" t="e">
        <v>#NUM!</v>
      </c>
      <c r="BT22" s="83"/>
      <c r="BY22" s="67"/>
      <c r="CA22" s="70"/>
      <c r="CB22" s="72"/>
      <c r="CC22" s="66"/>
      <c r="CD22" s="66"/>
      <c r="CE22" s="66"/>
      <c r="CF22" s="66"/>
      <c r="CG22" s="66"/>
      <c r="CH22" s="66"/>
      <c r="CI22" s="66"/>
      <c r="CJ22" s="66"/>
      <c r="CK22" s="21"/>
      <c r="CM22" s="211" t="s">
        <v>349</v>
      </c>
      <c r="CN22" s="144" t="s">
        <v>354</v>
      </c>
      <c r="CO22" s="66"/>
      <c r="CP22" s="66"/>
      <c r="CQ22" s="66"/>
      <c r="CR22" s="66"/>
      <c r="CS22" s="66"/>
      <c r="CT22" s="66"/>
      <c r="CU22" s="66"/>
      <c r="CV22" s="66"/>
      <c r="CW22" s="66"/>
      <c r="CX22" s="66"/>
      <c r="CY22" s="66"/>
      <c r="CZ22" s="66"/>
      <c r="DA22" s="21"/>
      <c r="DR22" s="67"/>
    </row>
    <row r="23" spans="1:122" ht="15.75" thickBot="1" x14ac:dyDescent="0.3">
      <c r="AE23" s="1"/>
      <c r="AF23" s="25">
        <v>46176</v>
      </c>
      <c r="AG23" s="8" t="s">
        <v>57</v>
      </c>
      <c r="AH23" s="8" t="s">
        <v>59</v>
      </c>
      <c r="AI23" s="8" t="s">
        <v>62</v>
      </c>
      <c r="AJ23" s="8">
        <v>30</v>
      </c>
      <c r="AK23" s="8"/>
      <c r="AL23" s="26"/>
      <c r="BB23" s="70"/>
      <c r="BD23" s="72" t="s">
        <v>281</v>
      </c>
      <c r="BE23" s="66"/>
      <c r="BF23" s="66"/>
      <c r="BG23" s="66"/>
      <c r="BH23" s="66"/>
      <c r="BI23" s="66"/>
      <c r="BJ23" s="21"/>
      <c r="BM23" s="82" t="s">
        <v>300</v>
      </c>
      <c r="BN23" s="78">
        <v>2624.2</v>
      </c>
      <c r="BO23" s="78">
        <v>18</v>
      </c>
      <c r="BP23" s="78">
        <v>145.78888888888889</v>
      </c>
      <c r="BQ23" s="78"/>
      <c r="BR23" s="78"/>
      <c r="BS23" s="78"/>
      <c r="BT23" s="93"/>
      <c r="BU23" s="76"/>
      <c r="BV23" s="76"/>
      <c r="BY23" s="67"/>
      <c r="CA23" s="70"/>
      <c r="CB23" s="184" t="s">
        <v>349</v>
      </c>
      <c r="CC23" t="s">
        <v>354</v>
      </c>
      <c r="CK23" s="67"/>
      <c r="CM23" s="215" t="s">
        <v>21</v>
      </c>
      <c r="CN23" s="212">
        <v>5</v>
      </c>
      <c r="DA23" s="67"/>
      <c r="DR23" s="67"/>
    </row>
    <row r="24" spans="1:122" ht="15.75" thickBot="1" x14ac:dyDescent="0.3">
      <c r="AF24" s="25">
        <v>46177</v>
      </c>
      <c r="AG24" s="8" t="s">
        <v>58</v>
      </c>
      <c r="AH24" s="8" t="s">
        <v>61</v>
      </c>
      <c r="AI24" s="8" t="s">
        <v>63</v>
      </c>
      <c r="AJ24" s="8">
        <v>20</v>
      </c>
      <c r="AK24" s="8"/>
      <c r="AL24" s="26"/>
      <c r="BB24" s="70"/>
      <c r="BD24" s="79" t="s">
        <v>282</v>
      </c>
      <c r="BE24" s="80" t="s">
        <v>283</v>
      </c>
      <c r="BF24" s="80" t="s">
        <v>284</v>
      </c>
      <c r="BG24" s="80" t="s">
        <v>285</v>
      </c>
      <c r="BH24" s="80" t="s">
        <v>286</v>
      </c>
      <c r="BI24" s="80" t="s">
        <v>287</v>
      </c>
      <c r="BJ24" s="81" t="s">
        <v>288</v>
      </c>
      <c r="BM24" s="82"/>
      <c r="BN24" s="78"/>
      <c r="BO24" s="78"/>
      <c r="BP24" s="78"/>
      <c r="BQ24" s="78"/>
      <c r="BR24" s="78"/>
      <c r="BS24" s="78"/>
      <c r="BT24" s="83"/>
      <c r="BY24" s="67"/>
      <c r="CA24" s="70"/>
      <c r="CB24" s="185" t="s">
        <v>97</v>
      </c>
      <c r="CC24">
        <v>2</v>
      </c>
      <c r="CK24" s="67"/>
      <c r="CM24" s="210" t="s">
        <v>22</v>
      </c>
      <c r="CN24" s="208">
        <v>5</v>
      </c>
      <c r="DA24" s="67"/>
      <c r="DR24" s="67"/>
    </row>
    <row r="25" spans="1:122" ht="27.75" thickBot="1" x14ac:dyDescent="0.55000000000000004">
      <c r="AF25" s="25"/>
      <c r="AG25" s="8"/>
      <c r="AH25" s="8"/>
      <c r="AI25" s="8" t="s">
        <v>64</v>
      </c>
      <c r="AJ25" s="8">
        <f>SUM(AJ20:AJ24)</f>
        <v>300</v>
      </c>
      <c r="AK25" s="8"/>
      <c r="AL25" s="26"/>
      <c r="AQ25" s="119" t="s">
        <v>252</v>
      </c>
      <c r="AR25" s="120"/>
      <c r="AS25" s="121"/>
      <c r="AT25" s="122"/>
      <c r="BB25" s="70"/>
      <c r="BD25" s="82" t="s">
        <v>295</v>
      </c>
      <c r="BE25" s="78">
        <v>56.266666666666424</v>
      </c>
      <c r="BF25" s="78">
        <v>2</v>
      </c>
      <c r="BG25" s="78">
        <v>28.133333333333212</v>
      </c>
      <c r="BH25" s="78">
        <v>0.1823900881215926</v>
      </c>
      <c r="BI25" s="78">
        <v>0.83429435545806307</v>
      </c>
      <c r="BJ25" s="83">
        <v>3.3541308285291991</v>
      </c>
      <c r="BM25" s="84" t="s">
        <v>292</v>
      </c>
      <c r="BN25" s="85">
        <v>2669.2000000000003</v>
      </c>
      <c r="BO25" s="85">
        <v>19</v>
      </c>
      <c r="BP25" s="85"/>
      <c r="BQ25" s="85"/>
      <c r="BR25" s="85"/>
      <c r="BS25" s="85"/>
      <c r="BT25" s="86"/>
      <c r="BY25" s="67"/>
      <c r="CA25" s="70"/>
      <c r="CB25" s="185" t="s">
        <v>87</v>
      </c>
      <c r="CC25">
        <v>3</v>
      </c>
      <c r="CK25" s="67"/>
      <c r="CM25" s="213" t="s">
        <v>350</v>
      </c>
      <c r="CN25" s="209">
        <v>10</v>
      </c>
      <c r="DA25" s="67"/>
      <c r="DR25" s="67"/>
    </row>
    <row r="26" spans="1:122" ht="30" x14ac:dyDescent="0.25">
      <c r="AF26" s="25"/>
      <c r="AG26" s="8"/>
      <c r="AH26" s="8"/>
      <c r="AI26" s="8" t="s">
        <v>59</v>
      </c>
      <c r="AJ26" s="8">
        <f>SUMIF(AH20:AH24,"RED",AJ20:AJ24)</f>
        <v>230</v>
      </c>
      <c r="AK26" s="8"/>
      <c r="AL26" s="26"/>
      <c r="AQ26" s="123" t="s">
        <v>168</v>
      </c>
      <c r="AR26" s="124" t="s">
        <v>71</v>
      </c>
      <c r="AS26" s="124" t="s">
        <v>72</v>
      </c>
      <c r="AT26" s="124" t="s">
        <v>222</v>
      </c>
      <c r="AU26" s="124" t="s">
        <v>223</v>
      </c>
      <c r="AV26" s="124" t="s">
        <v>73</v>
      </c>
      <c r="AW26" s="124" t="s">
        <v>224</v>
      </c>
      <c r="AX26" s="124" t="s">
        <v>225</v>
      </c>
      <c r="AY26" s="124" t="s">
        <v>226</v>
      </c>
      <c r="AZ26" s="125" t="s">
        <v>227</v>
      </c>
      <c r="BB26" s="70"/>
      <c r="BD26" s="82" t="s">
        <v>296</v>
      </c>
      <c r="BE26" s="78">
        <v>4164.7</v>
      </c>
      <c r="BF26" s="78">
        <v>27</v>
      </c>
      <c r="BG26" s="78">
        <v>154.24814814814815</v>
      </c>
      <c r="BH26" s="78"/>
      <c r="BI26" s="78"/>
      <c r="BJ26" s="83"/>
      <c r="BY26" s="67"/>
      <c r="CA26" s="70"/>
      <c r="CB26" s="185" t="s">
        <v>82</v>
      </c>
      <c r="CC26">
        <v>3</v>
      </c>
      <c r="CK26" s="67"/>
      <c r="CM26" s="70"/>
      <c r="DA26" s="67"/>
      <c r="DR26" s="67"/>
    </row>
    <row r="27" spans="1:122" x14ac:dyDescent="0.25">
      <c r="AF27" s="25"/>
      <c r="AG27" s="8"/>
      <c r="AH27" s="8"/>
      <c r="AI27" s="8" t="s">
        <v>65</v>
      </c>
      <c r="AJ27" s="8">
        <f>SUMIFS(AJ20:AJ24,AH20:AH24,"RED",AI20:AI24,"AP")</f>
        <v>230</v>
      </c>
      <c r="AK27" s="8"/>
      <c r="AL27" s="26"/>
      <c r="AQ27" s="126">
        <v>1</v>
      </c>
      <c r="AR27" s="58" t="s">
        <v>228</v>
      </c>
      <c r="AS27" s="58">
        <v>18</v>
      </c>
      <c r="AT27" s="58">
        <v>85</v>
      </c>
      <c r="AU27" s="58">
        <v>90</v>
      </c>
      <c r="AV27" s="58" t="s">
        <v>22</v>
      </c>
      <c r="AW27" s="58">
        <v>15000</v>
      </c>
      <c r="AX27" s="58">
        <v>92.5</v>
      </c>
      <c r="AY27" s="59">
        <v>0.375</v>
      </c>
      <c r="AZ27" s="127">
        <v>2500</v>
      </c>
      <c r="BB27" s="70"/>
      <c r="BD27" s="82"/>
      <c r="BE27" s="78"/>
      <c r="BF27" s="78"/>
      <c r="BG27" s="78"/>
      <c r="BH27" s="78"/>
      <c r="BI27" s="78"/>
      <c r="BJ27" s="83"/>
      <c r="BY27" s="67"/>
      <c r="CA27" s="70"/>
      <c r="CB27" s="185" t="s">
        <v>92</v>
      </c>
      <c r="CC27">
        <v>2</v>
      </c>
      <c r="CK27" s="67"/>
      <c r="CM27" s="70"/>
      <c r="DA27" s="67"/>
      <c r="DR27" s="67"/>
    </row>
    <row r="28" spans="1:122" ht="15.75" thickBot="1" x14ac:dyDescent="0.3">
      <c r="AF28" s="27"/>
      <c r="AG28" s="28"/>
      <c r="AH28" s="28"/>
      <c r="AI28" s="28" t="s">
        <v>66</v>
      </c>
      <c r="AJ28" s="28">
        <f>SUMIFS(AJ20:AJ24,AH20:AH24,"RED",AI20:AI24,"AP",AG20:AG24,"MOUSE")</f>
        <v>230</v>
      </c>
      <c r="AK28" s="28"/>
      <c r="AL28" s="29"/>
      <c r="AQ28" s="126">
        <v>2</v>
      </c>
      <c r="AR28" s="58" t="s">
        <v>229</v>
      </c>
      <c r="AS28" s="58">
        <v>19</v>
      </c>
      <c r="AT28" s="58">
        <v>78</v>
      </c>
      <c r="AU28" s="58">
        <v>88</v>
      </c>
      <c r="AV28" s="58" t="s">
        <v>21</v>
      </c>
      <c r="AW28" s="58">
        <v>15000</v>
      </c>
      <c r="AX28" s="58">
        <v>89</v>
      </c>
      <c r="AY28" s="59">
        <v>0.38194444444444442</v>
      </c>
      <c r="AZ28" s="127">
        <v>-500</v>
      </c>
      <c r="BB28" s="70"/>
      <c r="BD28" s="82" t="s">
        <v>292</v>
      </c>
      <c r="BE28" s="78">
        <v>4220.9666666666662</v>
      </c>
      <c r="BF28" s="78">
        <v>29</v>
      </c>
      <c r="BG28" s="78"/>
      <c r="BH28" s="78"/>
      <c r="BI28" s="78"/>
      <c r="BJ28" s="83"/>
      <c r="BY28" s="67"/>
      <c r="CA28" s="70"/>
      <c r="CB28" s="185" t="s">
        <v>350</v>
      </c>
      <c r="CC28">
        <v>10</v>
      </c>
      <c r="CK28" s="67"/>
      <c r="CM28" s="70"/>
      <c r="DA28" s="67"/>
      <c r="DR28" s="67"/>
    </row>
    <row r="29" spans="1:122" x14ac:dyDescent="0.25">
      <c r="AQ29" s="126">
        <v>3</v>
      </c>
      <c r="AR29" s="58" t="s">
        <v>230</v>
      </c>
      <c r="AS29" s="58">
        <v>20</v>
      </c>
      <c r="AT29" s="58">
        <v>92</v>
      </c>
      <c r="AU29" s="58">
        <v>95</v>
      </c>
      <c r="AV29" s="58" t="s">
        <v>22</v>
      </c>
      <c r="AW29" s="58">
        <v>16000</v>
      </c>
      <c r="AX29" s="58">
        <v>96</v>
      </c>
      <c r="AY29" s="59">
        <v>0.37847222222222221</v>
      </c>
      <c r="AZ29" s="127">
        <v>0</v>
      </c>
      <c r="BB29" s="70"/>
      <c r="BD29" s="82"/>
      <c r="BE29" s="78"/>
      <c r="BF29" s="78"/>
      <c r="BG29" s="78"/>
      <c r="BH29" s="78"/>
      <c r="BI29" s="78"/>
      <c r="BJ29" s="83"/>
      <c r="BY29" s="67"/>
      <c r="CA29" s="70"/>
      <c r="CB29" s="70"/>
      <c r="CK29" s="67"/>
      <c r="CM29" s="70"/>
      <c r="DA29" s="67"/>
      <c r="DR29" s="67"/>
    </row>
    <row r="30" spans="1:122" ht="15.75" thickBot="1" x14ac:dyDescent="0.3">
      <c r="AQ30" s="126">
        <v>4</v>
      </c>
      <c r="AR30" s="58" t="s">
        <v>231</v>
      </c>
      <c r="AS30" s="58">
        <v>18</v>
      </c>
      <c r="AT30" s="58">
        <v>81</v>
      </c>
      <c r="AU30" s="58">
        <v>84</v>
      </c>
      <c r="AV30" s="58" t="s">
        <v>21</v>
      </c>
      <c r="AW30" s="58">
        <v>15000</v>
      </c>
      <c r="AX30" s="58">
        <v>91</v>
      </c>
      <c r="AY30" s="59">
        <v>0.38541666666666669</v>
      </c>
      <c r="AZ30" s="127">
        <v>1500</v>
      </c>
      <c r="BB30" s="70"/>
      <c r="BD30" s="82"/>
      <c r="BE30" s="78"/>
      <c r="BF30" s="78"/>
      <c r="BG30" s="78"/>
      <c r="BH30" s="78"/>
      <c r="BI30" s="78"/>
      <c r="BJ30" s="83"/>
      <c r="BY30" s="67"/>
      <c r="CA30" s="70"/>
      <c r="CB30" s="70"/>
      <c r="CK30" s="67"/>
      <c r="CM30" s="70"/>
      <c r="DA30" s="67"/>
      <c r="DR30" s="67"/>
    </row>
    <row r="31" spans="1:122" ht="18" thickBot="1" x14ac:dyDescent="0.35">
      <c r="AQ31" s="126">
        <v>5</v>
      </c>
      <c r="AR31" s="58" t="s">
        <v>232</v>
      </c>
      <c r="AS31" s="58">
        <v>21</v>
      </c>
      <c r="AT31" s="58">
        <v>75</v>
      </c>
      <c r="AU31" s="58">
        <v>80</v>
      </c>
      <c r="AV31" s="58" t="s">
        <v>22</v>
      </c>
      <c r="AW31" s="58">
        <v>17000</v>
      </c>
      <c r="AX31" s="58">
        <v>85.5</v>
      </c>
      <c r="AY31" s="59">
        <v>0.3888888888888889</v>
      </c>
      <c r="AZ31" s="127">
        <v>-1000</v>
      </c>
      <c r="BB31" s="70"/>
      <c r="BD31" s="82"/>
      <c r="BE31" s="78"/>
      <c r="BF31" s="78"/>
      <c r="BG31" s="78"/>
      <c r="BH31" s="78"/>
      <c r="BI31" s="78"/>
      <c r="BJ31" s="83"/>
      <c r="BM31" s="280" t="s">
        <v>263</v>
      </c>
      <c r="BN31" s="281"/>
      <c r="BO31" s="281"/>
      <c r="BP31" s="281"/>
      <c r="BQ31" s="282"/>
      <c r="BT31" s="98" t="s">
        <v>314</v>
      </c>
      <c r="BU31" s="99"/>
      <c r="BY31" s="67"/>
      <c r="CA31" s="70"/>
      <c r="CB31" s="70"/>
      <c r="CK31" s="67"/>
      <c r="CM31" s="70"/>
      <c r="DA31" s="67"/>
      <c r="DR31" s="67"/>
    </row>
    <row r="32" spans="1:122" ht="15.75" thickBot="1" x14ac:dyDescent="0.3">
      <c r="AQ32" s="126">
        <v>6</v>
      </c>
      <c r="AR32" s="58" t="s">
        <v>233</v>
      </c>
      <c r="AS32" s="58">
        <v>19</v>
      </c>
      <c r="AT32" s="58">
        <v>88</v>
      </c>
      <c r="AU32" s="58">
        <v>91</v>
      </c>
      <c r="AV32" s="58" t="s">
        <v>21</v>
      </c>
      <c r="AW32" s="58">
        <v>16000</v>
      </c>
      <c r="AX32" s="58">
        <v>94</v>
      </c>
      <c r="AY32" s="59">
        <v>0.375</v>
      </c>
      <c r="AZ32" s="127">
        <v>3000</v>
      </c>
      <c r="BB32" s="70"/>
      <c r="BD32" s="82" t="s">
        <v>263</v>
      </c>
      <c r="BE32" s="78"/>
      <c r="BF32" s="78"/>
      <c r="BG32" s="78"/>
      <c r="BH32" s="78"/>
      <c r="BI32" s="78"/>
      <c r="BJ32" s="83"/>
      <c r="BM32" s="283"/>
      <c r="BN32" s="284"/>
      <c r="BO32" s="284"/>
      <c r="BP32" s="284"/>
      <c r="BQ32" s="285"/>
      <c r="BT32" s="104" t="s">
        <v>255</v>
      </c>
      <c r="BU32" s="105"/>
      <c r="BV32" s="105" t="s">
        <v>256</v>
      </c>
      <c r="BW32" s="105"/>
      <c r="BX32" s="105" t="s">
        <v>257</v>
      </c>
      <c r="BY32" s="106"/>
      <c r="CA32" s="70"/>
      <c r="CB32" s="71"/>
      <c r="CC32" s="68"/>
      <c r="CD32" s="68"/>
      <c r="CE32" s="68"/>
      <c r="CF32" s="68"/>
      <c r="CG32" s="68"/>
      <c r="CH32" s="68"/>
      <c r="CI32" s="68"/>
      <c r="CJ32" s="68"/>
      <c r="CK32" s="69"/>
      <c r="CM32" s="71"/>
      <c r="CN32" s="68"/>
      <c r="CO32" s="68"/>
      <c r="CP32" s="68"/>
      <c r="CQ32" s="68"/>
      <c r="CR32" s="68"/>
      <c r="CS32" s="68"/>
      <c r="CT32" s="68"/>
      <c r="CU32" s="68"/>
      <c r="CV32" s="68"/>
      <c r="CW32" s="68"/>
      <c r="CX32" s="68"/>
      <c r="CY32" s="68"/>
      <c r="CZ32" s="68"/>
      <c r="DA32" s="69"/>
      <c r="DR32" s="67"/>
    </row>
    <row r="33" spans="32:123" ht="15.75" thickBot="1" x14ac:dyDescent="0.3">
      <c r="AQ33" s="126">
        <v>7</v>
      </c>
      <c r="AR33" s="58" t="s">
        <v>234</v>
      </c>
      <c r="AS33" s="58">
        <v>20</v>
      </c>
      <c r="AT33" s="58">
        <v>67</v>
      </c>
      <c r="AU33" s="58">
        <v>72</v>
      </c>
      <c r="AV33" s="58" t="s">
        <v>22</v>
      </c>
      <c r="AW33" s="58">
        <v>15500</v>
      </c>
      <c r="AX33" s="58">
        <v>82</v>
      </c>
      <c r="AY33" s="59">
        <v>0.3923611111111111</v>
      </c>
      <c r="AZ33" s="127">
        <v>0</v>
      </c>
      <c r="BB33" s="70"/>
      <c r="BD33" s="82"/>
      <c r="BE33" s="78"/>
      <c r="BF33" s="78"/>
      <c r="BG33" s="78"/>
      <c r="BH33" s="78"/>
      <c r="BI33" s="78"/>
      <c r="BJ33" s="83"/>
      <c r="BM33" s="79" t="s">
        <v>264</v>
      </c>
      <c r="BN33" s="80" t="s">
        <v>265</v>
      </c>
      <c r="BO33" s="80" t="s">
        <v>266</v>
      </c>
      <c r="BP33" s="102" t="s">
        <v>166</v>
      </c>
      <c r="BQ33" s="77" t="s">
        <v>267</v>
      </c>
      <c r="BT33" s="88"/>
      <c r="BU33" s="89"/>
      <c r="BV33" s="89"/>
      <c r="BW33" s="89"/>
      <c r="BX33" s="89"/>
      <c r="BY33" s="90"/>
      <c r="CA33" s="71"/>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9"/>
    </row>
    <row r="34" spans="32:123" ht="15.75" thickBot="1" x14ac:dyDescent="0.3">
      <c r="AQ34" s="126">
        <v>8</v>
      </c>
      <c r="AR34" s="58" t="s">
        <v>235</v>
      </c>
      <c r="AS34" s="58">
        <v>18</v>
      </c>
      <c r="AT34" s="58">
        <v>95</v>
      </c>
      <c r="AU34" s="58">
        <v>98</v>
      </c>
      <c r="AV34" s="58" t="s">
        <v>21</v>
      </c>
      <c r="AW34" s="58">
        <v>16500</v>
      </c>
      <c r="AX34" s="58">
        <v>98</v>
      </c>
      <c r="AY34" s="59">
        <v>0.37152777777777779</v>
      </c>
      <c r="AZ34" s="127">
        <v>-2000</v>
      </c>
      <c r="BB34" s="70"/>
      <c r="BD34" s="95" t="s">
        <v>264</v>
      </c>
      <c r="BE34" s="77" t="s">
        <v>265</v>
      </c>
      <c r="BF34" s="77" t="s">
        <v>266</v>
      </c>
      <c r="BG34" s="77" t="s">
        <v>166</v>
      </c>
      <c r="BH34" s="77" t="s">
        <v>267</v>
      </c>
      <c r="BI34" s="78"/>
      <c r="BJ34" s="83"/>
      <c r="BM34" s="82" t="s">
        <v>268</v>
      </c>
      <c r="BN34" s="78">
        <v>3</v>
      </c>
      <c r="BO34" s="78">
        <v>249</v>
      </c>
      <c r="BP34" s="78">
        <v>83</v>
      </c>
      <c r="BQ34" s="103">
        <v>73</v>
      </c>
      <c r="BT34" s="82" t="s">
        <v>303</v>
      </c>
      <c r="BU34" s="78">
        <v>79.5</v>
      </c>
      <c r="BV34" s="78" t="s">
        <v>303</v>
      </c>
      <c r="BW34" s="78">
        <v>82.3</v>
      </c>
      <c r="BX34" s="78" t="s">
        <v>303</v>
      </c>
      <c r="BY34" s="83">
        <v>79.3</v>
      </c>
    </row>
    <row r="35" spans="32:123" ht="30.75" thickBot="1" x14ac:dyDescent="0.55000000000000004">
      <c r="AF35" s="109" t="s">
        <v>157</v>
      </c>
      <c r="AG35" s="96"/>
      <c r="AH35" s="97"/>
      <c r="AQ35" s="126">
        <v>9</v>
      </c>
      <c r="AR35" s="58" t="s">
        <v>236</v>
      </c>
      <c r="AS35" s="58">
        <v>22</v>
      </c>
      <c r="AT35" s="58">
        <v>73</v>
      </c>
      <c r="AU35" s="58">
        <v>77</v>
      </c>
      <c r="AV35" s="58" t="s">
        <v>22</v>
      </c>
      <c r="AW35" s="58">
        <v>17500</v>
      </c>
      <c r="AX35" s="58">
        <v>87</v>
      </c>
      <c r="AY35" s="59">
        <v>0.39583333333333331</v>
      </c>
      <c r="AZ35" s="127">
        <v>1200</v>
      </c>
      <c r="BB35" s="70"/>
      <c r="BD35" s="82" t="s">
        <v>268</v>
      </c>
      <c r="BE35" s="78">
        <v>3</v>
      </c>
      <c r="BF35" s="78">
        <v>249</v>
      </c>
      <c r="BG35" s="78">
        <v>83</v>
      </c>
      <c r="BH35" s="78">
        <v>73</v>
      </c>
      <c r="BI35" s="78"/>
      <c r="BJ35" s="83"/>
      <c r="BM35" s="82" t="s">
        <v>269</v>
      </c>
      <c r="BN35" s="78">
        <v>3</v>
      </c>
      <c r="BO35" s="78">
        <v>273</v>
      </c>
      <c r="BP35" s="78">
        <v>91</v>
      </c>
      <c r="BQ35" s="83">
        <v>13</v>
      </c>
      <c r="BT35" s="82" t="s">
        <v>304</v>
      </c>
      <c r="BU35" s="78">
        <v>4.1372293466360626</v>
      </c>
      <c r="BV35" s="78" t="s">
        <v>304</v>
      </c>
      <c r="BW35" s="78">
        <v>3.7684361625362812</v>
      </c>
      <c r="BX35" s="78" t="s">
        <v>304</v>
      </c>
      <c r="BY35" s="83">
        <v>3.8673849907484836</v>
      </c>
      <c r="CG35" s="217" t="s">
        <v>358</v>
      </c>
      <c r="CH35" s="217" t="s">
        <v>71</v>
      </c>
      <c r="CI35" s="217" t="s">
        <v>73</v>
      </c>
      <c r="CJ35" s="217" t="s">
        <v>72</v>
      </c>
      <c r="CK35" s="217" t="s">
        <v>171</v>
      </c>
      <c r="CL35" s="217" t="s">
        <v>74</v>
      </c>
      <c r="CM35" s="217" t="s">
        <v>359</v>
      </c>
      <c r="CN35" s="217" t="s">
        <v>76</v>
      </c>
      <c r="CO35" s="217" t="s">
        <v>170</v>
      </c>
      <c r="CP35" s="217" t="s">
        <v>242</v>
      </c>
      <c r="CQ35" s="217" t="s">
        <v>360</v>
      </c>
      <c r="CR35" s="217" t="s">
        <v>398</v>
      </c>
      <c r="CS35" s="217" t="s">
        <v>405</v>
      </c>
      <c r="CT35" s="217" t="s">
        <v>406</v>
      </c>
      <c r="CU35" s="217" t="s">
        <v>397</v>
      </c>
    </row>
    <row r="36" spans="32:123" ht="75.75" thickBot="1" x14ac:dyDescent="0.3">
      <c r="AQ36" s="128">
        <v>10</v>
      </c>
      <c r="AR36" s="129" t="s">
        <v>237</v>
      </c>
      <c r="AS36" s="129">
        <v>19</v>
      </c>
      <c r="AT36" s="129">
        <v>89</v>
      </c>
      <c r="AU36" s="129">
        <v>93</v>
      </c>
      <c r="AV36" s="129" t="s">
        <v>21</v>
      </c>
      <c r="AW36" s="129">
        <v>16000</v>
      </c>
      <c r="AX36" s="129">
        <v>95</v>
      </c>
      <c r="AY36" s="130">
        <v>0.38194444444444442</v>
      </c>
      <c r="AZ36" s="131">
        <v>0</v>
      </c>
      <c r="BB36" s="70"/>
      <c r="BD36" s="82" t="s">
        <v>269</v>
      </c>
      <c r="BE36" s="78">
        <v>3</v>
      </c>
      <c r="BF36" s="78">
        <v>273</v>
      </c>
      <c r="BG36" s="78">
        <v>91</v>
      </c>
      <c r="BH36" s="78">
        <v>13</v>
      </c>
      <c r="BI36" s="78"/>
      <c r="BJ36" s="83"/>
      <c r="BM36" s="82" t="s">
        <v>270</v>
      </c>
      <c r="BN36" s="78">
        <v>3</v>
      </c>
      <c r="BO36" s="78">
        <v>223</v>
      </c>
      <c r="BP36" s="78">
        <v>74.333333333333329</v>
      </c>
      <c r="BQ36" s="83">
        <v>86.33333333333394</v>
      </c>
      <c r="BT36" s="82" t="s">
        <v>305</v>
      </c>
      <c r="BU36" s="78">
        <v>81.5</v>
      </c>
      <c r="BV36" s="78" t="s">
        <v>305</v>
      </c>
      <c r="BW36" s="78">
        <v>83</v>
      </c>
      <c r="BX36" s="78" t="s">
        <v>305</v>
      </c>
      <c r="BY36" s="83">
        <v>80.5</v>
      </c>
      <c r="CF36">
        <v>0</v>
      </c>
      <c r="CG36" s="218" t="s">
        <v>372</v>
      </c>
      <c r="CH36" s="218" t="s">
        <v>373</v>
      </c>
      <c r="CI36" s="218" t="s">
        <v>22</v>
      </c>
      <c r="CJ36" s="218">
        <v>23</v>
      </c>
      <c r="CK36" s="218" t="s">
        <v>94</v>
      </c>
      <c r="CL36" s="218" t="s">
        <v>82</v>
      </c>
      <c r="CM36" s="218" t="s">
        <v>362</v>
      </c>
      <c r="CN36" s="218">
        <v>42000</v>
      </c>
      <c r="CO36" s="218">
        <v>1</v>
      </c>
      <c r="CP36" s="218" t="s">
        <v>166</v>
      </c>
      <c r="CQ36" s="218">
        <v>2024</v>
      </c>
      <c r="CR36">
        <f>CN36/CO36</f>
        <v>42000</v>
      </c>
      <c r="CS36" s="220" t="s">
        <v>228</v>
      </c>
      <c r="CT36" t="s">
        <v>404</v>
      </c>
      <c r="CU36" s="221" t="s">
        <v>408</v>
      </c>
    </row>
    <row r="37" spans="32:123" ht="30.75" customHeight="1" thickBot="1" x14ac:dyDescent="0.35">
      <c r="AF37" s="10" t="s">
        <v>70</v>
      </c>
      <c r="AG37" s="11" t="s">
        <v>71</v>
      </c>
      <c r="AH37" s="11" t="s">
        <v>72</v>
      </c>
      <c r="AI37" s="11" t="s">
        <v>73</v>
      </c>
      <c r="AJ37" s="11" t="s">
        <v>74</v>
      </c>
      <c r="AK37" s="11" t="s">
        <v>75</v>
      </c>
      <c r="AL37" s="11" t="s">
        <v>76</v>
      </c>
      <c r="AM37" s="11" t="s">
        <v>77</v>
      </c>
      <c r="AN37" s="11" t="s">
        <v>78</v>
      </c>
      <c r="AO37" s="12" t="s">
        <v>79</v>
      </c>
      <c r="BB37" s="70"/>
      <c r="BD37" s="82" t="s">
        <v>270</v>
      </c>
      <c r="BE37" s="78">
        <v>3</v>
      </c>
      <c r="BF37" s="78">
        <v>223</v>
      </c>
      <c r="BG37" s="78">
        <v>74.333333333333329</v>
      </c>
      <c r="BH37" s="78">
        <v>86.33333333333394</v>
      </c>
      <c r="BI37" s="78"/>
      <c r="BJ37" s="83"/>
      <c r="BM37" s="82" t="s">
        <v>271</v>
      </c>
      <c r="BN37" s="78">
        <v>3</v>
      </c>
      <c r="BO37" s="78">
        <v>284</v>
      </c>
      <c r="BP37" s="78">
        <v>94.666666666666671</v>
      </c>
      <c r="BQ37" s="83">
        <v>12.333333333333332</v>
      </c>
      <c r="BT37" s="82" t="s">
        <v>306</v>
      </c>
      <c r="BU37" s="78" t="e">
        <v>#N/A</v>
      </c>
      <c r="BV37" s="78" t="s">
        <v>306</v>
      </c>
      <c r="BW37" s="78" t="e">
        <v>#N/A</v>
      </c>
      <c r="BX37" s="78" t="s">
        <v>306</v>
      </c>
      <c r="BY37" s="83" t="e">
        <v>#N/A</v>
      </c>
      <c r="CF37">
        <v>0</v>
      </c>
      <c r="CG37" s="218" t="s">
        <v>361</v>
      </c>
      <c r="CH37" s="220" t="s">
        <v>399</v>
      </c>
      <c r="CI37" s="218" t="s">
        <v>22</v>
      </c>
      <c r="CJ37" s="218">
        <v>24</v>
      </c>
      <c r="CK37" s="218" t="s">
        <v>84</v>
      </c>
      <c r="CL37" s="218" t="s">
        <v>82</v>
      </c>
      <c r="CM37" s="218" t="s">
        <v>362</v>
      </c>
      <c r="CN37" s="218">
        <v>45000</v>
      </c>
      <c r="CO37" s="218">
        <v>2</v>
      </c>
      <c r="CP37" s="218" t="s">
        <v>244</v>
      </c>
      <c r="CQ37" s="218">
        <v>2023</v>
      </c>
      <c r="CR37" t="e">
        <f>CN37/CF37</f>
        <v>#DIV/0!</v>
      </c>
      <c r="CS37" s="218" t="s">
        <v>229</v>
      </c>
      <c r="CT37" t="s">
        <v>407</v>
      </c>
      <c r="CZ37" s="265" t="s">
        <v>417</v>
      </c>
      <c r="DA37" s="266"/>
      <c r="DI37" s="78" t="s">
        <v>172</v>
      </c>
      <c r="DJ37" s="78" t="s">
        <v>419</v>
      </c>
      <c r="DL37" s="78" t="s">
        <v>415</v>
      </c>
      <c r="DM37" s="78" t="s">
        <v>419</v>
      </c>
    </row>
    <row r="38" spans="32:123" ht="30.75" thickBot="1" x14ac:dyDescent="0.3">
      <c r="AF38" s="44" t="s">
        <v>80</v>
      </c>
      <c r="AG38" s="45" t="s">
        <v>81</v>
      </c>
      <c r="AH38" s="45">
        <v>28</v>
      </c>
      <c r="AI38" s="45" t="s">
        <v>22</v>
      </c>
      <c r="AJ38" s="45" t="s">
        <v>82</v>
      </c>
      <c r="AK38" s="45" t="s">
        <v>83</v>
      </c>
      <c r="AL38" s="45">
        <v>55000</v>
      </c>
      <c r="AM38" s="45">
        <v>3</v>
      </c>
      <c r="AN38" s="45">
        <v>4</v>
      </c>
      <c r="AO38" s="46" t="s">
        <v>84</v>
      </c>
      <c r="BB38" s="70"/>
      <c r="BD38" s="82" t="s">
        <v>271</v>
      </c>
      <c r="BE38" s="78">
        <v>3</v>
      </c>
      <c r="BF38" s="78">
        <v>284</v>
      </c>
      <c r="BG38" s="78">
        <v>94.666666666666671</v>
      </c>
      <c r="BH38" s="78">
        <v>12.333333333333332</v>
      </c>
      <c r="BI38" s="78"/>
      <c r="BJ38" s="83"/>
      <c r="BM38" s="82" t="s">
        <v>272</v>
      </c>
      <c r="BN38" s="78">
        <v>3</v>
      </c>
      <c r="BO38" s="78">
        <v>239</v>
      </c>
      <c r="BP38" s="78">
        <v>79.666666666666671</v>
      </c>
      <c r="BQ38" s="83">
        <v>74.333333333333343</v>
      </c>
      <c r="BT38" s="82" t="s">
        <v>307</v>
      </c>
      <c r="BU38" s="78">
        <v>13.083067937860243</v>
      </c>
      <c r="BV38" s="78" t="s">
        <v>307</v>
      </c>
      <c r="BW38" s="78">
        <v>11.916841490559138</v>
      </c>
      <c r="BX38" s="78" t="s">
        <v>307</v>
      </c>
      <c r="BY38" s="83">
        <v>12.229745159514424</v>
      </c>
      <c r="CG38" s="218" t="s">
        <v>382</v>
      </c>
      <c r="CH38" s="218" t="s">
        <v>348</v>
      </c>
      <c r="CI38" s="218" t="s">
        <v>21</v>
      </c>
      <c r="CJ38" s="218">
        <v>24</v>
      </c>
      <c r="CK38" s="218" t="s">
        <v>99</v>
      </c>
      <c r="CL38" s="218" t="s">
        <v>87</v>
      </c>
      <c r="CM38" s="218" t="s">
        <v>205</v>
      </c>
      <c r="CN38" s="218">
        <v>44000</v>
      </c>
      <c r="CO38" s="218">
        <v>2</v>
      </c>
      <c r="CP38" s="218" t="s">
        <v>166</v>
      </c>
      <c r="CQ38" s="218">
        <v>2023</v>
      </c>
      <c r="CR38">
        <f t="shared" ref="CR38:CR43" si="19">CN38/CO38</f>
        <v>22000</v>
      </c>
      <c r="CZ38" s="268" t="s">
        <v>409</v>
      </c>
      <c r="DA38" s="269" t="s">
        <v>410</v>
      </c>
      <c r="DB38" s="269" t="s">
        <v>411</v>
      </c>
      <c r="DC38" s="269" t="s">
        <v>412</v>
      </c>
      <c r="DD38" s="269" t="s">
        <v>413</v>
      </c>
      <c r="DE38" s="269" t="s">
        <v>416</v>
      </c>
      <c r="DF38" s="270" t="s">
        <v>414</v>
      </c>
      <c r="DI38" s="267" t="s">
        <v>418</v>
      </c>
      <c r="DJ38" s="78">
        <f>DF39</f>
        <v>85</v>
      </c>
      <c r="DL38" s="78" t="s">
        <v>418</v>
      </c>
      <c r="DM38" s="78">
        <f>DF40</f>
        <v>90</v>
      </c>
    </row>
    <row r="39" spans="32:123" ht="30.75" customHeight="1" thickBot="1" x14ac:dyDescent="0.55000000000000004">
      <c r="AF39" s="44" t="s">
        <v>85</v>
      </c>
      <c r="AG39" s="45" t="s">
        <v>86</v>
      </c>
      <c r="AH39" s="45">
        <v>32</v>
      </c>
      <c r="AI39" s="45" t="s">
        <v>21</v>
      </c>
      <c r="AJ39" s="45" t="s">
        <v>87</v>
      </c>
      <c r="AK39" s="45" t="s">
        <v>88</v>
      </c>
      <c r="AL39" s="45">
        <v>65000</v>
      </c>
      <c r="AM39" s="45">
        <v>7</v>
      </c>
      <c r="AN39" s="45">
        <v>5</v>
      </c>
      <c r="AO39" s="46" t="s">
        <v>89</v>
      </c>
      <c r="AQ39" s="292" t="s">
        <v>238</v>
      </c>
      <c r="AR39" s="293"/>
      <c r="AS39" s="293"/>
      <c r="AT39" s="294"/>
      <c r="BB39" s="70"/>
      <c r="BD39" s="82" t="s">
        <v>272</v>
      </c>
      <c r="BE39" s="78">
        <v>3</v>
      </c>
      <c r="BF39" s="78">
        <v>239</v>
      </c>
      <c r="BG39" s="78">
        <v>79.666666666666671</v>
      </c>
      <c r="BH39" s="78">
        <v>74.333333333333343</v>
      </c>
      <c r="BI39" s="78"/>
      <c r="BJ39" s="83"/>
      <c r="BM39" s="82" t="s">
        <v>273</v>
      </c>
      <c r="BN39" s="78">
        <v>3</v>
      </c>
      <c r="BO39" s="78">
        <v>264</v>
      </c>
      <c r="BP39" s="78">
        <v>88</v>
      </c>
      <c r="BQ39" s="83">
        <v>28</v>
      </c>
      <c r="BT39" s="82" t="s">
        <v>308</v>
      </c>
      <c r="BU39" s="78">
        <v>171.16666666666666</v>
      </c>
      <c r="BV39" s="78" t="s">
        <v>308</v>
      </c>
      <c r="BW39" s="78">
        <v>142.01111111111175</v>
      </c>
      <c r="BX39" s="78" t="s">
        <v>308</v>
      </c>
      <c r="BY39" s="83">
        <v>149.56666666666649</v>
      </c>
      <c r="CG39" s="218" t="s">
        <v>378</v>
      </c>
      <c r="CH39" s="218" t="s">
        <v>346</v>
      </c>
      <c r="CI39" s="218" t="s">
        <v>22</v>
      </c>
      <c r="CJ39" s="218">
        <v>25</v>
      </c>
      <c r="CK39" s="218" t="s">
        <v>84</v>
      </c>
      <c r="CL39" s="218" t="s">
        <v>82</v>
      </c>
      <c r="CM39" s="218" t="s">
        <v>367</v>
      </c>
      <c r="CN39" s="218">
        <v>46000</v>
      </c>
      <c r="CO39" s="218">
        <v>2</v>
      </c>
      <c r="CP39" s="218" t="s">
        <v>166</v>
      </c>
      <c r="CQ39" s="218">
        <v>2023</v>
      </c>
      <c r="CR39">
        <f t="shared" si="19"/>
        <v>23000</v>
      </c>
      <c r="CZ39" s="159" t="s">
        <v>172</v>
      </c>
      <c r="DA39" s="156">
        <v>78</v>
      </c>
      <c r="DB39" s="156">
        <v>82</v>
      </c>
      <c r="DC39" s="156">
        <v>80</v>
      </c>
      <c r="DD39" s="156">
        <v>85</v>
      </c>
      <c r="DE39" s="156">
        <v>100</v>
      </c>
      <c r="DF39" s="197">
        <f>AVERAGE(DA39:DE39)</f>
        <v>85</v>
      </c>
      <c r="DI39" s="78">
        <v>70</v>
      </c>
      <c r="DJ39" s="78">
        <f t="dataTable" ref="DJ39:DJ44" dt2D="0" dtr="0" r1="DE39"/>
        <v>79</v>
      </c>
      <c r="DL39" s="78">
        <v>70</v>
      </c>
      <c r="DM39" s="78">
        <f t="dataTable" ref="DM39:DM44" dt2D="0" dtr="0" r1="DE40"/>
        <v>85</v>
      </c>
    </row>
    <row r="40" spans="32:123" ht="30.75" thickBot="1" x14ac:dyDescent="0.3">
      <c r="AF40" s="44" t="s">
        <v>90</v>
      </c>
      <c r="AG40" s="45" t="s">
        <v>91</v>
      </c>
      <c r="AH40" s="45">
        <v>26</v>
      </c>
      <c r="AI40" s="45" t="s">
        <v>22</v>
      </c>
      <c r="AJ40" s="45" t="s">
        <v>92</v>
      </c>
      <c r="AK40" s="45" t="s">
        <v>93</v>
      </c>
      <c r="AL40" s="45">
        <v>45000</v>
      </c>
      <c r="AM40" s="45">
        <v>2</v>
      </c>
      <c r="AN40" s="45">
        <v>3</v>
      </c>
      <c r="AO40" s="46" t="s">
        <v>94</v>
      </c>
      <c r="BB40" s="70"/>
      <c r="BD40" s="82" t="s">
        <v>273</v>
      </c>
      <c r="BE40" s="78">
        <v>3</v>
      </c>
      <c r="BF40" s="78">
        <v>264</v>
      </c>
      <c r="BG40" s="78">
        <v>88</v>
      </c>
      <c r="BH40" s="78">
        <v>28</v>
      </c>
      <c r="BI40" s="78"/>
      <c r="BJ40" s="83"/>
      <c r="BM40" s="82" t="s">
        <v>274</v>
      </c>
      <c r="BN40" s="78">
        <v>3</v>
      </c>
      <c r="BO40" s="78">
        <v>198</v>
      </c>
      <c r="BP40" s="78">
        <v>66</v>
      </c>
      <c r="BQ40" s="83">
        <v>148</v>
      </c>
      <c r="BT40" s="82" t="s">
        <v>309</v>
      </c>
      <c r="BU40" s="78">
        <v>-0.42524721651587472</v>
      </c>
      <c r="BV40" s="78" t="s">
        <v>309</v>
      </c>
      <c r="BW40" s="78">
        <v>-0.2883945810341082</v>
      </c>
      <c r="BX40" s="78" t="s">
        <v>309</v>
      </c>
      <c r="BY40" s="83">
        <v>-1.1956418783352016</v>
      </c>
      <c r="CG40" s="218" t="s">
        <v>366</v>
      </c>
      <c r="CH40" s="218" t="s">
        <v>402</v>
      </c>
      <c r="CI40" s="218" t="s">
        <v>21</v>
      </c>
      <c r="CJ40" s="218">
        <v>26</v>
      </c>
      <c r="CK40" s="218" t="s">
        <v>99</v>
      </c>
      <c r="CL40" s="218" t="s">
        <v>82</v>
      </c>
      <c r="CM40" s="218" t="s">
        <v>367</v>
      </c>
      <c r="CN40" s="218">
        <v>48000</v>
      </c>
      <c r="CO40" s="218">
        <v>3</v>
      </c>
      <c r="CP40" s="218" t="s">
        <v>166</v>
      </c>
      <c r="CQ40" s="218">
        <v>2022</v>
      </c>
      <c r="CR40">
        <f t="shared" si="19"/>
        <v>16000</v>
      </c>
      <c r="CZ40" s="159" t="s">
        <v>415</v>
      </c>
      <c r="DA40" s="156">
        <v>88</v>
      </c>
      <c r="DB40" s="156">
        <v>90</v>
      </c>
      <c r="DC40" s="156">
        <v>85</v>
      </c>
      <c r="DD40" s="156">
        <v>92</v>
      </c>
      <c r="DE40" s="156">
        <v>95</v>
      </c>
      <c r="DF40" s="197">
        <f t="shared" ref="DF40:DF43" si="20">AVERAGE(DA40:DE40)</f>
        <v>90</v>
      </c>
      <c r="DI40" s="78">
        <v>75</v>
      </c>
      <c r="DJ40" s="78">
        <v>80</v>
      </c>
      <c r="DL40" s="78">
        <v>75</v>
      </c>
      <c r="DM40" s="78">
        <v>86</v>
      </c>
    </row>
    <row r="41" spans="32:123" ht="30" customHeight="1" x14ac:dyDescent="0.25">
      <c r="AF41" s="44" t="s">
        <v>95</v>
      </c>
      <c r="AG41" s="45" t="s">
        <v>96</v>
      </c>
      <c r="AH41" s="45">
        <v>35</v>
      </c>
      <c r="AI41" s="45" t="s">
        <v>21</v>
      </c>
      <c r="AJ41" s="45" t="s">
        <v>97</v>
      </c>
      <c r="AK41" s="45" t="s">
        <v>98</v>
      </c>
      <c r="AL41" s="45">
        <v>70000</v>
      </c>
      <c r="AM41" s="45">
        <v>9</v>
      </c>
      <c r="AN41" s="45">
        <v>5</v>
      </c>
      <c r="AO41" s="46" t="s">
        <v>99</v>
      </c>
      <c r="AQ41" s="111" t="s">
        <v>168</v>
      </c>
      <c r="AR41" s="112" t="s">
        <v>71</v>
      </c>
      <c r="AS41" s="112" t="s">
        <v>73</v>
      </c>
      <c r="AT41" s="112" t="s">
        <v>72</v>
      </c>
      <c r="AU41" s="112" t="s">
        <v>171</v>
      </c>
      <c r="AV41" s="112" t="s">
        <v>239</v>
      </c>
      <c r="AW41" s="112" t="s">
        <v>240</v>
      </c>
      <c r="AX41" s="112" t="s">
        <v>241</v>
      </c>
      <c r="AY41" s="112" t="s">
        <v>225</v>
      </c>
      <c r="AZ41" s="113" t="s">
        <v>242</v>
      </c>
      <c r="BB41" s="70"/>
      <c r="BD41" s="82" t="s">
        <v>274</v>
      </c>
      <c r="BE41" s="78">
        <v>3</v>
      </c>
      <c r="BF41" s="78">
        <v>198</v>
      </c>
      <c r="BG41" s="78">
        <v>66</v>
      </c>
      <c r="BH41" s="78">
        <v>148</v>
      </c>
      <c r="BI41" s="78"/>
      <c r="BJ41" s="83"/>
      <c r="BM41" s="82" t="s">
        <v>275</v>
      </c>
      <c r="BN41" s="78">
        <v>3</v>
      </c>
      <c r="BO41" s="78">
        <v>279</v>
      </c>
      <c r="BP41" s="78">
        <v>93</v>
      </c>
      <c r="BQ41" s="83">
        <v>16</v>
      </c>
      <c r="BT41" s="82" t="s">
        <v>310</v>
      </c>
      <c r="BU41" s="78">
        <v>-0.61791515102410932</v>
      </c>
      <c r="BV41" s="78" t="s">
        <v>310</v>
      </c>
      <c r="BW41" s="78">
        <v>-0.49944142853657314</v>
      </c>
      <c r="BX41" s="78" t="s">
        <v>310</v>
      </c>
      <c r="BY41" s="83">
        <v>-0.39201006508050557</v>
      </c>
      <c r="CG41" s="218" t="s">
        <v>390</v>
      </c>
      <c r="CH41" s="218" t="s">
        <v>391</v>
      </c>
      <c r="CI41" s="218" t="s">
        <v>22</v>
      </c>
      <c r="CJ41" s="218">
        <v>26</v>
      </c>
      <c r="CK41" s="218" t="s">
        <v>99</v>
      </c>
      <c r="CL41" s="218" t="s">
        <v>82</v>
      </c>
      <c r="CM41" s="218" t="s">
        <v>362</v>
      </c>
      <c r="CN41" s="218">
        <v>47000</v>
      </c>
      <c r="CO41" s="218">
        <v>3</v>
      </c>
      <c r="CP41" s="218" t="s">
        <v>166</v>
      </c>
      <c r="CQ41" s="218">
        <v>2022</v>
      </c>
      <c r="CR41">
        <f t="shared" si="19"/>
        <v>15666.666666666666</v>
      </c>
      <c r="CZ41" s="159" t="s">
        <v>175</v>
      </c>
      <c r="DA41" s="156">
        <v>72</v>
      </c>
      <c r="DB41" s="156">
        <v>75</v>
      </c>
      <c r="DC41" s="156">
        <v>78</v>
      </c>
      <c r="DD41" s="156">
        <v>80</v>
      </c>
      <c r="DE41" s="156">
        <v>95</v>
      </c>
      <c r="DF41" s="197">
        <f t="shared" si="20"/>
        <v>80</v>
      </c>
      <c r="DI41" s="78">
        <v>80</v>
      </c>
      <c r="DJ41" s="78">
        <v>81</v>
      </c>
      <c r="DL41" s="78">
        <v>80</v>
      </c>
      <c r="DM41" s="78">
        <v>87</v>
      </c>
    </row>
    <row r="42" spans="32:123" ht="30" customHeight="1" x14ac:dyDescent="0.25">
      <c r="AF42" s="44" t="s">
        <v>100</v>
      </c>
      <c r="AG42" s="45" t="s">
        <v>101</v>
      </c>
      <c r="AH42" s="45">
        <v>30</v>
      </c>
      <c r="AI42" s="45" t="s">
        <v>22</v>
      </c>
      <c r="AJ42" s="45" t="s">
        <v>82</v>
      </c>
      <c r="AK42" s="45" t="s">
        <v>102</v>
      </c>
      <c r="AL42" s="45">
        <v>60000</v>
      </c>
      <c r="AM42" s="45">
        <v>5</v>
      </c>
      <c r="AN42" s="45">
        <v>4</v>
      </c>
      <c r="AO42" s="46" t="s">
        <v>103</v>
      </c>
      <c r="AQ42" s="114">
        <v>1</v>
      </c>
      <c r="AR42" s="110" t="s">
        <v>228</v>
      </c>
      <c r="AS42" s="110" t="s">
        <v>22</v>
      </c>
      <c r="AT42" s="110">
        <v>18</v>
      </c>
      <c r="AU42" s="110" t="s">
        <v>201</v>
      </c>
      <c r="AV42" s="110">
        <v>85</v>
      </c>
      <c r="AW42" s="110">
        <v>90</v>
      </c>
      <c r="AX42" s="110">
        <v>88</v>
      </c>
      <c r="AY42" s="110">
        <v>92</v>
      </c>
      <c r="AZ42" s="115" t="s">
        <v>243</v>
      </c>
      <c r="BB42" s="70"/>
      <c r="BD42" s="82" t="s">
        <v>275</v>
      </c>
      <c r="BE42" s="78">
        <v>3</v>
      </c>
      <c r="BF42" s="78">
        <v>279</v>
      </c>
      <c r="BG42" s="78">
        <v>93</v>
      </c>
      <c r="BH42" s="78">
        <v>16</v>
      </c>
      <c r="BI42" s="78"/>
      <c r="BJ42" s="83"/>
      <c r="BM42" s="82" t="s">
        <v>276</v>
      </c>
      <c r="BN42" s="78">
        <v>3</v>
      </c>
      <c r="BO42" s="78">
        <v>233</v>
      </c>
      <c r="BP42" s="78">
        <v>77.666666666666671</v>
      </c>
      <c r="BQ42" s="83">
        <v>86.333333333333343</v>
      </c>
      <c r="BT42" s="82" t="s">
        <v>311</v>
      </c>
      <c r="BU42" s="78">
        <v>41</v>
      </c>
      <c r="BV42" s="78" t="s">
        <v>311</v>
      </c>
      <c r="BW42" s="78">
        <v>38</v>
      </c>
      <c r="BX42" s="78" t="s">
        <v>311</v>
      </c>
      <c r="BY42" s="83">
        <v>36</v>
      </c>
      <c r="CG42" s="218" t="s">
        <v>375</v>
      </c>
      <c r="CH42" s="218" t="s">
        <v>376</v>
      </c>
      <c r="CI42" s="218" t="s">
        <v>22</v>
      </c>
      <c r="CJ42" s="218">
        <v>27</v>
      </c>
      <c r="CK42" s="218" t="s">
        <v>99</v>
      </c>
      <c r="CL42" s="218" t="s">
        <v>87</v>
      </c>
      <c r="CM42" s="218" t="s">
        <v>371</v>
      </c>
      <c r="CN42" s="218">
        <v>50000</v>
      </c>
      <c r="CO42" s="218">
        <v>4</v>
      </c>
      <c r="CP42" s="218" t="s">
        <v>244</v>
      </c>
      <c r="CQ42" s="218">
        <v>2021</v>
      </c>
      <c r="CR42">
        <f t="shared" si="19"/>
        <v>12500</v>
      </c>
      <c r="CV42" s="222"/>
      <c r="CZ42" s="159" t="s">
        <v>96</v>
      </c>
      <c r="DA42" s="156">
        <v>91</v>
      </c>
      <c r="DB42" s="156">
        <v>89</v>
      </c>
      <c r="DC42" s="156">
        <v>93</v>
      </c>
      <c r="DD42" s="156">
        <v>95</v>
      </c>
      <c r="DE42" s="156">
        <v>122</v>
      </c>
      <c r="DF42" s="197">
        <f t="shared" si="20"/>
        <v>98</v>
      </c>
      <c r="DI42" s="78">
        <v>85</v>
      </c>
      <c r="DJ42" s="78">
        <v>82</v>
      </c>
      <c r="DL42" s="78">
        <v>85</v>
      </c>
      <c r="DM42" s="78">
        <v>88</v>
      </c>
    </row>
    <row r="43" spans="32:123" ht="30" customHeight="1" thickBot="1" x14ac:dyDescent="0.3">
      <c r="AF43" s="44" t="s">
        <v>104</v>
      </c>
      <c r="AG43" s="45" t="s">
        <v>105</v>
      </c>
      <c r="AH43" s="45">
        <v>27</v>
      </c>
      <c r="AI43" s="45" t="s">
        <v>21</v>
      </c>
      <c r="AJ43" s="45" t="s">
        <v>106</v>
      </c>
      <c r="AK43" s="45" t="s">
        <v>107</v>
      </c>
      <c r="AL43" s="45">
        <v>50000</v>
      </c>
      <c r="AM43" s="45">
        <v>3</v>
      </c>
      <c r="AN43" s="45">
        <v>4</v>
      </c>
      <c r="AO43" s="46" t="s">
        <v>84</v>
      </c>
      <c r="AQ43" s="114">
        <v>2</v>
      </c>
      <c r="AR43" s="110" t="s">
        <v>229</v>
      </c>
      <c r="AS43" s="110" t="s">
        <v>21</v>
      </c>
      <c r="AT43" s="110">
        <v>19</v>
      </c>
      <c r="AU43" s="110" t="s">
        <v>198</v>
      </c>
      <c r="AV43" s="110">
        <v>78</v>
      </c>
      <c r="AW43" s="110">
        <v>88</v>
      </c>
      <c r="AX43" s="110">
        <v>84</v>
      </c>
      <c r="AY43" s="110">
        <v>89</v>
      </c>
      <c r="AZ43" s="115" t="s">
        <v>244</v>
      </c>
      <c r="BB43" s="70"/>
      <c r="BD43" s="82" t="s">
        <v>276</v>
      </c>
      <c r="BE43" s="78">
        <v>3</v>
      </c>
      <c r="BF43" s="78">
        <v>233</v>
      </c>
      <c r="BG43" s="78">
        <v>77.666666666666671</v>
      </c>
      <c r="BH43" s="78">
        <v>86.333333333333343</v>
      </c>
      <c r="BI43" s="78"/>
      <c r="BJ43" s="83"/>
      <c r="BM43" s="82" t="s">
        <v>277</v>
      </c>
      <c r="BN43" s="78">
        <v>3</v>
      </c>
      <c r="BO43" s="78">
        <v>291</v>
      </c>
      <c r="BP43" s="78">
        <v>97</v>
      </c>
      <c r="BQ43" s="83">
        <v>7</v>
      </c>
      <c r="BT43" s="82" t="s">
        <v>312</v>
      </c>
      <c r="BU43" s="78">
        <v>55</v>
      </c>
      <c r="BV43" s="78" t="s">
        <v>312</v>
      </c>
      <c r="BW43" s="78">
        <v>60</v>
      </c>
      <c r="BX43" s="78" t="s">
        <v>312</v>
      </c>
      <c r="BY43" s="83">
        <v>58</v>
      </c>
      <c r="CG43" s="218" t="s">
        <v>385</v>
      </c>
      <c r="CH43" s="218" t="s">
        <v>386</v>
      </c>
      <c r="CI43" s="218" t="s">
        <v>21</v>
      </c>
      <c r="CJ43" s="218">
        <v>27</v>
      </c>
      <c r="CK43" s="218" t="s">
        <v>84</v>
      </c>
      <c r="CL43" s="218" t="s">
        <v>82</v>
      </c>
      <c r="CM43" s="218" t="s">
        <v>362</v>
      </c>
      <c r="CN43" s="218">
        <v>51000</v>
      </c>
      <c r="CO43" s="218">
        <v>4</v>
      </c>
      <c r="CP43" s="218" t="s">
        <v>244</v>
      </c>
      <c r="CQ43" s="218">
        <v>2021</v>
      </c>
      <c r="CR43">
        <f t="shared" si="19"/>
        <v>12750</v>
      </c>
      <c r="CZ43" s="189" t="s">
        <v>109</v>
      </c>
      <c r="DA43" s="190">
        <v>65</v>
      </c>
      <c r="DB43" s="190">
        <v>70</v>
      </c>
      <c r="DC43" s="190">
        <v>68</v>
      </c>
      <c r="DD43" s="190">
        <v>72</v>
      </c>
      <c r="DE43" s="190">
        <v>175</v>
      </c>
      <c r="DF43" s="198">
        <f t="shared" si="20"/>
        <v>90</v>
      </c>
      <c r="DI43" s="78">
        <v>90</v>
      </c>
      <c r="DJ43" s="78">
        <v>83</v>
      </c>
      <c r="DL43" s="78">
        <v>90</v>
      </c>
      <c r="DM43" s="78">
        <v>89</v>
      </c>
    </row>
    <row r="44" spans="32:123" ht="30.75" thickBot="1" x14ac:dyDescent="0.3">
      <c r="AF44" s="44" t="s">
        <v>108</v>
      </c>
      <c r="AG44" s="45" t="s">
        <v>109</v>
      </c>
      <c r="AH44" s="45">
        <v>40</v>
      </c>
      <c r="AI44" s="45" t="s">
        <v>22</v>
      </c>
      <c r="AJ44" s="45" t="s">
        <v>110</v>
      </c>
      <c r="AK44" s="45" t="s">
        <v>111</v>
      </c>
      <c r="AL44" s="45">
        <v>85000</v>
      </c>
      <c r="AM44" s="45">
        <v>15</v>
      </c>
      <c r="AN44" s="45">
        <v>5</v>
      </c>
      <c r="AO44" s="46" t="s">
        <v>112</v>
      </c>
      <c r="AQ44" s="114">
        <v>3</v>
      </c>
      <c r="AR44" s="110" t="s">
        <v>230</v>
      </c>
      <c r="AS44" s="110" t="s">
        <v>22</v>
      </c>
      <c r="AT44" s="110">
        <v>20</v>
      </c>
      <c r="AU44" s="110" t="s">
        <v>84</v>
      </c>
      <c r="AV44" s="110">
        <v>92</v>
      </c>
      <c r="AW44" s="110">
        <v>95</v>
      </c>
      <c r="AX44" s="110">
        <v>91</v>
      </c>
      <c r="AY44" s="110">
        <v>96</v>
      </c>
      <c r="AZ44" s="115" t="s">
        <v>243</v>
      </c>
      <c r="BB44" s="70"/>
      <c r="BD44" s="82" t="s">
        <v>277</v>
      </c>
      <c r="BE44" s="78">
        <v>3</v>
      </c>
      <c r="BF44" s="78">
        <v>291</v>
      </c>
      <c r="BG44" s="78">
        <v>97</v>
      </c>
      <c r="BH44" s="78">
        <v>7</v>
      </c>
      <c r="BI44" s="78"/>
      <c r="BJ44" s="83"/>
      <c r="BM44" s="82"/>
      <c r="BN44" s="78"/>
      <c r="BO44" s="78"/>
      <c r="BP44" s="78"/>
      <c r="BQ44" s="83"/>
      <c r="BT44" s="82" t="s">
        <v>313</v>
      </c>
      <c r="BU44" s="78">
        <v>96</v>
      </c>
      <c r="BV44" s="78" t="s">
        <v>313</v>
      </c>
      <c r="BW44" s="78">
        <v>98</v>
      </c>
      <c r="BX44" s="78" t="s">
        <v>313</v>
      </c>
      <c r="BY44" s="83">
        <v>94</v>
      </c>
      <c r="CG44" s="218" t="s">
        <v>363</v>
      </c>
      <c r="CH44" s="218" t="s">
        <v>400</v>
      </c>
      <c r="CI44" s="218" t="s">
        <v>21</v>
      </c>
      <c r="CJ44" s="218">
        <v>28</v>
      </c>
      <c r="CK44" s="218" t="s">
        <v>94</v>
      </c>
      <c r="CL44" s="218" t="s">
        <v>87</v>
      </c>
      <c r="CM44" s="218" t="s">
        <v>205</v>
      </c>
      <c r="CN44" s="218">
        <v>52000</v>
      </c>
      <c r="CO44" s="218">
        <v>5</v>
      </c>
      <c r="CP44" s="218" t="s">
        <v>243</v>
      </c>
      <c r="CQ44" s="218">
        <v>2020</v>
      </c>
      <c r="CR44" t="e">
        <f>CN44/CF44</f>
        <v>#DIV/0!</v>
      </c>
      <c r="DI44" s="78">
        <v>95</v>
      </c>
      <c r="DJ44" s="78">
        <v>84</v>
      </c>
      <c r="DL44" s="78">
        <v>95</v>
      </c>
      <c r="DM44" s="78">
        <v>90</v>
      </c>
    </row>
    <row r="45" spans="32:123" ht="20.25" thickBot="1" x14ac:dyDescent="0.45">
      <c r="AF45" s="44" t="s">
        <v>113</v>
      </c>
      <c r="AG45" s="45" t="s">
        <v>114</v>
      </c>
      <c r="AH45" s="45">
        <v>29</v>
      </c>
      <c r="AI45" s="45" t="s">
        <v>21</v>
      </c>
      <c r="AJ45" s="45" t="s">
        <v>82</v>
      </c>
      <c r="AK45" s="45" t="s">
        <v>115</v>
      </c>
      <c r="AL45" s="45">
        <v>62000</v>
      </c>
      <c r="AM45" s="45">
        <v>4</v>
      </c>
      <c r="AN45" s="45">
        <v>4</v>
      </c>
      <c r="AO45" s="46" t="s">
        <v>89</v>
      </c>
      <c r="AQ45" s="114">
        <v>4</v>
      </c>
      <c r="AR45" s="110" t="s">
        <v>231</v>
      </c>
      <c r="AS45" s="110" t="s">
        <v>21</v>
      </c>
      <c r="AT45" s="110">
        <v>18</v>
      </c>
      <c r="AU45" s="110" t="s">
        <v>201</v>
      </c>
      <c r="AV45" s="110">
        <v>81</v>
      </c>
      <c r="AW45" s="110">
        <v>84</v>
      </c>
      <c r="AX45" s="110">
        <v>79</v>
      </c>
      <c r="AY45" s="110">
        <v>91</v>
      </c>
      <c r="AZ45" s="115" t="s">
        <v>244</v>
      </c>
      <c r="BB45" s="70"/>
      <c r="BD45" s="82"/>
      <c r="BE45" s="78"/>
      <c r="BF45" s="78"/>
      <c r="BG45" s="78"/>
      <c r="BH45" s="78"/>
      <c r="BI45" s="78"/>
      <c r="BJ45" s="83"/>
      <c r="BM45" s="82" t="s">
        <v>278</v>
      </c>
      <c r="BN45" s="78">
        <v>10</v>
      </c>
      <c r="BO45" s="78">
        <v>823</v>
      </c>
      <c r="BP45" s="78">
        <v>82.3</v>
      </c>
      <c r="BQ45" s="83">
        <v>142.01111111111175</v>
      </c>
      <c r="BT45" s="107" t="s">
        <v>266</v>
      </c>
      <c r="BU45" s="78">
        <v>795</v>
      </c>
      <c r="BV45" s="78" t="s">
        <v>266</v>
      </c>
      <c r="BW45" s="78">
        <v>823</v>
      </c>
      <c r="BX45" s="78" t="s">
        <v>266</v>
      </c>
      <c r="BY45" s="83">
        <v>793</v>
      </c>
      <c r="CG45" s="218" t="s">
        <v>392</v>
      </c>
      <c r="CH45" s="218" t="s">
        <v>393</v>
      </c>
      <c r="CI45" s="218" t="s">
        <v>21</v>
      </c>
      <c r="CJ45" s="218">
        <v>28</v>
      </c>
      <c r="CK45" s="218" t="s">
        <v>103</v>
      </c>
      <c r="CL45" s="218" t="s">
        <v>97</v>
      </c>
      <c r="CM45" s="218" t="s">
        <v>365</v>
      </c>
      <c r="CN45" s="218">
        <v>62000</v>
      </c>
      <c r="CO45" s="218">
        <v>6</v>
      </c>
      <c r="CP45" s="218" t="s">
        <v>243</v>
      </c>
      <c r="CQ45" s="218">
        <v>2019</v>
      </c>
      <c r="CR45">
        <f t="shared" ref="CR45:CR55" si="21">CN45/CO45</f>
        <v>10333.333333333334</v>
      </c>
      <c r="CZ45" s="233" t="s">
        <v>25</v>
      </c>
      <c r="DA45" s="234" t="s">
        <v>445</v>
      </c>
      <c r="DB45" s="234" t="s">
        <v>446</v>
      </c>
      <c r="DC45" s="234" t="s">
        <v>447</v>
      </c>
      <c r="DD45" s="234" t="s">
        <v>448</v>
      </c>
      <c r="DE45" s="263" t="s">
        <v>449</v>
      </c>
      <c r="DF45" s="66"/>
      <c r="DG45" s="66"/>
      <c r="DH45" s="66"/>
      <c r="DI45" s="258"/>
      <c r="DJ45" s="258"/>
      <c r="DK45" s="66"/>
      <c r="DL45" s="258"/>
      <c r="DM45" s="258"/>
      <c r="DN45" s="247" t="s">
        <v>499</v>
      </c>
      <c r="DO45" s="66"/>
      <c r="DP45" s="66"/>
      <c r="DQ45" s="66"/>
      <c r="DR45" s="66"/>
      <c r="DS45" s="21"/>
    </row>
    <row r="46" spans="32:123" ht="30.75" customHeight="1" thickBot="1" x14ac:dyDescent="0.3">
      <c r="AF46" s="44" t="s">
        <v>116</v>
      </c>
      <c r="AG46" s="45" t="s">
        <v>117</v>
      </c>
      <c r="AH46" s="45">
        <v>31</v>
      </c>
      <c r="AI46" s="45" t="s">
        <v>22</v>
      </c>
      <c r="AJ46" s="45" t="s">
        <v>92</v>
      </c>
      <c r="AK46" s="45" t="s">
        <v>118</v>
      </c>
      <c r="AL46" s="45">
        <v>75000</v>
      </c>
      <c r="AM46" s="45">
        <v>8</v>
      </c>
      <c r="AN46" s="45">
        <v>5</v>
      </c>
      <c r="AO46" s="46" t="s">
        <v>94</v>
      </c>
      <c r="AQ46" s="114">
        <v>5</v>
      </c>
      <c r="AR46" s="110" t="s">
        <v>232</v>
      </c>
      <c r="AS46" s="110" t="s">
        <v>22</v>
      </c>
      <c r="AT46" s="110">
        <v>21</v>
      </c>
      <c r="AU46" s="110" t="s">
        <v>213</v>
      </c>
      <c r="AV46" s="110">
        <v>75</v>
      </c>
      <c r="AW46" s="110">
        <v>80</v>
      </c>
      <c r="AX46" s="110">
        <v>77</v>
      </c>
      <c r="AY46" s="110">
        <v>86</v>
      </c>
      <c r="AZ46" s="115" t="s">
        <v>166</v>
      </c>
      <c r="BB46" s="70"/>
      <c r="BD46" s="82" t="s">
        <v>278</v>
      </c>
      <c r="BE46" s="78">
        <v>10</v>
      </c>
      <c r="BF46" s="78">
        <v>823</v>
      </c>
      <c r="BG46" s="78">
        <v>82.3</v>
      </c>
      <c r="BH46" s="78">
        <v>142.01111111111175</v>
      </c>
      <c r="BI46" s="78"/>
      <c r="BJ46" s="83"/>
      <c r="BM46" s="82" t="s">
        <v>279</v>
      </c>
      <c r="BN46" s="78">
        <v>10</v>
      </c>
      <c r="BO46" s="78">
        <v>793</v>
      </c>
      <c r="BP46" s="78">
        <v>79.3</v>
      </c>
      <c r="BQ46" s="83">
        <v>149.56666666666649</v>
      </c>
      <c r="BT46" s="84" t="s">
        <v>265</v>
      </c>
      <c r="BU46" s="108">
        <v>10</v>
      </c>
      <c r="BV46" s="85" t="s">
        <v>265</v>
      </c>
      <c r="BW46" s="85">
        <v>10</v>
      </c>
      <c r="BX46" s="85" t="s">
        <v>265</v>
      </c>
      <c r="BY46" s="86">
        <v>10</v>
      </c>
      <c r="CG46" s="218" t="s">
        <v>370</v>
      </c>
      <c r="CH46" s="218" t="s">
        <v>233</v>
      </c>
      <c r="CI46" s="218" t="s">
        <v>21</v>
      </c>
      <c r="CJ46" s="218">
        <v>29</v>
      </c>
      <c r="CK46" s="218" t="s">
        <v>84</v>
      </c>
      <c r="CL46" s="218" t="s">
        <v>106</v>
      </c>
      <c r="CM46" s="218" t="s">
        <v>371</v>
      </c>
      <c r="CN46" s="218">
        <v>55000</v>
      </c>
      <c r="CO46" s="218">
        <v>6</v>
      </c>
      <c r="CP46" s="218" t="s">
        <v>244</v>
      </c>
      <c r="CQ46" s="218">
        <v>2019</v>
      </c>
      <c r="CR46">
        <f t="shared" si="21"/>
        <v>9166.6666666666661</v>
      </c>
      <c r="CT46" s="246" t="s">
        <v>497</v>
      </c>
      <c r="CZ46" s="235">
        <v>46181</v>
      </c>
      <c r="DA46" s="78" t="s">
        <v>92</v>
      </c>
      <c r="DB46" s="78" t="s">
        <v>450</v>
      </c>
      <c r="DC46" s="78" t="s">
        <v>453</v>
      </c>
      <c r="DD46" s="78" t="s">
        <v>458</v>
      </c>
      <c r="DE46" s="197">
        <v>57</v>
      </c>
      <c r="DI46" s="260" t="s">
        <v>462</v>
      </c>
      <c r="DJ46" s="261" t="s">
        <v>265</v>
      </c>
      <c r="DK46" s="261" t="s">
        <v>463</v>
      </c>
      <c r="DL46" s="262" t="s">
        <v>449</v>
      </c>
      <c r="DN46" s="256" t="s">
        <v>53</v>
      </c>
      <c r="DO46" s="256" t="s">
        <v>476</v>
      </c>
      <c r="DP46" s="256" t="s">
        <v>477</v>
      </c>
      <c r="DQ46" s="256" t="s">
        <v>478</v>
      </c>
      <c r="DR46" s="256" t="s">
        <v>479</v>
      </c>
      <c r="DS46" s="257" t="s">
        <v>480</v>
      </c>
    </row>
    <row r="47" spans="32:123" ht="15.75" thickBot="1" x14ac:dyDescent="0.3">
      <c r="AF47" s="47" t="s">
        <v>119</v>
      </c>
      <c r="AG47" s="48" t="s">
        <v>120</v>
      </c>
      <c r="AH47" s="48">
        <v>25</v>
      </c>
      <c r="AI47" s="48" t="s">
        <v>21</v>
      </c>
      <c r="AJ47" s="48" t="s">
        <v>121</v>
      </c>
      <c r="AK47" s="48" t="s">
        <v>122</v>
      </c>
      <c r="AL47" s="48">
        <v>40000</v>
      </c>
      <c r="AM47" s="48">
        <v>1</v>
      </c>
      <c r="AN47" s="48">
        <v>3</v>
      </c>
      <c r="AO47" s="49" t="s">
        <v>123</v>
      </c>
      <c r="AQ47" s="114">
        <v>6</v>
      </c>
      <c r="AR47" s="110" t="s">
        <v>233</v>
      </c>
      <c r="AS47" s="110" t="s">
        <v>21</v>
      </c>
      <c r="AT47" s="110">
        <v>19</v>
      </c>
      <c r="AU47" s="110" t="s">
        <v>218</v>
      </c>
      <c r="AV47" s="110">
        <v>88</v>
      </c>
      <c r="AW47" s="110">
        <v>91</v>
      </c>
      <c r="AX47" s="110">
        <v>89</v>
      </c>
      <c r="AY47" s="110">
        <v>94</v>
      </c>
      <c r="AZ47" s="115" t="s">
        <v>243</v>
      </c>
      <c r="BB47" s="70"/>
      <c r="BD47" s="82" t="s">
        <v>279</v>
      </c>
      <c r="BE47" s="78">
        <v>10</v>
      </c>
      <c r="BF47" s="78">
        <v>793</v>
      </c>
      <c r="BG47" s="78">
        <v>79.3</v>
      </c>
      <c r="BH47" s="78">
        <v>149.56666666666649</v>
      </c>
      <c r="BI47" s="78"/>
      <c r="BJ47" s="83"/>
      <c r="BM47" s="84" t="s">
        <v>280</v>
      </c>
      <c r="BN47" s="85">
        <v>10</v>
      </c>
      <c r="BO47" s="85">
        <v>917</v>
      </c>
      <c r="BP47" s="85">
        <v>91.7</v>
      </c>
      <c r="BQ47" s="86">
        <v>37.788888888888884</v>
      </c>
      <c r="BY47" s="67"/>
      <c r="CG47" s="218" t="s">
        <v>380</v>
      </c>
      <c r="CH47" s="218" t="s">
        <v>381</v>
      </c>
      <c r="CI47" s="218" t="s">
        <v>22</v>
      </c>
      <c r="CJ47" s="218">
        <v>29</v>
      </c>
      <c r="CK47" s="218" t="s">
        <v>89</v>
      </c>
      <c r="CL47" s="218" t="s">
        <v>92</v>
      </c>
      <c r="CM47" s="218" t="s">
        <v>371</v>
      </c>
      <c r="CN47" s="218">
        <v>56000</v>
      </c>
      <c r="CO47" s="218">
        <v>5</v>
      </c>
      <c r="CP47" s="218" t="s">
        <v>244</v>
      </c>
      <c r="CQ47" s="218">
        <v>2020</v>
      </c>
      <c r="CR47">
        <f t="shared" si="21"/>
        <v>11200</v>
      </c>
      <c r="CZ47" s="235">
        <v>46182</v>
      </c>
      <c r="DA47" s="78" t="s">
        <v>92</v>
      </c>
      <c r="DB47" s="78" t="s">
        <v>451</v>
      </c>
      <c r="DC47" s="78" t="s">
        <v>454</v>
      </c>
      <c r="DD47" s="78" t="s">
        <v>459</v>
      </c>
      <c r="DE47" s="197">
        <v>89</v>
      </c>
      <c r="DI47" s="159" t="s">
        <v>464</v>
      </c>
      <c r="DJ47" s="156">
        <v>45</v>
      </c>
      <c r="DK47" s="156">
        <v>22500</v>
      </c>
      <c r="DL47" s="197">
        <v>45</v>
      </c>
      <c r="DN47" s="259">
        <v>46174</v>
      </c>
      <c r="DO47" s="78" t="s">
        <v>162</v>
      </c>
      <c r="DP47" s="78" t="s">
        <v>481</v>
      </c>
      <c r="DQ47" s="78" t="s">
        <v>62</v>
      </c>
      <c r="DR47" s="78" t="s">
        <v>494</v>
      </c>
      <c r="DS47" s="78">
        <v>35</v>
      </c>
    </row>
    <row r="48" spans="32:123" x14ac:dyDescent="0.25">
      <c r="AQ48" s="114">
        <v>7</v>
      </c>
      <c r="AR48" s="110" t="s">
        <v>234</v>
      </c>
      <c r="AS48" s="110" t="s">
        <v>22</v>
      </c>
      <c r="AT48" s="110">
        <v>20</v>
      </c>
      <c r="AU48" s="110" t="s">
        <v>245</v>
      </c>
      <c r="AV48" s="110">
        <v>67</v>
      </c>
      <c r="AW48" s="110">
        <v>72</v>
      </c>
      <c r="AX48" s="110">
        <v>70</v>
      </c>
      <c r="AY48" s="110">
        <v>82</v>
      </c>
      <c r="AZ48" s="115" t="s">
        <v>166</v>
      </c>
      <c r="BB48" s="70"/>
      <c r="BD48" s="82" t="s">
        <v>280</v>
      </c>
      <c r="BE48" s="78">
        <v>10</v>
      </c>
      <c r="BF48" s="78">
        <v>917</v>
      </c>
      <c r="BG48" s="78">
        <v>91.7</v>
      </c>
      <c r="BH48" s="78">
        <v>37.788888888888884</v>
      </c>
      <c r="BI48" s="78"/>
      <c r="BJ48" s="83"/>
      <c r="BM48" s="70"/>
      <c r="BY48" s="67"/>
      <c r="CG48" s="218" t="s">
        <v>377</v>
      </c>
      <c r="CH48" s="218" t="s">
        <v>262</v>
      </c>
      <c r="CI48" s="218" t="s">
        <v>21</v>
      </c>
      <c r="CJ48" s="218">
        <v>30</v>
      </c>
      <c r="CK48" s="218" t="s">
        <v>103</v>
      </c>
      <c r="CL48" s="218" t="s">
        <v>92</v>
      </c>
      <c r="CM48" s="218" t="s">
        <v>371</v>
      </c>
      <c r="CN48" s="218">
        <v>58000</v>
      </c>
      <c r="CO48" s="218">
        <v>7</v>
      </c>
      <c r="CP48" s="218" t="s">
        <v>244</v>
      </c>
      <c r="CQ48" s="218">
        <v>2018</v>
      </c>
      <c r="CR48">
        <f t="shared" si="21"/>
        <v>8285.7142857142862</v>
      </c>
      <c r="CZ48" s="235">
        <v>46183</v>
      </c>
      <c r="DA48" s="78" t="s">
        <v>92</v>
      </c>
      <c r="DB48" s="78" t="s">
        <v>452</v>
      </c>
      <c r="DC48" s="78" t="s">
        <v>455</v>
      </c>
      <c r="DD48" s="78" t="s">
        <v>460</v>
      </c>
      <c r="DE48" s="197">
        <v>78</v>
      </c>
      <c r="DI48" s="159" t="s">
        <v>465</v>
      </c>
      <c r="DJ48" s="156">
        <v>30</v>
      </c>
      <c r="DK48" s="156">
        <v>30000</v>
      </c>
      <c r="DL48" s="197">
        <v>30</v>
      </c>
      <c r="DN48" s="259"/>
      <c r="DO48" s="78" t="s">
        <v>496</v>
      </c>
      <c r="DP48" s="78"/>
      <c r="DQ48" s="78"/>
      <c r="DR48" s="78"/>
      <c r="DS48" s="78"/>
    </row>
    <row r="49" spans="1:123" ht="30.75" thickBot="1" x14ac:dyDescent="0.3">
      <c r="AQ49" s="114">
        <v>8</v>
      </c>
      <c r="AR49" s="110" t="s">
        <v>235</v>
      </c>
      <c r="AS49" s="110" t="s">
        <v>21</v>
      </c>
      <c r="AT49" s="110">
        <v>18</v>
      </c>
      <c r="AU49" s="110" t="s">
        <v>246</v>
      </c>
      <c r="AV49" s="110">
        <v>95</v>
      </c>
      <c r="AW49" s="110">
        <v>98</v>
      </c>
      <c r="AX49" s="110">
        <v>96</v>
      </c>
      <c r="AY49" s="110">
        <v>98</v>
      </c>
      <c r="AZ49" s="115" t="s">
        <v>243</v>
      </c>
      <c r="BB49" s="70"/>
      <c r="BD49" s="82"/>
      <c r="BE49" s="78"/>
      <c r="BF49" s="78"/>
      <c r="BG49" s="78"/>
      <c r="BH49" s="78"/>
      <c r="BI49" s="78"/>
      <c r="BJ49" s="83"/>
      <c r="BM49" s="70"/>
      <c r="BY49" s="67"/>
      <c r="CG49" s="218" t="s">
        <v>364</v>
      </c>
      <c r="CH49" s="218" t="s">
        <v>401</v>
      </c>
      <c r="CI49" s="218" t="s">
        <v>22</v>
      </c>
      <c r="CJ49" s="218">
        <v>31</v>
      </c>
      <c r="CK49" s="218" t="s">
        <v>89</v>
      </c>
      <c r="CL49" s="218" t="s">
        <v>97</v>
      </c>
      <c r="CM49" s="218" t="s">
        <v>365</v>
      </c>
      <c r="CN49" s="218">
        <v>60000</v>
      </c>
      <c r="CO49" s="218">
        <v>7</v>
      </c>
      <c r="CP49" s="218" t="s">
        <v>244</v>
      </c>
      <c r="CQ49" s="218">
        <v>2018</v>
      </c>
      <c r="CR49">
        <f t="shared" si="21"/>
        <v>8571.4285714285706</v>
      </c>
      <c r="CZ49" s="264">
        <v>46184</v>
      </c>
      <c r="DA49" s="85" t="s">
        <v>92</v>
      </c>
      <c r="DB49" s="85" t="s">
        <v>456</v>
      </c>
      <c r="DC49" s="85" t="s">
        <v>457</v>
      </c>
      <c r="DD49" s="85" t="s">
        <v>461</v>
      </c>
      <c r="DE49" s="198">
        <v>60</v>
      </c>
      <c r="DI49" s="159" t="s">
        <v>466</v>
      </c>
      <c r="DJ49" s="156">
        <v>50</v>
      </c>
      <c r="DK49" s="156">
        <v>20000</v>
      </c>
      <c r="DL49" s="197">
        <v>50</v>
      </c>
      <c r="DN49" s="259"/>
      <c r="DO49" s="78">
        <v>517326</v>
      </c>
      <c r="DP49" s="78"/>
      <c r="DQ49" s="78"/>
      <c r="DR49" s="78"/>
      <c r="DS49" s="78"/>
    </row>
    <row r="50" spans="1:123" ht="15.75" thickBot="1" x14ac:dyDescent="0.3">
      <c r="X50" s="1"/>
      <c r="AQ50" s="114">
        <v>9</v>
      </c>
      <c r="AR50" s="110" t="s">
        <v>236</v>
      </c>
      <c r="AS50" s="110" t="s">
        <v>22</v>
      </c>
      <c r="AT50" s="110">
        <v>22</v>
      </c>
      <c r="AU50" s="110" t="s">
        <v>247</v>
      </c>
      <c r="AV50" s="110">
        <v>73</v>
      </c>
      <c r="AW50" s="110">
        <v>77</v>
      </c>
      <c r="AX50" s="110">
        <v>75</v>
      </c>
      <c r="AY50" s="110">
        <v>87</v>
      </c>
      <c r="AZ50" s="115" t="s">
        <v>166</v>
      </c>
      <c r="BB50" s="70"/>
      <c r="BD50" s="82"/>
      <c r="BE50" s="78"/>
      <c r="BF50" s="78"/>
      <c r="BG50" s="78"/>
      <c r="BH50" s="78"/>
      <c r="BI50" s="78"/>
      <c r="BJ50" s="83"/>
      <c r="BM50" s="70" t="s">
        <v>281</v>
      </c>
      <c r="BY50" s="67"/>
      <c r="CG50" s="218" t="s">
        <v>388</v>
      </c>
      <c r="CH50" s="218" t="s">
        <v>389</v>
      </c>
      <c r="CI50" s="218" t="s">
        <v>21</v>
      </c>
      <c r="CJ50" s="218">
        <v>31</v>
      </c>
      <c r="CK50" s="218" t="s">
        <v>89</v>
      </c>
      <c r="CL50" s="218" t="s">
        <v>106</v>
      </c>
      <c r="CM50" s="218" t="s">
        <v>371</v>
      </c>
      <c r="CN50" s="218">
        <v>59000</v>
      </c>
      <c r="CO50" s="218">
        <v>7</v>
      </c>
      <c r="CP50" s="218" t="s">
        <v>244</v>
      </c>
      <c r="CQ50" s="218">
        <v>2018</v>
      </c>
      <c r="CR50">
        <f t="shared" si="21"/>
        <v>8428.5714285714294</v>
      </c>
      <c r="CZ50" s="70"/>
      <c r="DI50" s="159" t="s">
        <v>467</v>
      </c>
      <c r="DJ50" s="156">
        <v>40</v>
      </c>
      <c r="DK50" s="156">
        <v>24000</v>
      </c>
      <c r="DL50" s="197">
        <v>40</v>
      </c>
      <c r="DN50" s="259">
        <v>46175</v>
      </c>
      <c r="DO50" s="78" t="s">
        <v>162</v>
      </c>
      <c r="DP50" s="78" t="s">
        <v>482</v>
      </c>
      <c r="DQ50" s="78" t="s">
        <v>492</v>
      </c>
      <c r="DR50" s="78" t="s">
        <v>494</v>
      </c>
      <c r="DS50" s="78">
        <v>89</v>
      </c>
    </row>
    <row r="51" spans="1:123" ht="20.25" thickBot="1" x14ac:dyDescent="0.45">
      <c r="X51" s="1"/>
      <c r="AF51" s="10" t="s">
        <v>69</v>
      </c>
      <c r="AG51" s="11" t="s">
        <v>124</v>
      </c>
      <c r="AH51" s="11" t="s">
        <v>150</v>
      </c>
      <c r="AI51" s="11" t="s">
        <v>125</v>
      </c>
      <c r="AJ51" s="11" t="s">
        <v>151</v>
      </c>
      <c r="AK51" s="11" t="s">
        <v>152</v>
      </c>
      <c r="AL51" s="11" t="s">
        <v>126</v>
      </c>
      <c r="AM51" s="11" t="s">
        <v>153</v>
      </c>
      <c r="AN51" s="11" t="s">
        <v>154</v>
      </c>
      <c r="AO51" s="12" t="s">
        <v>127</v>
      </c>
      <c r="AQ51" s="116">
        <v>10</v>
      </c>
      <c r="AR51" s="117" t="s">
        <v>237</v>
      </c>
      <c r="AS51" s="117" t="s">
        <v>21</v>
      </c>
      <c r="AT51" s="117">
        <v>19</v>
      </c>
      <c r="AU51" s="117" t="s">
        <v>248</v>
      </c>
      <c r="AV51" s="117">
        <v>89</v>
      </c>
      <c r="AW51" s="117">
        <v>93</v>
      </c>
      <c r="AX51" s="117">
        <v>90</v>
      </c>
      <c r="AY51" s="117">
        <v>95</v>
      </c>
      <c r="AZ51" s="118" t="s">
        <v>243</v>
      </c>
      <c r="BB51" s="70"/>
      <c r="BD51" s="82" t="s">
        <v>281</v>
      </c>
      <c r="BE51" s="78"/>
      <c r="BF51" s="78"/>
      <c r="BG51" s="78"/>
      <c r="BH51" s="78"/>
      <c r="BI51" s="78"/>
      <c r="BJ51" s="83"/>
      <c r="BM51" s="79" t="s">
        <v>282</v>
      </c>
      <c r="BN51" s="80" t="s">
        <v>283</v>
      </c>
      <c r="BO51" s="80" t="s">
        <v>284</v>
      </c>
      <c r="BP51" s="80" t="s">
        <v>285</v>
      </c>
      <c r="BQ51" s="80" t="s">
        <v>286</v>
      </c>
      <c r="BR51" s="80" t="s">
        <v>287</v>
      </c>
      <c r="BS51" s="81" t="s">
        <v>288</v>
      </c>
      <c r="BY51" s="67"/>
      <c r="CG51" s="218" t="s">
        <v>374</v>
      </c>
      <c r="CH51" s="218" t="s">
        <v>235</v>
      </c>
      <c r="CI51" s="218" t="s">
        <v>21</v>
      </c>
      <c r="CJ51" s="218">
        <v>32</v>
      </c>
      <c r="CK51" s="218" t="s">
        <v>89</v>
      </c>
      <c r="CL51" s="218" t="s">
        <v>97</v>
      </c>
      <c r="CM51" s="218" t="s">
        <v>369</v>
      </c>
      <c r="CN51" s="218">
        <v>78000</v>
      </c>
      <c r="CO51" s="218">
        <v>9</v>
      </c>
      <c r="CP51" s="218" t="s">
        <v>243</v>
      </c>
      <c r="CQ51" s="218">
        <v>2016</v>
      </c>
      <c r="CR51">
        <f t="shared" si="21"/>
        <v>8666.6666666666661</v>
      </c>
      <c r="CZ51" s="248" t="s">
        <v>498</v>
      </c>
      <c r="DA51" s="255"/>
      <c r="DI51" s="159" t="s">
        <v>468</v>
      </c>
      <c r="DJ51" s="156">
        <v>35</v>
      </c>
      <c r="DK51" s="156">
        <v>28000</v>
      </c>
      <c r="DL51" s="197">
        <v>35</v>
      </c>
      <c r="DN51" s="259"/>
      <c r="DO51" s="78" t="s">
        <v>496</v>
      </c>
      <c r="DP51" s="78"/>
      <c r="DQ51" s="78"/>
      <c r="DR51" s="78"/>
      <c r="DS51" s="78"/>
    </row>
    <row r="52" spans="1:123" ht="27.75" thickBot="1" x14ac:dyDescent="0.55000000000000004">
      <c r="A52" s="274" t="s">
        <v>156</v>
      </c>
      <c r="B52" s="275"/>
      <c r="C52" s="275"/>
      <c r="D52" s="275"/>
      <c r="E52" s="276"/>
      <c r="X52" s="1"/>
      <c r="AF52" s="44" t="str">
        <f>VLOOKUP(AH42,AH38:AO47,8,0)</f>
        <v>Pune</v>
      </c>
      <c r="AG52" s="45" t="str">
        <f>HLOOKUP(AH61,AF61:AP66,6,0)</f>
        <v>Bangalore</v>
      </c>
      <c r="AH52" s="45"/>
      <c r="AI52" s="45">
        <f>MATCH(AK38,AK38:AK47,0)</f>
        <v>1</v>
      </c>
      <c r="AJ52" s="45"/>
      <c r="AK52" s="45" t="s">
        <v>117</v>
      </c>
      <c r="AL52" s="45">
        <f>INDEX(AG38:AO47,9,6)</f>
        <v>75000</v>
      </c>
      <c r="AM52" s="45"/>
      <c r="AN52" s="45"/>
      <c r="AO52" s="46">
        <f>_xlfn.XLOOKUP(AG38,AG38:AG47,AL38:AL47)</f>
        <v>55000</v>
      </c>
      <c r="BB52" s="70"/>
      <c r="BD52" s="95" t="s">
        <v>282</v>
      </c>
      <c r="BE52" s="77" t="s">
        <v>283</v>
      </c>
      <c r="BF52" s="77" t="s">
        <v>284</v>
      </c>
      <c r="BG52" s="77" t="s">
        <v>285</v>
      </c>
      <c r="BH52" s="77" t="s">
        <v>286</v>
      </c>
      <c r="BI52" s="77" t="s">
        <v>287</v>
      </c>
      <c r="BJ52" s="93" t="s">
        <v>288</v>
      </c>
      <c r="BM52" s="82" t="s">
        <v>289</v>
      </c>
      <c r="BN52" s="78">
        <v>2712.6999999999989</v>
      </c>
      <c r="BO52" s="78">
        <v>9</v>
      </c>
      <c r="BP52" s="78">
        <v>301.41111111111098</v>
      </c>
      <c r="BQ52" s="78">
        <v>21.563593004769395</v>
      </c>
      <c r="BR52" s="78">
        <v>7.0172456427602747E-8</v>
      </c>
      <c r="BS52" s="103">
        <v>2.4562811491592669</v>
      </c>
      <c r="BY52" s="67"/>
      <c r="CG52" s="218" t="s">
        <v>383</v>
      </c>
      <c r="CH52" s="218" t="s">
        <v>384</v>
      </c>
      <c r="CI52" s="218" t="s">
        <v>22</v>
      </c>
      <c r="CJ52" s="218">
        <v>33</v>
      </c>
      <c r="CK52" s="218" t="s">
        <v>103</v>
      </c>
      <c r="CL52" s="218" t="s">
        <v>97</v>
      </c>
      <c r="CM52" s="218" t="s">
        <v>365</v>
      </c>
      <c r="CN52" s="218">
        <v>65000</v>
      </c>
      <c r="CO52" s="218">
        <v>8</v>
      </c>
      <c r="CP52" s="218" t="s">
        <v>243</v>
      </c>
      <c r="CQ52" s="218">
        <v>2017</v>
      </c>
      <c r="CR52">
        <f t="shared" si="21"/>
        <v>8125</v>
      </c>
      <c r="CZ52" s="70"/>
      <c r="DI52" s="159" t="s">
        <v>469</v>
      </c>
      <c r="DJ52" s="156">
        <v>25</v>
      </c>
      <c r="DK52" s="156">
        <v>18750</v>
      </c>
      <c r="DL52" s="197">
        <v>25</v>
      </c>
      <c r="DN52" s="259"/>
      <c r="DO52" s="78">
        <v>517326</v>
      </c>
      <c r="DP52" s="78"/>
      <c r="DQ52" s="78"/>
      <c r="DR52" s="78"/>
      <c r="DS52" s="78"/>
    </row>
    <row r="53" spans="1:123" ht="16.5" thickBot="1" x14ac:dyDescent="0.3">
      <c r="X53" s="1"/>
      <c r="AF53" s="44">
        <f>VLOOKUP(AH46,AH37:AM47,6,0)</f>
        <v>8</v>
      </c>
      <c r="AG53" s="45" t="str">
        <f>HLOOKUP(AG62,AF62:AP66,5,0)</f>
        <v>Hyderabad</v>
      </c>
      <c r="AH53" s="45"/>
      <c r="AI53" s="45">
        <f>MATCH(AK42,AK38:AK47,0)</f>
        <v>5</v>
      </c>
      <c r="AJ53" s="45"/>
      <c r="AK53" s="45" t="s">
        <v>86</v>
      </c>
      <c r="AL53" s="45" t="str">
        <f>INDEX(AG38:AO47,2,4)</f>
        <v>HR</v>
      </c>
      <c r="AM53" s="45"/>
      <c r="AN53" s="45"/>
      <c r="AO53" s="46" t="str">
        <f>_xlfn.XLOOKUP(AG39,AG38:AG47,AO38:AO47)</f>
        <v>Bangalore</v>
      </c>
      <c r="BB53" s="70"/>
      <c r="BD53" s="82" t="s">
        <v>289</v>
      </c>
      <c r="BE53" s="78">
        <v>2712.6999999999989</v>
      </c>
      <c r="BF53" s="78">
        <v>9</v>
      </c>
      <c r="BG53" s="78">
        <v>301.41111111111098</v>
      </c>
      <c r="BH53" s="78">
        <v>21.563593004769395</v>
      </c>
      <c r="BI53" s="78">
        <v>7.0172456427602747E-8</v>
      </c>
      <c r="BJ53" s="83">
        <v>2.4562811491592669</v>
      </c>
      <c r="BM53" s="82" t="s">
        <v>290</v>
      </c>
      <c r="BN53" s="78">
        <v>837.06666666666615</v>
      </c>
      <c r="BO53" s="78">
        <v>2</v>
      </c>
      <c r="BP53" s="78">
        <v>418.53333333333308</v>
      </c>
      <c r="BQ53" s="78">
        <v>29.942766295707354</v>
      </c>
      <c r="BR53" s="78">
        <v>1.8807947326322032E-6</v>
      </c>
      <c r="BS53" s="83">
        <v>3.5545571456617879</v>
      </c>
      <c r="BY53" s="67"/>
      <c r="CG53" s="218" t="s">
        <v>379</v>
      </c>
      <c r="CH53" s="218" t="s">
        <v>237</v>
      </c>
      <c r="CI53" s="218" t="s">
        <v>21</v>
      </c>
      <c r="CJ53" s="218">
        <v>34</v>
      </c>
      <c r="CK53" s="218" t="s">
        <v>94</v>
      </c>
      <c r="CL53" s="218" t="s">
        <v>106</v>
      </c>
      <c r="CM53" s="218" t="s">
        <v>369</v>
      </c>
      <c r="CN53" s="218">
        <v>72000</v>
      </c>
      <c r="CO53" s="218">
        <v>11</v>
      </c>
      <c r="CP53" s="218" t="s">
        <v>243</v>
      </c>
      <c r="CQ53" s="218">
        <v>2014</v>
      </c>
      <c r="CR53">
        <f t="shared" si="21"/>
        <v>6545.454545454545</v>
      </c>
      <c r="CZ53" s="252" t="s">
        <v>474</v>
      </c>
      <c r="DA53" s="253" t="s">
        <v>265</v>
      </c>
      <c r="DB53" s="254" t="s">
        <v>475</v>
      </c>
      <c r="DI53" s="159" t="s">
        <v>470</v>
      </c>
      <c r="DJ53" s="156">
        <v>20</v>
      </c>
      <c r="DK53" s="156">
        <v>18000</v>
      </c>
      <c r="DL53" s="197">
        <v>20</v>
      </c>
      <c r="DN53" s="259">
        <v>46176</v>
      </c>
      <c r="DO53" s="78" t="s">
        <v>162</v>
      </c>
      <c r="DP53" s="78" t="s">
        <v>483</v>
      </c>
      <c r="DQ53" s="78" t="s">
        <v>63</v>
      </c>
      <c r="DR53" s="78" t="s">
        <v>494</v>
      </c>
      <c r="DS53" s="78">
        <v>76</v>
      </c>
    </row>
    <row r="54" spans="1:123" ht="30" x14ac:dyDescent="0.25">
      <c r="A54" s="33" t="s">
        <v>70</v>
      </c>
      <c r="B54" s="20" t="s">
        <v>71</v>
      </c>
      <c r="C54" s="20" t="s">
        <v>72</v>
      </c>
      <c r="D54" s="20" t="s">
        <v>73</v>
      </c>
      <c r="E54" s="20" t="s">
        <v>74</v>
      </c>
      <c r="F54" s="20" t="s">
        <v>75</v>
      </c>
      <c r="G54" s="20" t="s">
        <v>76</v>
      </c>
      <c r="H54" s="20" t="s">
        <v>77</v>
      </c>
      <c r="I54" s="20" t="s">
        <v>78</v>
      </c>
      <c r="J54" s="20" t="s">
        <v>79</v>
      </c>
      <c r="K54" s="20" t="s">
        <v>128</v>
      </c>
      <c r="L54" s="20" t="s">
        <v>129</v>
      </c>
      <c r="M54" s="20" t="s">
        <v>130</v>
      </c>
      <c r="N54" s="20" t="s">
        <v>131</v>
      </c>
      <c r="O54" s="20" t="s">
        <v>132</v>
      </c>
      <c r="P54" s="20" t="s">
        <v>134</v>
      </c>
      <c r="Q54" s="20" t="s">
        <v>133</v>
      </c>
      <c r="R54" s="20" t="s">
        <v>135</v>
      </c>
      <c r="S54" s="34" t="s">
        <v>136</v>
      </c>
      <c r="X54" s="1"/>
      <c r="AF54" s="44"/>
      <c r="AG54" s="45" t="str">
        <f>HLOOKUP(AH58,AG58:AP66,3,0)</f>
        <v>Female</v>
      </c>
      <c r="AH54" s="45"/>
      <c r="AI54" s="45">
        <f>MATCH(AJ44,AJ38:AJ47,0)</f>
        <v>7</v>
      </c>
      <c r="AJ54" s="45"/>
      <c r="AK54" s="45" t="s">
        <v>81</v>
      </c>
      <c r="AL54" s="45" t="str">
        <f>INDEX(AG38:AO47,1,4)</f>
        <v>IT</v>
      </c>
      <c r="AM54" s="45"/>
      <c r="AN54" s="45"/>
      <c r="AO54" s="46"/>
      <c r="BB54" s="70"/>
      <c r="BD54" s="82" t="s">
        <v>290</v>
      </c>
      <c r="BE54" s="78">
        <v>837.06666666666615</v>
      </c>
      <c r="BF54" s="78">
        <v>2</v>
      </c>
      <c r="BG54" s="78">
        <v>418.53333333333308</v>
      </c>
      <c r="BH54" s="78">
        <v>29.942766295707354</v>
      </c>
      <c r="BI54" s="78">
        <v>1.8807947326322032E-6</v>
      </c>
      <c r="BJ54" s="83">
        <v>3.5545571456617879</v>
      </c>
      <c r="BM54" s="82" t="s">
        <v>291</v>
      </c>
      <c r="BN54" s="78">
        <v>251.60000000000082</v>
      </c>
      <c r="BO54" s="78">
        <v>18</v>
      </c>
      <c r="BP54" s="78">
        <v>13.977777777777824</v>
      </c>
      <c r="BQ54" s="78"/>
      <c r="BR54" s="78"/>
      <c r="BS54" s="83"/>
      <c r="BY54" s="67"/>
      <c r="CG54" s="218" t="s">
        <v>368</v>
      </c>
      <c r="CH54" s="218" t="s">
        <v>403</v>
      </c>
      <c r="CI54" s="218" t="s">
        <v>22</v>
      </c>
      <c r="CJ54" s="218">
        <v>35</v>
      </c>
      <c r="CK54" s="218" t="s">
        <v>103</v>
      </c>
      <c r="CL54" s="218" t="s">
        <v>92</v>
      </c>
      <c r="CM54" s="218" t="s">
        <v>369</v>
      </c>
      <c r="CN54" s="218">
        <v>75000</v>
      </c>
      <c r="CO54" s="218">
        <v>10</v>
      </c>
      <c r="CP54" s="218" t="s">
        <v>243</v>
      </c>
      <c r="CQ54" s="218">
        <v>2015</v>
      </c>
      <c r="CR54">
        <f t="shared" si="21"/>
        <v>7500</v>
      </c>
      <c r="CT54" s="160"/>
      <c r="CZ54" s="249" t="s">
        <v>464</v>
      </c>
      <c r="DA54" s="250">
        <f>COUNTIF(DI47:DI56,CZ54)</f>
        <v>1</v>
      </c>
      <c r="DB54" s="251">
        <f>SUMIF(DI47:DI56,DI47,DJ47:DJ56)</f>
        <v>45</v>
      </c>
      <c r="DI54" s="159" t="s">
        <v>471</v>
      </c>
      <c r="DJ54" s="156">
        <v>15</v>
      </c>
      <c r="DK54" s="156">
        <v>22500</v>
      </c>
      <c r="DL54" s="197">
        <v>15</v>
      </c>
      <c r="DN54" s="259"/>
      <c r="DO54" s="78" t="s">
        <v>496</v>
      </c>
      <c r="DP54" s="78"/>
      <c r="DQ54" s="78"/>
      <c r="DR54" s="78"/>
      <c r="DS54" s="78"/>
    </row>
    <row r="55" spans="1:123" x14ac:dyDescent="0.25">
      <c r="A55" s="35" t="s">
        <v>80</v>
      </c>
      <c r="B55" s="36" t="s">
        <v>81</v>
      </c>
      <c r="C55" s="36">
        <v>28</v>
      </c>
      <c r="D55" s="36" t="s">
        <v>22</v>
      </c>
      <c r="E55" s="36" t="s">
        <v>82</v>
      </c>
      <c r="F55" s="36" t="s">
        <v>83</v>
      </c>
      <c r="G55" s="36">
        <v>55000</v>
      </c>
      <c r="H55" s="36">
        <v>3</v>
      </c>
      <c r="I55" s="36">
        <v>4</v>
      </c>
      <c r="J55" s="36" t="s">
        <v>84</v>
      </c>
      <c r="K55" s="36" t="str">
        <f>IF(C55&gt;25,"ABOVE 25","BELOW 25")</f>
        <v>ABOVE 25</v>
      </c>
      <c r="L55" s="36" t="str">
        <f>IF(G55&lt;=55000,"50000-55000",IF(G55&lt;=40000,"40000-50000",IF(G55&lt;5500,"55000-59000",IF(G55&lt;=60000,"60000-70000",IF(G55&lt;=70000,"70000-86000")))))</f>
        <v>50000-55000</v>
      </c>
      <c r="M55" s="36" t="b">
        <f>AND(C55&gt;25,H55&gt;2)</f>
        <v>1</v>
      </c>
      <c r="N55" s="36" t="b">
        <f>OR(C55&gt;25,H55&gt;2)</f>
        <v>1</v>
      </c>
      <c r="O55" s="36" t="b">
        <f>NOT(G55&gt;60000)</f>
        <v>1</v>
      </c>
      <c r="P55" s="36" t="b">
        <f>_xlfn.XOR(C55&gt;25,G55&gt;50000)</f>
        <v>0</v>
      </c>
      <c r="Q55" s="36" t="e">
        <f>C55/0</f>
        <v>#DIV/0!</v>
      </c>
      <c r="R55" s="36" t="b">
        <f>ISBLANK(I55)</f>
        <v>0</v>
      </c>
      <c r="S55" s="37" t="b">
        <f>ISNUMBER(I55)</f>
        <v>1</v>
      </c>
      <c r="X55" s="1"/>
      <c r="AF55" s="47"/>
      <c r="AG55" s="48" t="str">
        <f>HLOOKUP(AG58,AG58:AP66,4,AD560)</f>
        <v>IT</v>
      </c>
      <c r="AH55" s="48"/>
      <c r="AI55" s="48"/>
      <c r="AJ55" s="48"/>
      <c r="AK55" s="48" t="s">
        <v>114</v>
      </c>
      <c r="AL55" s="48"/>
      <c r="AM55" s="48"/>
      <c r="AN55" s="48"/>
      <c r="AO55" s="49"/>
      <c r="BB55" s="70"/>
      <c r="BD55" s="82" t="s">
        <v>291</v>
      </c>
      <c r="BE55" s="78">
        <v>251.60000000000082</v>
      </c>
      <c r="BF55" s="78">
        <v>18</v>
      </c>
      <c r="BG55" s="78">
        <v>13.977777777777824</v>
      </c>
      <c r="BH55" s="78"/>
      <c r="BI55" s="78"/>
      <c r="BJ55" s="83"/>
      <c r="BM55" s="82"/>
      <c r="BN55" s="78"/>
      <c r="BO55" s="78"/>
      <c r="BP55" s="78"/>
      <c r="BQ55" s="78"/>
      <c r="BR55" s="78"/>
      <c r="BS55" s="83"/>
      <c r="BY55" s="67"/>
      <c r="CG55" s="218" t="s">
        <v>387</v>
      </c>
      <c r="CH55" s="218" t="s">
        <v>347</v>
      </c>
      <c r="CI55" s="218" t="s">
        <v>22</v>
      </c>
      <c r="CJ55" s="218">
        <v>36</v>
      </c>
      <c r="CK55" s="218" t="s">
        <v>94</v>
      </c>
      <c r="CL55" s="218" t="s">
        <v>92</v>
      </c>
      <c r="CM55" s="218" t="s">
        <v>369</v>
      </c>
      <c r="CN55" s="218">
        <v>80000</v>
      </c>
      <c r="CO55" s="218">
        <v>12</v>
      </c>
      <c r="CP55" s="218" t="s">
        <v>243</v>
      </c>
      <c r="CQ55" s="218">
        <v>2013</v>
      </c>
      <c r="CR55">
        <f t="shared" si="21"/>
        <v>6666.666666666667</v>
      </c>
      <c r="CZ55" s="239" t="s">
        <v>465</v>
      </c>
      <c r="DA55" s="240">
        <f t="shared" ref="DA55:DA56" si="22">COUNTIF(DI48:DI57,CZ55)</f>
        <v>1</v>
      </c>
      <c r="DB55" s="241">
        <f>SUMIF(DI47:DI56,DI48,DJ47:DJ56)</f>
        <v>30</v>
      </c>
      <c r="DI55" s="159" t="s">
        <v>472</v>
      </c>
      <c r="DJ55" s="156">
        <v>55</v>
      </c>
      <c r="DK55" s="156">
        <v>27500</v>
      </c>
      <c r="DL55" s="197">
        <v>55</v>
      </c>
      <c r="DN55" s="259"/>
      <c r="DO55" s="78">
        <v>517326</v>
      </c>
      <c r="DP55" s="78"/>
      <c r="DQ55" s="78"/>
      <c r="DR55" s="78"/>
      <c r="DS55" s="78"/>
    </row>
    <row r="56" spans="1:123" ht="15.75" thickBot="1" x14ac:dyDescent="0.3">
      <c r="A56" s="35" t="s">
        <v>85</v>
      </c>
      <c r="B56" s="36" t="s">
        <v>86</v>
      </c>
      <c r="C56" s="36">
        <v>32</v>
      </c>
      <c r="D56" s="36" t="s">
        <v>21</v>
      </c>
      <c r="E56" s="36" t="s">
        <v>87</v>
      </c>
      <c r="F56" s="36" t="s">
        <v>88</v>
      </c>
      <c r="G56" s="36">
        <v>65000</v>
      </c>
      <c r="H56" s="36">
        <v>7</v>
      </c>
      <c r="I56" s="36">
        <v>5</v>
      </c>
      <c r="J56" s="36" t="s">
        <v>89</v>
      </c>
      <c r="K56" s="36" t="str">
        <f>IF(C56&gt;25,"ABOVE 25","BELOW 25")</f>
        <v>ABOVE 25</v>
      </c>
      <c r="L56" s="36" t="str">
        <f>IF(G56&lt;=55000,"50000-55000",IF(G56&lt;=40000,"40000-50000",IF(G56&lt;5500,"55000-59000",IF(G56&lt;=60000,"60000-70000",IF(G56&lt;=70000,"70000-80000",IF(G56&lt;=80000,"80000-90000"))))))</f>
        <v>70000-80000</v>
      </c>
      <c r="M56" s="36" t="b">
        <f>AND(C56&lt;30,H56&lt;6)</f>
        <v>0</v>
      </c>
      <c r="N56" s="36" t="b">
        <f>OR(C56&gt;30,G56&gt;85000)</f>
        <v>1</v>
      </c>
      <c r="O56" s="36" t="b">
        <f>NOT(G56&gt;60000)</f>
        <v>0</v>
      </c>
      <c r="P56" s="36" t="b">
        <f>_xlfn.XOR(C56&gt;30,G56&gt;75000)</f>
        <v>1</v>
      </c>
      <c r="Q56" s="36" t="e">
        <f>D56+10</f>
        <v>#VALUE!</v>
      </c>
      <c r="R56" s="36" t="b">
        <f t="shared" ref="R56:R64" si="23">ISBLANK(I56)</f>
        <v>0</v>
      </c>
      <c r="S56" s="37" t="b">
        <f t="shared" ref="S56:S64" si="24">ISNUMBER(I56)</f>
        <v>1</v>
      </c>
      <c r="X56" s="1"/>
      <c r="BB56" s="70"/>
      <c r="BD56" s="82"/>
      <c r="BE56" s="78"/>
      <c r="BF56" s="78"/>
      <c r="BG56" s="78"/>
      <c r="BH56" s="78"/>
      <c r="BI56" s="78"/>
      <c r="BJ56" s="83"/>
      <c r="BM56" s="84" t="s">
        <v>292</v>
      </c>
      <c r="BN56" s="85">
        <v>3801.3666666666659</v>
      </c>
      <c r="BO56" s="85">
        <v>29</v>
      </c>
      <c r="BP56" s="85"/>
      <c r="BQ56" s="85"/>
      <c r="BR56" s="85"/>
      <c r="BS56" s="86"/>
      <c r="BY56" s="67"/>
      <c r="CZ56" s="239" t="s">
        <v>468</v>
      </c>
      <c r="DA56" s="240">
        <f t="shared" si="22"/>
        <v>1</v>
      </c>
      <c r="DB56" s="241">
        <f>SUMIF(DI47:DI56,DI51,DJ47:DJ56)</f>
        <v>35</v>
      </c>
      <c r="DI56" s="189" t="s">
        <v>473</v>
      </c>
      <c r="DJ56" s="190">
        <v>18</v>
      </c>
      <c r="DK56" s="190">
        <v>21600</v>
      </c>
      <c r="DL56" s="198">
        <v>18</v>
      </c>
      <c r="DN56" s="259">
        <v>46177</v>
      </c>
      <c r="DO56" s="78" t="s">
        <v>162</v>
      </c>
      <c r="DP56" s="78" t="s">
        <v>484</v>
      </c>
      <c r="DQ56" s="78" t="s">
        <v>62</v>
      </c>
      <c r="DR56" s="78" t="s">
        <v>494</v>
      </c>
      <c r="DS56" s="78">
        <v>56</v>
      </c>
    </row>
    <row r="57" spans="1:123" ht="15.75" thickBot="1" x14ac:dyDescent="0.3">
      <c r="A57" s="35" t="s">
        <v>90</v>
      </c>
      <c r="B57" s="36" t="s">
        <v>91</v>
      </c>
      <c r="C57" s="36">
        <v>26</v>
      </c>
      <c r="D57" s="36" t="s">
        <v>22</v>
      </c>
      <c r="E57" s="36" t="s">
        <v>92</v>
      </c>
      <c r="F57" s="36" t="s">
        <v>93</v>
      </c>
      <c r="G57" s="36">
        <v>45000</v>
      </c>
      <c r="H57" s="36">
        <v>2</v>
      </c>
      <c r="I57" s="36">
        <v>3</v>
      </c>
      <c r="J57" s="36" t="s">
        <v>94</v>
      </c>
      <c r="K57" s="36" t="str">
        <f t="shared" ref="K57:K64" si="25">IF(C57&gt;25,"ABOVE 25","BELOW 25")</f>
        <v>ABOVE 25</v>
      </c>
      <c r="L57" s="36" t="str">
        <f t="shared" ref="L57:L60" si="26">IF(G57&lt;=55000,"50000-55000",IF(G57&lt;=40000,"40000-50000",IF(G57&lt;5500,"55000-59000",IF(G57&lt;=60000,"60000-70000",IF(G57&lt;=70000,"70000-80000",IF(G57&lt;=80000,"80000-90000"))))))</f>
        <v>50000-55000</v>
      </c>
      <c r="M57" s="36" t="b">
        <f t="shared" ref="M57:M64" si="27">AND(C57&lt;30,H57&lt;6)</f>
        <v>1</v>
      </c>
      <c r="N57" s="36" t="b">
        <f>OR(C57&gt;35,H57&gt;3)</f>
        <v>0</v>
      </c>
      <c r="O57" s="36" t="b">
        <f t="shared" ref="O57:O64" si="28">NOT(G57&gt;60000)</f>
        <v>1</v>
      </c>
      <c r="P57" s="36" t="b">
        <f>_xlfn.XOR(C57&gt;25,G57&gt;40000)</f>
        <v>0</v>
      </c>
      <c r="Q57" s="36" t="e">
        <f>SQRT(-C57)</f>
        <v>#NUM!</v>
      </c>
      <c r="R57" s="36" t="b">
        <f t="shared" si="23"/>
        <v>0</v>
      </c>
      <c r="S57" s="37" t="b">
        <f t="shared" si="24"/>
        <v>1</v>
      </c>
      <c r="X57" s="1"/>
      <c r="AF57" s="10" t="s">
        <v>70</v>
      </c>
      <c r="AG57" s="11" t="s">
        <v>80</v>
      </c>
      <c r="AH57" s="11" t="s">
        <v>85</v>
      </c>
      <c r="AI57" s="11" t="s">
        <v>90</v>
      </c>
      <c r="AJ57" s="11" t="s">
        <v>95</v>
      </c>
      <c r="AK57" s="11" t="s">
        <v>100</v>
      </c>
      <c r="AL57" s="11" t="s">
        <v>104</v>
      </c>
      <c r="AM57" s="11" t="s">
        <v>108</v>
      </c>
      <c r="AN57" s="11" t="s">
        <v>113</v>
      </c>
      <c r="AO57" s="11" t="s">
        <v>116</v>
      </c>
      <c r="AP57" s="12" t="s">
        <v>119</v>
      </c>
      <c r="BB57" s="70"/>
      <c r="BD57" s="84" t="s">
        <v>292</v>
      </c>
      <c r="BE57" s="85">
        <v>3801.3666666666659</v>
      </c>
      <c r="BF57" s="85">
        <v>29</v>
      </c>
      <c r="BG57" s="85"/>
      <c r="BH57" s="85"/>
      <c r="BI57" s="85"/>
      <c r="BJ57" s="86"/>
      <c r="BY57" s="67"/>
      <c r="CZ57" s="239" t="s">
        <v>466</v>
      </c>
      <c r="DA57" s="240">
        <f>COUNTIF(DI47:DI56,CZ57)</f>
        <v>1</v>
      </c>
      <c r="DB57" s="241">
        <f>SUMIF(DI47:DI56,DI49,DJ47:DJ56)</f>
        <v>50</v>
      </c>
      <c r="DN57" s="259">
        <v>46178</v>
      </c>
      <c r="DO57" s="78" t="s">
        <v>162</v>
      </c>
      <c r="DP57" s="78" t="s">
        <v>485</v>
      </c>
      <c r="DQ57" s="78" t="s">
        <v>62</v>
      </c>
      <c r="DR57" s="78" t="s">
        <v>461</v>
      </c>
      <c r="DS57" s="78">
        <v>79</v>
      </c>
    </row>
    <row r="58" spans="1:123" ht="15.75" thickBot="1" x14ac:dyDescent="0.3">
      <c r="A58" s="35" t="s">
        <v>95</v>
      </c>
      <c r="B58" s="36" t="s">
        <v>96</v>
      </c>
      <c r="C58" s="36">
        <v>35</v>
      </c>
      <c r="D58" s="36" t="s">
        <v>21</v>
      </c>
      <c r="E58" s="36" t="s">
        <v>97</v>
      </c>
      <c r="F58" s="36" t="s">
        <v>98</v>
      </c>
      <c r="G58" s="36">
        <v>70000</v>
      </c>
      <c r="H58" s="36">
        <v>9</v>
      </c>
      <c r="I58" s="36">
        <v>5</v>
      </c>
      <c r="J58" s="36" t="s">
        <v>99</v>
      </c>
      <c r="K58" s="36" t="str">
        <f t="shared" si="25"/>
        <v>ABOVE 25</v>
      </c>
      <c r="L58" s="36" t="str">
        <f t="shared" si="26"/>
        <v>70000-80000</v>
      </c>
      <c r="M58" s="36" t="b">
        <f t="shared" si="27"/>
        <v>0</v>
      </c>
      <c r="N58" s="36" t="b">
        <f t="shared" ref="N58:N64" si="29">OR(C58&gt;35,H58&gt;3)</f>
        <v>1</v>
      </c>
      <c r="O58" s="36" t="b">
        <f t="shared" si="28"/>
        <v>0</v>
      </c>
      <c r="P58" s="36" t="b">
        <f>_xlfn.XOR(C58&lt;25,G58&lt;10000)</f>
        <v>0</v>
      </c>
      <c r="Q58" s="36" t="e">
        <f>E58+10</f>
        <v>#VALUE!</v>
      </c>
      <c r="R58" s="36" t="b">
        <f t="shared" si="23"/>
        <v>0</v>
      </c>
      <c r="S58" s="37" t="b">
        <f t="shared" si="24"/>
        <v>1</v>
      </c>
      <c r="X58" s="1"/>
      <c r="AF58" s="44" t="s">
        <v>71</v>
      </c>
      <c r="AG58" s="45" t="s">
        <v>81</v>
      </c>
      <c r="AH58" s="45" t="s">
        <v>86</v>
      </c>
      <c r="AI58" s="45" t="s">
        <v>91</v>
      </c>
      <c r="AJ58" s="45" t="s">
        <v>96</v>
      </c>
      <c r="AK58" s="45" t="s">
        <v>101</v>
      </c>
      <c r="AL58" s="45" t="s">
        <v>105</v>
      </c>
      <c r="AM58" s="45" t="s">
        <v>109</v>
      </c>
      <c r="AN58" s="45" t="s">
        <v>114</v>
      </c>
      <c r="AO58" s="45" t="s">
        <v>117</v>
      </c>
      <c r="AP58" s="46" t="s">
        <v>120</v>
      </c>
      <c r="BB58" s="71"/>
      <c r="BC58" s="68"/>
      <c r="BD58" s="68"/>
      <c r="BE58" s="68"/>
      <c r="BF58" s="68"/>
      <c r="BG58" s="68"/>
      <c r="BH58" s="68"/>
      <c r="BI58" s="68"/>
      <c r="BJ58" s="68"/>
      <c r="BK58" s="68"/>
      <c r="BL58" s="68"/>
      <c r="BM58" s="68"/>
      <c r="BN58" s="68"/>
      <c r="BO58" s="68"/>
      <c r="BP58" s="68"/>
      <c r="BQ58" s="68"/>
      <c r="BR58" s="68"/>
      <c r="BS58" s="68"/>
      <c r="BT58" s="68"/>
      <c r="BU58" s="68"/>
      <c r="BV58" s="68"/>
      <c r="BW58" s="68"/>
      <c r="BX58" s="68"/>
      <c r="BY58" s="69"/>
      <c r="CZ58" s="242" t="s">
        <v>467</v>
      </c>
      <c r="DA58" s="243">
        <f>COUNTIF(DI47:DI56,CZ58)</f>
        <v>1</v>
      </c>
      <c r="DB58" s="244">
        <f>SUMIF(DI47:DI56,DI50,DJ47:DJ56)</f>
        <v>40</v>
      </c>
      <c r="DN58" s="259">
        <v>46179</v>
      </c>
      <c r="DO58" s="78" t="s">
        <v>162</v>
      </c>
      <c r="DP58" s="78" t="s">
        <v>486</v>
      </c>
      <c r="DQ58" s="78" t="s">
        <v>62</v>
      </c>
      <c r="DR58" s="78" t="s">
        <v>461</v>
      </c>
      <c r="DS58" s="78">
        <v>60</v>
      </c>
    </row>
    <row r="59" spans="1:123" x14ac:dyDescent="0.25">
      <c r="A59" s="35" t="s">
        <v>100</v>
      </c>
      <c r="B59" s="36" t="s">
        <v>101</v>
      </c>
      <c r="C59" s="36">
        <v>30</v>
      </c>
      <c r="D59" s="36" t="s">
        <v>22</v>
      </c>
      <c r="E59" s="36" t="s">
        <v>82</v>
      </c>
      <c r="F59" s="36" t="s">
        <v>102</v>
      </c>
      <c r="G59" s="36">
        <v>60000</v>
      </c>
      <c r="H59" s="36">
        <v>5</v>
      </c>
      <c r="I59" s="36">
        <v>4</v>
      </c>
      <c r="J59" s="36" t="s">
        <v>103</v>
      </c>
      <c r="K59" s="36" t="str">
        <f t="shared" si="25"/>
        <v>ABOVE 25</v>
      </c>
      <c r="L59" s="36" t="str">
        <f t="shared" si="26"/>
        <v>60000-70000</v>
      </c>
      <c r="M59" s="36" t="b">
        <f t="shared" si="27"/>
        <v>0</v>
      </c>
      <c r="N59" s="36" t="b">
        <f t="shared" si="29"/>
        <v>1</v>
      </c>
      <c r="O59" s="36" t="b">
        <f t="shared" si="28"/>
        <v>1</v>
      </c>
      <c r="P59" s="36" t="b">
        <f t="shared" ref="P59:P64" si="30">_xlfn.XOR(C59&lt;25,G59&lt;10000)</f>
        <v>0</v>
      </c>
      <c r="Q59" s="36" t="e" cm="1">
        <f t="array" aca="1" ref="Q59" ca="1">summ(D55:D64)</f>
        <v>#NAME?</v>
      </c>
      <c r="R59" s="36" t="b">
        <f t="shared" si="23"/>
        <v>0</v>
      </c>
      <c r="S59" s="37" t="b">
        <f t="shared" si="24"/>
        <v>1</v>
      </c>
      <c r="X59" s="1"/>
      <c r="AF59" s="44" t="s">
        <v>72</v>
      </c>
      <c r="AG59" s="45">
        <v>28</v>
      </c>
      <c r="AH59" s="45">
        <v>32</v>
      </c>
      <c r="AI59" s="45">
        <v>26</v>
      </c>
      <c r="AJ59" s="45">
        <v>35</v>
      </c>
      <c r="AK59" s="45">
        <v>30</v>
      </c>
      <c r="AL59" s="45">
        <v>27</v>
      </c>
      <c r="AM59" s="45">
        <v>40</v>
      </c>
      <c r="AN59" s="45">
        <v>29</v>
      </c>
      <c r="AO59" s="45">
        <v>31</v>
      </c>
      <c r="AP59" s="46">
        <v>25</v>
      </c>
      <c r="CZ59" s="70"/>
      <c r="DN59" s="259">
        <v>46180</v>
      </c>
      <c r="DO59" s="78" t="s">
        <v>162</v>
      </c>
      <c r="DP59" s="78" t="s">
        <v>487</v>
      </c>
      <c r="DQ59" s="78" t="s">
        <v>62</v>
      </c>
      <c r="DR59" s="78" t="s">
        <v>461</v>
      </c>
      <c r="DS59" s="78">
        <v>79</v>
      </c>
    </row>
    <row r="60" spans="1:123" x14ac:dyDescent="0.25">
      <c r="A60" s="35" t="s">
        <v>104</v>
      </c>
      <c r="B60" s="36" t="s">
        <v>105</v>
      </c>
      <c r="C60" s="36">
        <v>27</v>
      </c>
      <c r="D60" s="36" t="s">
        <v>21</v>
      </c>
      <c r="E60" s="36" t="s">
        <v>106</v>
      </c>
      <c r="F60" s="36" t="s">
        <v>107</v>
      </c>
      <c r="G60" s="36">
        <v>50000</v>
      </c>
      <c r="H60" s="36">
        <v>3</v>
      </c>
      <c r="I60" s="36">
        <v>4</v>
      </c>
      <c r="J60" s="36" t="s">
        <v>84</v>
      </c>
      <c r="K60" s="36" t="str">
        <f t="shared" si="25"/>
        <v>ABOVE 25</v>
      </c>
      <c r="L60" s="36" t="str">
        <f t="shared" si="26"/>
        <v>50000-55000</v>
      </c>
      <c r="M60" s="36" t="b">
        <f t="shared" si="27"/>
        <v>1</v>
      </c>
      <c r="N60" s="36" t="b">
        <f t="shared" si="29"/>
        <v>0</v>
      </c>
      <c r="O60" s="36" t="b">
        <f t="shared" si="28"/>
        <v>1</v>
      </c>
      <c r="P60" s="36" t="b">
        <f t="shared" si="30"/>
        <v>0</v>
      </c>
      <c r="Q60" s="36" t="e" cm="1">
        <f t="array" aca="1" ref="Q60" ca="1">summ(C55:C64)</f>
        <v>#NAME?</v>
      </c>
      <c r="R60" s="36" t="b">
        <f t="shared" si="23"/>
        <v>0</v>
      </c>
      <c r="S60" s="37" t="b">
        <f t="shared" si="24"/>
        <v>1</v>
      </c>
      <c r="X60" s="1"/>
      <c r="AF60" s="44" t="s">
        <v>73</v>
      </c>
      <c r="AG60" s="45" t="s">
        <v>22</v>
      </c>
      <c r="AH60" s="45" t="s">
        <v>21</v>
      </c>
      <c r="AI60" s="45" t="s">
        <v>22</v>
      </c>
      <c r="AJ60" s="45" t="s">
        <v>21</v>
      </c>
      <c r="AK60" s="45" t="s">
        <v>22</v>
      </c>
      <c r="AL60" s="45" t="s">
        <v>21</v>
      </c>
      <c r="AM60" s="45" t="s">
        <v>22</v>
      </c>
      <c r="AN60" s="45" t="s">
        <v>21</v>
      </c>
      <c r="AO60" s="45" t="s">
        <v>22</v>
      </c>
      <c r="AP60" s="46" t="s">
        <v>21</v>
      </c>
      <c r="CZ60" s="70"/>
      <c r="DN60" s="259">
        <v>46181</v>
      </c>
      <c r="DO60" s="78" t="s">
        <v>162</v>
      </c>
      <c r="DP60" s="78" t="s">
        <v>488</v>
      </c>
      <c r="DQ60" s="78" t="s">
        <v>493</v>
      </c>
      <c r="DR60" s="78" t="s">
        <v>461</v>
      </c>
      <c r="DS60" s="78">
        <v>69</v>
      </c>
    </row>
    <row r="61" spans="1:123" ht="15.75" thickBot="1" x14ac:dyDescent="0.3">
      <c r="A61" s="35" t="s">
        <v>108</v>
      </c>
      <c r="B61" s="36" t="s">
        <v>109</v>
      </c>
      <c r="C61" s="36">
        <v>40</v>
      </c>
      <c r="D61" s="36" t="s">
        <v>22</v>
      </c>
      <c r="E61" s="36" t="s">
        <v>110</v>
      </c>
      <c r="F61" s="36" t="s">
        <v>111</v>
      </c>
      <c r="G61" s="36">
        <v>85000</v>
      </c>
      <c r="H61" s="36">
        <v>15</v>
      </c>
      <c r="I61" s="36">
        <v>5</v>
      </c>
      <c r="J61" s="36" t="s">
        <v>112</v>
      </c>
      <c r="K61" s="36" t="str">
        <f t="shared" si="25"/>
        <v>ABOVE 25</v>
      </c>
      <c r="L61" s="36" t="str" cm="1">
        <f t="array" ref="L61">_xlfn.IFS(G60&lt;50000,"40000-50000",G60&lt;60000,"50000-60000",G60&lt;70000,"60000-70000",G60&lt;80000,"70000-80000",G60&lt;90000,"80000-90000")</f>
        <v>50000-60000</v>
      </c>
      <c r="M61" s="36" t="b">
        <f t="shared" si="27"/>
        <v>0</v>
      </c>
      <c r="N61" s="36" t="b">
        <f t="shared" si="29"/>
        <v>1</v>
      </c>
      <c r="O61" s="36" t="b">
        <f t="shared" si="28"/>
        <v>0</v>
      </c>
      <c r="P61" s="36" t="b">
        <f t="shared" si="30"/>
        <v>0</v>
      </c>
      <c r="Q61" s="36"/>
      <c r="R61" s="36" t="b">
        <f t="shared" si="23"/>
        <v>0</v>
      </c>
      <c r="S61" s="37" t="b">
        <f t="shared" si="24"/>
        <v>1</v>
      </c>
      <c r="X61" s="1"/>
      <c r="AF61" s="44" t="s">
        <v>74</v>
      </c>
      <c r="AG61" s="45" t="s">
        <v>82</v>
      </c>
      <c r="AH61" s="45" t="s">
        <v>87</v>
      </c>
      <c r="AI61" s="45" t="s">
        <v>92</v>
      </c>
      <c r="AJ61" s="45" t="s">
        <v>97</v>
      </c>
      <c r="AK61" s="45" t="s">
        <v>82</v>
      </c>
      <c r="AL61" s="45" t="s">
        <v>106</v>
      </c>
      <c r="AM61" s="45" t="s">
        <v>110</v>
      </c>
      <c r="AN61" s="45" t="s">
        <v>82</v>
      </c>
      <c r="AO61" s="45" t="s">
        <v>92</v>
      </c>
      <c r="AP61" s="46" t="s">
        <v>121</v>
      </c>
      <c r="CZ61" s="70"/>
      <c r="DN61" s="259">
        <v>46182</v>
      </c>
      <c r="DO61" s="78" t="s">
        <v>162</v>
      </c>
      <c r="DP61" s="78" t="s">
        <v>489</v>
      </c>
      <c r="DQ61" s="78" t="s">
        <v>493</v>
      </c>
      <c r="DR61" s="78" t="s">
        <v>495</v>
      </c>
      <c r="DS61" s="78">
        <v>68</v>
      </c>
    </row>
    <row r="62" spans="1:123" ht="15.75" thickBot="1" x14ac:dyDescent="0.3">
      <c r="A62" s="35" t="s">
        <v>113</v>
      </c>
      <c r="B62" s="36" t="s">
        <v>114</v>
      </c>
      <c r="C62" s="36">
        <v>29</v>
      </c>
      <c r="D62" s="36" t="s">
        <v>21</v>
      </c>
      <c r="E62" s="36" t="s">
        <v>82</v>
      </c>
      <c r="F62" s="36" t="s">
        <v>115</v>
      </c>
      <c r="G62" s="36">
        <v>62000</v>
      </c>
      <c r="H62" s="36">
        <v>4</v>
      </c>
      <c r="I62" s="36">
        <v>4</v>
      </c>
      <c r="J62" s="36" t="s">
        <v>89</v>
      </c>
      <c r="K62" s="36" t="str">
        <f t="shared" si="25"/>
        <v>ABOVE 25</v>
      </c>
      <c r="L62" s="36" t="str" cm="1">
        <f t="array" ref="L62">_xlfn.IFS(G61&lt;50000,"40000-50000",G61&lt;60000,"50000-60000",G61&lt;70000,"60000-70000",G61&lt;80000,"70000-80000",G61&lt;90000,"80000-90000")</f>
        <v>80000-90000</v>
      </c>
      <c r="M62" s="36" t="b">
        <f t="shared" si="27"/>
        <v>1</v>
      </c>
      <c r="N62" s="36" t="b">
        <f t="shared" si="29"/>
        <v>1</v>
      </c>
      <c r="O62" s="36" t="b">
        <f t="shared" si="28"/>
        <v>0</v>
      </c>
      <c r="P62" s="36" t="b">
        <f t="shared" si="30"/>
        <v>0</v>
      </c>
      <c r="Q62" s="36"/>
      <c r="R62" s="36" t="b">
        <f t="shared" si="23"/>
        <v>0</v>
      </c>
      <c r="S62" s="37" t="b">
        <f t="shared" si="24"/>
        <v>1</v>
      </c>
      <c r="X62" s="1"/>
      <c r="AF62" s="44" t="s">
        <v>75</v>
      </c>
      <c r="AG62" s="45" t="s">
        <v>83</v>
      </c>
      <c r="AH62" s="45" t="s">
        <v>88</v>
      </c>
      <c r="AI62" s="45" t="s">
        <v>93</v>
      </c>
      <c r="AJ62" s="45" t="s">
        <v>98</v>
      </c>
      <c r="AK62" s="45" t="s">
        <v>102</v>
      </c>
      <c r="AL62" s="45" t="s">
        <v>107</v>
      </c>
      <c r="AM62" s="45" t="s">
        <v>111</v>
      </c>
      <c r="AN62" s="45" t="s">
        <v>115</v>
      </c>
      <c r="AO62" s="45" t="s">
        <v>118</v>
      </c>
      <c r="AP62" s="46" t="s">
        <v>122</v>
      </c>
      <c r="BF62" s="72"/>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21"/>
      <c r="CZ62" s="70"/>
      <c r="DN62" s="259">
        <v>46183</v>
      </c>
      <c r="DO62" s="78" t="s">
        <v>162</v>
      </c>
      <c r="DP62" s="78" t="s">
        <v>490</v>
      </c>
      <c r="DQ62" s="78" t="s">
        <v>63</v>
      </c>
      <c r="DR62" s="78" t="s">
        <v>495</v>
      </c>
      <c r="DS62" s="78">
        <v>90</v>
      </c>
    </row>
    <row r="63" spans="1:123" ht="20.25" thickBot="1" x14ac:dyDescent="0.45">
      <c r="A63" s="35" t="s">
        <v>116</v>
      </c>
      <c r="B63" s="36" t="s">
        <v>117</v>
      </c>
      <c r="C63" s="36">
        <v>31</v>
      </c>
      <c r="D63" s="36" t="s">
        <v>22</v>
      </c>
      <c r="E63" s="36" t="s">
        <v>92</v>
      </c>
      <c r="F63" s="36" t="s">
        <v>118</v>
      </c>
      <c r="G63" s="36">
        <v>75000</v>
      </c>
      <c r="H63" s="36">
        <v>8</v>
      </c>
      <c r="I63" s="36">
        <v>5</v>
      </c>
      <c r="J63" s="36" t="s">
        <v>94</v>
      </c>
      <c r="K63" s="36" t="str">
        <f t="shared" si="25"/>
        <v>ABOVE 25</v>
      </c>
      <c r="L63" s="36" t="str" cm="1">
        <f t="array" ref="L63">_xlfn.IFS(G62&lt;50000,"40000-50000",G62&lt;60000,"50000-60000",G62&lt;70000,"60000-70000",G62&lt;80000,"70000-80000",G62&lt;90000,"80000-90000")</f>
        <v>60000-70000</v>
      </c>
      <c r="M63" s="36" t="b">
        <f t="shared" si="27"/>
        <v>0</v>
      </c>
      <c r="N63" s="36" t="b">
        <f t="shared" si="29"/>
        <v>1</v>
      </c>
      <c r="O63" s="36" t="b">
        <f t="shared" si="28"/>
        <v>0</v>
      </c>
      <c r="P63" s="36" t="b">
        <f t="shared" si="30"/>
        <v>0</v>
      </c>
      <c r="Q63" s="36"/>
      <c r="R63" s="36" t="b">
        <f t="shared" si="23"/>
        <v>0</v>
      </c>
      <c r="S63" s="37" t="b">
        <f t="shared" si="24"/>
        <v>1</v>
      </c>
      <c r="X63" s="1"/>
      <c r="AF63" s="44" t="s">
        <v>76</v>
      </c>
      <c r="AG63" s="45">
        <v>55000</v>
      </c>
      <c r="AH63" s="45">
        <v>65000</v>
      </c>
      <c r="AI63" s="45">
        <v>45000</v>
      </c>
      <c r="AJ63" s="45">
        <v>70000</v>
      </c>
      <c r="AK63" s="45">
        <v>60000</v>
      </c>
      <c r="AL63" s="45">
        <v>50000</v>
      </c>
      <c r="AM63" s="45">
        <v>85000</v>
      </c>
      <c r="AN63" s="45">
        <v>62000</v>
      </c>
      <c r="AO63" s="45">
        <v>75000</v>
      </c>
      <c r="AP63" s="46">
        <v>40000</v>
      </c>
      <c r="BF63" s="70"/>
      <c r="BQ63" s="148" t="s">
        <v>293</v>
      </c>
      <c r="BR63" s="149"/>
      <c r="CE63" s="67"/>
      <c r="CZ63" s="70"/>
      <c r="DN63" s="259">
        <v>46184</v>
      </c>
      <c r="DO63" s="78" t="s">
        <v>162</v>
      </c>
      <c r="DP63" s="78" t="s">
        <v>491</v>
      </c>
      <c r="DQ63" s="78" t="s">
        <v>63</v>
      </c>
      <c r="DR63" s="78" t="s">
        <v>495</v>
      </c>
      <c r="DS63" s="78">
        <v>78</v>
      </c>
    </row>
    <row r="64" spans="1:123" ht="15.75" thickBot="1" x14ac:dyDescent="0.3">
      <c r="A64" s="38" t="s">
        <v>119</v>
      </c>
      <c r="B64" s="39" t="s">
        <v>120</v>
      </c>
      <c r="C64" s="39">
        <v>25</v>
      </c>
      <c r="D64" s="39" t="s">
        <v>21</v>
      </c>
      <c r="E64" s="39" t="s">
        <v>121</v>
      </c>
      <c r="F64" s="39" t="s">
        <v>122</v>
      </c>
      <c r="G64" s="39">
        <v>40000</v>
      </c>
      <c r="H64" s="39">
        <v>1</v>
      </c>
      <c r="I64" s="39">
        <v>3</v>
      </c>
      <c r="J64" s="39" t="s">
        <v>123</v>
      </c>
      <c r="K64" s="39" t="str">
        <f t="shared" si="25"/>
        <v>BELOW 25</v>
      </c>
      <c r="L64" s="39" t="str" cm="1">
        <f t="array" ref="L64">_xlfn.IFS(G63&lt;50000,"40000-50000",G63&lt;60000,"50000-60000",G63&lt;70000,"60000-70000",G63&lt;80000,"70000-80000",G63&lt;90000,"80000-90000")</f>
        <v>70000-80000</v>
      </c>
      <c r="M64" s="39" t="b">
        <f t="shared" si="27"/>
        <v>1</v>
      </c>
      <c r="N64" s="39" t="b">
        <f t="shared" si="29"/>
        <v>0</v>
      </c>
      <c r="O64" s="39" t="b">
        <f t="shared" si="28"/>
        <v>1</v>
      </c>
      <c r="P64" s="39" t="b">
        <f t="shared" si="30"/>
        <v>0</v>
      </c>
      <c r="Q64" s="39"/>
      <c r="R64" s="39" t="b">
        <f t="shared" si="23"/>
        <v>0</v>
      </c>
      <c r="S64" s="40" t="b">
        <f t="shared" si="24"/>
        <v>1</v>
      </c>
      <c r="X64" s="1"/>
      <c r="AF64" s="44" t="s">
        <v>77</v>
      </c>
      <c r="AG64" s="45">
        <v>3</v>
      </c>
      <c r="AH64" s="45">
        <v>7</v>
      </c>
      <c r="AI64" s="45">
        <v>2</v>
      </c>
      <c r="AJ64" s="45">
        <v>9</v>
      </c>
      <c r="AK64" s="45">
        <v>5</v>
      </c>
      <c r="AL64" s="45">
        <v>3</v>
      </c>
      <c r="AM64" s="45">
        <v>15</v>
      </c>
      <c r="AN64" s="45">
        <v>4</v>
      </c>
      <c r="AO64" s="45">
        <v>8</v>
      </c>
      <c r="AP64" s="46">
        <v>1</v>
      </c>
      <c r="BF64" s="70"/>
      <c r="CE64" s="67"/>
      <c r="CZ64" s="70"/>
      <c r="DS64" s="67"/>
    </row>
    <row r="65" spans="1:123" ht="30" x14ac:dyDescent="0.25">
      <c r="X65" s="1"/>
      <c r="AF65" s="44" t="s">
        <v>78</v>
      </c>
      <c r="AG65" s="45">
        <v>4</v>
      </c>
      <c r="AH65" s="45">
        <v>5</v>
      </c>
      <c r="AI65" s="45">
        <v>3</v>
      </c>
      <c r="AJ65" s="45">
        <v>5</v>
      </c>
      <c r="AK65" s="45">
        <v>4</v>
      </c>
      <c r="AL65" s="45">
        <v>4</v>
      </c>
      <c r="AM65" s="45">
        <v>5</v>
      </c>
      <c r="AN65" s="45">
        <v>4</v>
      </c>
      <c r="AO65" s="45">
        <v>5</v>
      </c>
      <c r="AP65" s="46">
        <v>3</v>
      </c>
      <c r="AZ65" s="160"/>
      <c r="BF65" s="158" t="s">
        <v>315</v>
      </c>
      <c r="BG65" s="157" t="s">
        <v>74</v>
      </c>
      <c r="BH65" s="157" t="s">
        <v>73</v>
      </c>
      <c r="BI65" s="157" t="s">
        <v>72</v>
      </c>
      <c r="BJ65" s="157" t="s">
        <v>316</v>
      </c>
      <c r="BK65" s="157" t="s">
        <v>76</v>
      </c>
      <c r="BL65" s="157" t="s">
        <v>317</v>
      </c>
      <c r="BM65" s="157" t="s">
        <v>318</v>
      </c>
      <c r="BN65" s="157" t="s">
        <v>319</v>
      </c>
      <c r="BO65" s="157" t="s">
        <v>320</v>
      </c>
      <c r="BQ65" s="72" t="s">
        <v>264</v>
      </c>
      <c r="BR65" s="66"/>
      <c r="BS65" s="66"/>
      <c r="BT65" s="66"/>
      <c r="BU65" s="66"/>
      <c r="BV65" s="66"/>
      <c r="BW65" s="21"/>
      <c r="CE65" s="67"/>
      <c r="CZ65" s="70"/>
      <c r="DS65" s="67"/>
    </row>
    <row r="66" spans="1:123" ht="15.75" thickBot="1" x14ac:dyDescent="0.3">
      <c r="X66" s="1"/>
      <c r="AF66" s="47" t="s">
        <v>79</v>
      </c>
      <c r="AG66" s="48" t="s">
        <v>84</v>
      </c>
      <c r="AH66" s="48" t="s">
        <v>89</v>
      </c>
      <c r="AI66" s="48" t="s">
        <v>94</v>
      </c>
      <c r="AJ66" s="48" t="s">
        <v>99</v>
      </c>
      <c r="AK66" s="48" t="s">
        <v>103</v>
      </c>
      <c r="AL66" s="48" t="s">
        <v>84</v>
      </c>
      <c r="AM66" s="48" t="s">
        <v>112</v>
      </c>
      <c r="AN66" s="48" t="s">
        <v>89</v>
      </c>
      <c r="AO66" s="48" t="s">
        <v>94</v>
      </c>
      <c r="AP66" s="49" t="s">
        <v>123</v>
      </c>
      <c r="BF66" s="159">
        <v>1</v>
      </c>
      <c r="BG66" s="156" t="s">
        <v>87</v>
      </c>
      <c r="BH66" s="156" t="s">
        <v>22</v>
      </c>
      <c r="BI66" s="156">
        <v>24</v>
      </c>
      <c r="BJ66" s="156">
        <v>2</v>
      </c>
      <c r="BK66" s="156">
        <v>28000</v>
      </c>
      <c r="BL66" s="156">
        <v>70</v>
      </c>
      <c r="BM66" s="156">
        <v>120</v>
      </c>
      <c r="BN66" s="156">
        <v>130</v>
      </c>
      <c r="BO66" s="156">
        <v>125</v>
      </c>
      <c r="BQ66" s="77" t="s">
        <v>294</v>
      </c>
      <c r="BR66" s="77" t="s">
        <v>265</v>
      </c>
      <c r="BS66" s="77" t="s">
        <v>266</v>
      </c>
      <c r="BT66" s="77" t="s">
        <v>166</v>
      </c>
      <c r="BU66" s="77" t="s">
        <v>267</v>
      </c>
      <c r="BW66" s="67"/>
      <c r="CE66" s="67"/>
      <c r="CZ66" s="71"/>
      <c r="DA66" s="68"/>
      <c r="DB66" s="68"/>
      <c r="DC66" s="68"/>
      <c r="DD66" s="68"/>
      <c r="DE66" s="68"/>
      <c r="DF66" s="68"/>
      <c r="DG66" s="68"/>
      <c r="DH66" s="68"/>
      <c r="DI66" s="68"/>
      <c r="DJ66" s="68"/>
      <c r="DK66" s="68"/>
      <c r="DL66" s="68"/>
      <c r="DM66" s="68"/>
      <c r="DN66" s="68"/>
      <c r="DO66" s="68"/>
      <c r="DP66" s="68"/>
      <c r="DQ66" s="68"/>
      <c r="DR66" s="68"/>
      <c r="DS66" s="69"/>
    </row>
    <row r="67" spans="1:123" ht="15.75" thickBot="1" x14ac:dyDescent="0.3">
      <c r="X67" s="1"/>
      <c r="BF67" s="159">
        <v>2</v>
      </c>
      <c r="BG67" s="156" t="s">
        <v>87</v>
      </c>
      <c r="BH67" s="156" t="s">
        <v>21</v>
      </c>
      <c r="BI67" s="156">
        <v>26</v>
      </c>
      <c r="BJ67" s="156">
        <v>3</v>
      </c>
      <c r="BK67" s="156">
        <v>32000</v>
      </c>
      <c r="BL67" s="156">
        <v>75</v>
      </c>
      <c r="BM67" s="156">
        <v>135</v>
      </c>
      <c r="BN67" s="156">
        <v>140</v>
      </c>
      <c r="BO67" s="156">
        <v>138</v>
      </c>
      <c r="BQ67" s="78" t="s">
        <v>278</v>
      </c>
      <c r="BR67" s="78">
        <v>10</v>
      </c>
      <c r="BS67" s="78">
        <v>1520</v>
      </c>
      <c r="BT67" s="78">
        <v>152</v>
      </c>
      <c r="BU67" s="78">
        <v>317.77777777777777</v>
      </c>
      <c r="BW67" s="67"/>
      <c r="CE67" s="67"/>
    </row>
    <row r="68" spans="1:123" ht="35.25" thickBot="1" x14ac:dyDescent="0.6">
      <c r="A68" s="274" t="s">
        <v>137</v>
      </c>
      <c r="B68" s="275"/>
      <c r="C68" s="275"/>
      <c r="D68" s="276"/>
      <c r="J68" s="274" t="s">
        <v>158</v>
      </c>
      <c r="K68" s="275"/>
      <c r="L68" s="276"/>
      <c r="X68" s="1"/>
      <c r="AF68" s="5"/>
      <c r="BF68" s="159">
        <v>3</v>
      </c>
      <c r="BG68" s="156" t="s">
        <v>87</v>
      </c>
      <c r="BH68" s="156" t="s">
        <v>22</v>
      </c>
      <c r="BI68" s="156">
        <v>28</v>
      </c>
      <c r="BJ68" s="156">
        <v>4</v>
      </c>
      <c r="BK68" s="156">
        <v>36000</v>
      </c>
      <c r="BL68" s="156">
        <v>78</v>
      </c>
      <c r="BM68" s="156">
        <v>145</v>
      </c>
      <c r="BN68" s="156">
        <v>150</v>
      </c>
      <c r="BO68" s="156">
        <v>148</v>
      </c>
      <c r="BQ68" s="78" t="s">
        <v>279</v>
      </c>
      <c r="BR68" s="78">
        <v>10</v>
      </c>
      <c r="BS68" s="78">
        <v>1575</v>
      </c>
      <c r="BT68" s="78">
        <v>157.5</v>
      </c>
      <c r="BU68" s="78">
        <v>284.72222222222223</v>
      </c>
      <c r="BX68" s="202" t="s">
        <v>321</v>
      </c>
      <c r="BY68" s="203" t="s">
        <v>322</v>
      </c>
      <c r="BZ68" s="203" t="s">
        <v>323</v>
      </c>
      <c r="CA68" s="203" t="s">
        <v>324</v>
      </c>
      <c r="CB68" s="203" t="s">
        <v>325</v>
      </c>
      <c r="CC68" s="204" t="s">
        <v>326</v>
      </c>
      <c r="CE68" s="67"/>
    </row>
    <row r="69" spans="1:123" ht="15.75" thickBot="1" x14ac:dyDescent="0.3">
      <c r="A69" s="4" t="s">
        <v>138</v>
      </c>
      <c r="B69" t="s">
        <v>167</v>
      </c>
      <c r="C69" t="s">
        <v>150</v>
      </c>
      <c r="D69" t="s">
        <v>151</v>
      </c>
      <c r="E69" t="s">
        <v>152</v>
      </c>
      <c r="F69" t="s">
        <v>154</v>
      </c>
      <c r="G69" t="s">
        <v>155</v>
      </c>
      <c r="X69" s="1"/>
      <c r="BF69" s="159">
        <v>4</v>
      </c>
      <c r="BG69" s="156" t="s">
        <v>87</v>
      </c>
      <c r="BH69" s="156" t="s">
        <v>21</v>
      </c>
      <c r="BI69" s="156">
        <v>30</v>
      </c>
      <c r="BJ69" s="156">
        <v>5</v>
      </c>
      <c r="BK69" s="156">
        <v>40000</v>
      </c>
      <c r="BL69" s="156">
        <v>82</v>
      </c>
      <c r="BM69" s="156">
        <v>155</v>
      </c>
      <c r="BN69" s="156">
        <v>160</v>
      </c>
      <c r="BO69" s="156">
        <v>158</v>
      </c>
      <c r="BQ69" s="78" t="s">
        <v>280</v>
      </c>
      <c r="BR69" s="78">
        <v>10</v>
      </c>
      <c r="BS69" s="78">
        <v>1547</v>
      </c>
      <c r="BT69" s="78">
        <v>154.69999999999999</v>
      </c>
      <c r="BU69" s="78">
        <v>295.56666666666729</v>
      </c>
      <c r="BX69" s="199">
        <v>120</v>
      </c>
      <c r="BY69" s="200">
        <v>130</v>
      </c>
      <c r="BZ69" s="200">
        <v>125</v>
      </c>
      <c r="CA69" s="200">
        <v>140</v>
      </c>
      <c r="CB69" s="200">
        <v>145</v>
      </c>
      <c r="CC69" s="201">
        <v>142</v>
      </c>
      <c r="CE69" s="67"/>
    </row>
    <row r="70" spans="1:123" ht="15.75" thickBot="1" x14ac:dyDescent="0.3">
      <c r="A70" s="4" t="s">
        <v>139</v>
      </c>
      <c r="B70" t="e">
        <f>MODE(Table824[Salary])</f>
        <v>#N/A</v>
      </c>
      <c r="D70" t="s">
        <v>145</v>
      </c>
      <c r="E70">
        <f>COUNTA(#REF!)</f>
        <v>1</v>
      </c>
      <c r="F70">
        <f>COUNTA(#REF!,#REF!)</f>
        <v>2</v>
      </c>
      <c r="J70" s="140" t="s">
        <v>160</v>
      </c>
      <c r="K70" s="141" t="s">
        <v>161</v>
      </c>
      <c r="L70" s="142" t="s">
        <v>162</v>
      </c>
      <c r="X70" s="1"/>
      <c r="AF70" s="2"/>
      <c r="AG70" s="2"/>
      <c r="AH70" s="2"/>
      <c r="AI70" s="2"/>
      <c r="AJ70" s="2"/>
      <c r="AK70" s="2">
        <v>10</v>
      </c>
      <c r="AL70" s="2"/>
      <c r="AM70" s="2"/>
      <c r="AN70" s="2" t="s">
        <v>249</v>
      </c>
      <c r="AO70" s="2" t="s">
        <v>249</v>
      </c>
      <c r="AP70" s="65">
        <v>44105</v>
      </c>
      <c r="AQ70" s="2"/>
      <c r="AR70" s="2"/>
      <c r="AS70" s="2"/>
      <c r="AT70" s="2"/>
      <c r="AU70" s="2"/>
      <c r="AV70" s="2"/>
      <c r="AW70" s="2"/>
      <c r="AX70" s="2"/>
      <c r="BF70" s="159">
        <v>5</v>
      </c>
      <c r="BG70" s="156" t="s">
        <v>87</v>
      </c>
      <c r="BH70" s="156" t="s">
        <v>22</v>
      </c>
      <c r="BI70" s="156">
        <v>32</v>
      </c>
      <c r="BJ70" s="156">
        <v>6</v>
      </c>
      <c r="BK70" s="156">
        <v>45000</v>
      </c>
      <c r="BL70" s="156">
        <v>85</v>
      </c>
      <c r="BM70" s="156">
        <v>165</v>
      </c>
      <c r="BN70" s="156">
        <v>170</v>
      </c>
      <c r="BO70" s="156">
        <v>168</v>
      </c>
      <c r="BQ70" s="70"/>
      <c r="BX70" s="159">
        <v>135</v>
      </c>
      <c r="BY70" s="156">
        <v>140</v>
      </c>
      <c r="BZ70" s="156">
        <v>138</v>
      </c>
      <c r="CA70" s="156">
        <v>150</v>
      </c>
      <c r="CB70" s="156">
        <v>155</v>
      </c>
      <c r="CC70" s="197">
        <v>152</v>
      </c>
      <c r="CE70" s="67"/>
    </row>
    <row r="71" spans="1:123" ht="22.5" customHeight="1" x14ac:dyDescent="0.25">
      <c r="A71" s="4" t="s">
        <v>140</v>
      </c>
      <c r="D71" t="s">
        <v>146</v>
      </c>
      <c r="E71">
        <f>COUNTBLANK(J56:J72)</f>
        <v>4</v>
      </c>
      <c r="F71">
        <f>COUNTBLANK(H56:H67)</f>
        <v>3</v>
      </c>
      <c r="J71" s="133" t="s">
        <v>163</v>
      </c>
      <c r="K71" s="132"/>
      <c r="L71" s="134">
        <v>160000</v>
      </c>
      <c r="X71" s="1"/>
      <c r="AF71" s="3"/>
      <c r="AG71" s="3"/>
      <c r="AH71" s="3"/>
      <c r="AI71" s="3"/>
      <c r="AJ71" s="3"/>
      <c r="AK71" s="3"/>
      <c r="AL71" s="3"/>
      <c r="AM71" s="3"/>
      <c r="AN71" s="64">
        <v>44105</v>
      </c>
      <c r="AO71" s="62" t="s">
        <v>250</v>
      </c>
      <c r="BF71" s="159">
        <v>6</v>
      </c>
      <c r="BG71" s="156" t="s">
        <v>92</v>
      </c>
      <c r="BH71" s="156" t="s">
        <v>21</v>
      </c>
      <c r="BI71" s="156">
        <v>25</v>
      </c>
      <c r="BJ71" s="156">
        <v>2</v>
      </c>
      <c r="BK71" s="156">
        <v>30000</v>
      </c>
      <c r="BL71" s="156">
        <v>72</v>
      </c>
      <c r="BM71" s="156">
        <v>140</v>
      </c>
      <c r="BN71" s="156">
        <v>145</v>
      </c>
      <c r="BO71" s="156">
        <v>142</v>
      </c>
      <c r="BQ71" s="70"/>
      <c r="BX71" s="159">
        <v>145</v>
      </c>
      <c r="BY71" s="156">
        <v>150</v>
      </c>
      <c r="BZ71" s="156">
        <v>148</v>
      </c>
      <c r="CA71" s="156">
        <v>160</v>
      </c>
      <c r="CB71" s="156">
        <v>165</v>
      </c>
      <c r="CC71" s="197">
        <v>162</v>
      </c>
      <c r="CE71" s="67"/>
    </row>
    <row r="72" spans="1:123" ht="24" customHeight="1" thickBot="1" x14ac:dyDescent="0.3">
      <c r="A72" s="4" t="s">
        <v>141</v>
      </c>
      <c r="B72" t="e">
        <f>MEDIAN(#REF!)</f>
        <v>#REF!</v>
      </c>
      <c r="D72" t="s">
        <v>147</v>
      </c>
      <c r="E72" t="e">
        <f>COUNTIF(#REF!,I63)</f>
        <v>#REF!</v>
      </c>
      <c r="F72" t="e">
        <f>COUNTIF(#REF!,I57)</f>
        <v>#REF!</v>
      </c>
      <c r="G72" t="e">
        <f>COUNTIF(#REF!,"&gt;9")</f>
        <v>#REF!</v>
      </c>
      <c r="J72" s="135" t="s">
        <v>164</v>
      </c>
      <c r="K72" s="18"/>
      <c r="L72" s="136">
        <v>230000</v>
      </c>
      <c r="X72" s="1"/>
      <c r="AF72" s="3"/>
      <c r="AG72" s="3"/>
      <c r="AH72" s="3"/>
      <c r="AI72" s="3"/>
      <c r="AJ72" s="3"/>
      <c r="AK72" s="3"/>
      <c r="AL72" s="3"/>
      <c r="AM72" s="3"/>
      <c r="AN72" s="3"/>
      <c r="AO72" s="63">
        <v>44105</v>
      </c>
      <c r="BF72" s="159">
        <v>7</v>
      </c>
      <c r="BG72" s="156" t="s">
        <v>92</v>
      </c>
      <c r="BH72" s="156" t="s">
        <v>22</v>
      </c>
      <c r="BI72" s="156">
        <v>27</v>
      </c>
      <c r="BJ72" s="156">
        <v>3</v>
      </c>
      <c r="BK72" s="156">
        <v>34000</v>
      </c>
      <c r="BL72" s="156">
        <v>76</v>
      </c>
      <c r="BM72" s="156">
        <v>150</v>
      </c>
      <c r="BN72" s="156">
        <v>155</v>
      </c>
      <c r="BO72" s="156">
        <v>152</v>
      </c>
      <c r="BQ72" s="70" t="s">
        <v>281</v>
      </c>
      <c r="BX72" s="159">
        <v>155</v>
      </c>
      <c r="BY72" s="156">
        <v>160</v>
      </c>
      <c r="BZ72" s="156">
        <v>158</v>
      </c>
      <c r="CA72" s="156">
        <v>170</v>
      </c>
      <c r="CB72" s="156">
        <v>175</v>
      </c>
      <c r="CC72" s="197">
        <v>172</v>
      </c>
      <c r="CE72" s="67"/>
    </row>
    <row r="73" spans="1:123" ht="15.75" thickBot="1" x14ac:dyDescent="0.3">
      <c r="A73" s="4" t="s">
        <v>142</v>
      </c>
      <c r="B73" t="e">
        <f>STDEV(#REF!)</f>
        <v>#REF!</v>
      </c>
      <c r="D73" t="s">
        <v>148</v>
      </c>
      <c r="E73" t="e">
        <f>COUNTIFS(#REF!,I63,#REF!,C63,#REF!,D63)</f>
        <v>#REF!</v>
      </c>
      <c r="F73" t="e">
        <f>COUNTIFS(#REF!,"&gt;=70000",#REF!,"Male",#REF!,"Delhi")</f>
        <v>#REF!</v>
      </c>
      <c r="G73" t="e">
        <f>COUNTIFS(#REF!,I61,#REF!,C56)</f>
        <v>#REF!</v>
      </c>
      <c r="J73" s="137" t="s">
        <v>165</v>
      </c>
      <c r="K73" s="138"/>
      <c r="L73" s="139">
        <v>190000</v>
      </c>
      <c r="X73" s="1"/>
      <c r="AF73" s="3"/>
      <c r="AG73" s="3"/>
      <c r="AH73" s="3"/>
      <c r="AI73" s="3"/>
      <c r="AJ73" s="3"/>
      <c r="AK73" s="3"/>
      <c r="AL73" s="3"/>
      <c r="AM73" s="3"/>
      <c r="AN73" s="3"/>
      <c r="AO73" s="3"/>
      <c r="BF73" s="159">
        <v>8</v>
      </c>
      <c r="BG73" s="156" t="s">
        <v>92</v>
      </c>
      <c r="BH73" s="156" t="s">
        <v>21</v>
      </c>
      <c r="BI73" s="156">
        <v>29</v>
      </c>
      <c r="BJ73" s="156">
        <v>4</v>
      </c>
      <c r="BK73" s="156">
        <v>39000</v>
      </c>
      <c r="BL73" s="156">
        <v>80</v>
      </c>
      <c r="BM73" s="156">
        <v>160</v>
      </c>
      <c r="BN73" s="156">
        <v>165</v>
      </c>
      <c r="BO73" s="156">
        <v>162</v>
      </c>
      <c r="BQ73" s="79" t="s">
        <v>282</v>
      </c>
      <c r="BR73" s="80" t="s">
        <v>283</v>
      </c>
      <c r="BS73" s="80" t="s">
        <v>284</v>
      </c>
      <c r="BT73" s="80" t="s">
        <v>285</v>
      </c>
      <c r="BU73" s="80" t="s">
        <v>286</v>
      </c>
      <c r="BV73" s="80" t="s">
        <v>287</v>
      </c>
      <c r="BW73" s="102" t="s">
        <v>288</v>
      </c>
      <c r="BX73" s="189">
        <v>165</v>
      </c>
      <c r="BY73" s="190">
        <v>170</v>
      </c>
      <c r="BZ73" s="190">
        <v>168</v>
      </c>
      <c r="CA73" s="190">
        <v>180</v>
      </c>
      <c r="CB73" s="190">
        <v>185</v>
      </c>
      <c r="CC73" s="198">
        <v>182</v>
      </c>
      <c r="CE73" s="67"/>
    </row>
    <row r="74" spans="1:123" x14ac:dyDescent="0.25">
      <c r="A74" s="4" t="s">
        <v>149</v>
      </c>
      <c r="B74" t="e">
        <f>CORREL(#REF!,#REF!)</f>
        <v>#REF!</v>
      </c>
      <c r="X74" s="1"/>
      <c r="AF74" s="3"/>
      <c r="AG74" s="3"/>
      <c r="AH74" s="3"/>
      <c r="AI74" s="3"/>
      <c r="AJ74" s="3"/>
      <c r="AK74" s="3"/>
      <c r="AL74" s="3"/>
      <c r="AM74" s="3"/>
      <c r="AN74" s="3"/>
      <c r="AO74" s="3"/>
      <c r="BF74" s="159">
        <v>9</v>
      </c>
      <c r="BG74" s="156" t="s">
        <v>92</v>
      </c>
      <c r="BH74" s="156" t="s">
        <v>22</v>
      </c>
      <c r="BI74" s="156">
        <v>31</v>
      </c>
      <c r="BJ74" s="156">
        <v>5</v>
      </c>
      <c r="BK74" s="156">
        <v>44000</v>
      </c>
      <c r="BL74" s="156">
        <v>84</v>
      </c>
      <c r="BM74" s="156">
        <v>170</v>
      </c>
      <c r="BN74" s="156">
        <v>175</v>
      </c>
      <c r="BO74" s="156">
        <v>172</v>
      </c>
      <c r="BQ74" s="82" t="s">
        <v>295</v>
      </c>
      <c r="BR74" s="78">
        <v>151.26666666666642</v>
      </c>
      <c r="BS74" s="78">
        <v>2</v>
      </c>
      <c r="BT74" s="78">
        <v>75.633333333333212</v>
      </c>
      <c r="BU74" s="78">
        <v>0.25265384900898186</v>
      </c>
      <c r="BV74" s="78">
        <v>0.77855260494109546</v>
      </c>
      <c r="BW74" s="83">
        <v>3.3541308285291991</v>
      </c>
      <c r="CE74" s="67"/>
    </row>
    <row r="75" spans="1:123" x14ac:dyDescent="0.25">
      <c r="A75" s="4" t="s">
        <v>143</v>
      </c>
      <c r="B75" t="e">
        <f>VAR(#REF!,#REF!)</f>
        <v>#REF!</v>
      </c>
      <c r="X75" s="1"/>
      <c r="AF75" s="3"/>
      <c r="AG75" s="3"/>
      <c r="AH75" s="3"/>
      <c r="AI75" s="3"/>
      <c r="AJ75" s="3"/>
      <c r="AK75" s="3"/>
      <c r="AL75" s="3"/>
      <c r="AM75" s="3"/>
      <c r="AN75" s="3"/>
      <c r="AO75" s="3"/>
      <c r="BF75" s="159">
        <v>10</v>
      </c>
      <c r="BG75" s="156" t="s">
        <v>92</v>
      </c>
      <c r="BH75" s="156" t="s">
        <v>21</v>
      </c>
      <c r="BI75" s="156">
        <v>33</v>
      </c>
      <c r="BJ75" s="156">
        <v>6</v>
      </c>
      <c r="BK75" s="156">
        <v>49000</v>
      </c>
      <c r="BL75" s="156">
        <v>88</v>
      </c>
      <c r="BM75" s="156">
        <v>180</v>
      </c>
      <c r="BN75" s="156">
        <v>185</v>
      </c>
      <c r="BO75" s="156">
        <v>182</v>
      </c>
      <c r="BQ75" s="82" t="s">
        <v>296</v>
      </c>
      <c r="BR75" s="78">
        <v>8082.6</v>
      </c>
      <c r="BS75" s="78">
        <v>27</v>
      </c>
      <c r="BT75" s="78">
        <v>299.35555555555555</v>
      </c>
      <c r="BU75" s="78"/>
      <c r="BV75" s="78"/>
      <c r="BW75" s="83"/>
      <c r="CE75" s="67"/>
    </row>
    <row r="76" spans="1:123" ht="15.75" thickBot="1" x14ac:dyDescent="0.3">
      <c r="A76" s="4" t="s">
        <v>144</v>
      </c>
      <c r="B76" t="e">
        <f>_xlfn.STDEV.S(#REF!,#REF!)</f>
        <v>#REF!</v>
      </c>
      <c r="X76" s="1"/>
      <c r="AF76" s="3"/>
      <c r="AG76" s="3"/>
      <c r="AH76" s="3"/>
      <c r="AI76" s="3"/>
      <c r="AJ76" s="3"/>
      <c r="AK76" s="3"/>
      <c r="AL76" s="3"/>
      <c r="AM76" s="3"/>
      <c r="AN76" s="3"/>
      <c r="AO76" s="3"/>
      <c r="BF76" s="70"/>
      <c r="BQ76" s="82"/>
      <c r="BR76" s="78"/>
      <c r="BS76" s="78"/>
      <c r="BT76" s="78"/>
      <c r="BU76" s="78"/>
      <c r="BV76" s="78"/>
      <c r="BW76" s="83"/>
      <c r="CE76" s="67"/>
    </row>
    <row r="77" spans="1:123" ht="20.25" thickBot="1" x14ac:dyDescent="0.45">
      <c r="A77" s="4"/>
      <c r="B77" t="e">
        <f>_xlfn.VAR.S(#REF!)</f>
        <v>#REF!</v>
      </c>
      <c r="X77" s="1"/>
      <c r="AF77" s="3"/>
      <c r="AG77" s="3"/>
      <c r="AH77" s="3"/>
      <c r="AI77" s="3"/>
      <c r="AJ77" s="3"/>
      <c r="AK77" s="3"/>
      <c r="AL77" s="3"/>
      <c r="AM77" s="3"/>
      <c r="AN77" s="3"/>
      <c r="AO77" s="3"/>
      <c r="BF77" s="70"/>
      <c r="BQ77" s="84" t="s">
        <v>292</v>
      </c>
      <c r="BR77" s="85">
        <v>8233.8666666666668</v>
      </c>
      <c r="BS77" s="85">
        <v>29</v>
      </c>
      <c r="BT77" s="85"/>
      <c r="BU77" s="85"/>
      <c r="BV77" s="85"/>
      <c r="BW77" s="86"/>
      <c r="BY77" s="168" t="s">
        <v>263</v>
      </c>
      <c r="BZ77" s="169"/>
      <c r="CA77" s="170"/>
      <c r="CB77" s="170"/>
      <c r="CC77" s="171"/>
      <c r="CE77" s="67"/>
    </row>
    <row r="78" spans="1:123" ht="20.25" thickBot="1" x14ac:dyDescent="0.45">
      <c r="X78" s="1"/>
      <c r="AF78" s="3"/>
      <c r="AG78" s="3"/>
      <c r="AH78" s="3"/>
      <c r="AI78" s="3"/>
      <c r="AJ78" s="3"/>
      <c r="AK78" s="3"/>
      <c r="AL78" s="3"/>
      <c r="AM78" s="3"/>
      <c r="AN78" s="3"/>
      <c r="AO78" s="3"/>
      <c r="BF78" s="172" t="s">
        <v>328</v>
      </c>
      <c r="BG78" s="173"/>
      <c r="BJ78" s="178" t="s">
        <v>332</v>
      </c>
      <c r="BK78" s="179"/>
      <c r="BL78" s="179"/>
      <c r="BM78" s="180"/>
      <c r="BN78" s="175"/>
      <c r="BO78" s="160"/>
      <c r="CE78" s="67"/>
    </row>
    <row r="79" spans="1:123" ht="15.75" thickBot="1" x14ac:dyDescent="0.3">
      <c r="X79" s="1"/>
      <c r="AF79" s="3"/>
      <c r="AG79" s="3"/>
      <c r="AH79" s="3"/>
      <c r="AI79" s="3"/>
      <c r="AJ79" s="3"/>
      <c r="AK79" s="3"/>
      <c r="AL79" s="3"/>
      <c r="AM79" s="3"/>
      <c r="AN79" s="3"/>
      <c r="AO79" s="3"/>
      <c r="BY79" s="145" t="s">
        <v>264</v>
      </c>
      <c r="BZ79" s="104" t="s">
        <v>265</v>
      </c>
      <c r="CA79" s="105" t="s">
        <v>266</v>
      </c>
      <c r="CB79" s="105" t="s">
        <v>166</v>
      </c>
      <c r="CC79" s="106" t="s">
        <v>267</v>
      </c>
      <c r="CE79" s="67"/>
    </row>
    <row r="80" spans="1:123" ht="20.25" thickBot="1" x14ac:dyDescent="0.45">
      <c r="X80" s="1"/>
      <c r="AF80" s="3"/>
      <c r="AG80" s="3"/>
      <c r="AH80" s="3"/>
      <c r="AI80" s="3"/>
      <c r="AJ80" s="3"/>
      <c r="AK80" s="3"/>
      <c r="AL80" s="3"/>
      <c r="AM80" s="3"/>
      <c r="AN80" s="3"/>
      <c r="AO80" s="3"/>
      <c r="BF80" s="145"/>
      <c r="BG80" s="143" t="s">
        <v>318</v>
      </c>
      <c r="BH80" s="146" t="s">
        <v>319</v>
      </c>
      <c r="BJ80" s="145"/>
      <c r="BK80" s="143">
        <v>120</v>
      </c>
      <c r="BL80" s="146">
        <v>130</v>
      </c>
      <c r="BM80" s="76"/>
      <c r="BN80" s="76"/>
      <c r="BO80" s="76"/>
      <c r="BQ80" s="148" t="s">
        <v>297</v>
      </c>
      <c r="BR80" s="154"/>
      <c r="BS80" s="154"/>
      <c r="BT80" s="149"/>
      <c r="BU80" s="66"/>
      <c r="BV80" s="66"/>
      <c r="BW80" s="21"/>
      <c r="BY80" s="82">
        <v>120</v>
      </c>
      <c r="BZ80" s="150">
        <v>5</v>
      </c>
      <c r="CA80" s="150">
        <v>682</v>
      </c>
      <c r="CB80" s="150">
        <v>136.4</v>
      </c>
      <c r="CC80" s="103">
        <v>72.3</v>
      </c>
      <c r="CE80" s="67"/>
    </row>
    <row r="81" spans="24:83" x14ac:dyDescent="0.25">
      <c r="X81" s="1"/>
      <c r="BF81" s="70" t="s">
        <v>303</v>
      </c>
      <c r="BG81">
        <v>152</v>
      </c>
      <c r="BH81" s="67">
        <v>157.5</v>
      </c>
      <c r="BJ81" s="70" t="s">
        <v>303</v>
      </c>
      <c r="BK81">
        <v>155.55555555555554</v>
      </c>
      <c r="BL81" s="67">
        <v>160.55555555555554</v>
      </c>
      <c r="BQ81" s="70"/>
      <c r="BW81" s="67"/>
      <c r="BY81" s="82">
        <v>135</v>
      </c>
      <c r="BZ81" s="78">
        <v>5</v>
      </c>
      <c r="CA81" s="78">
        <v>735</v>
      </c>
      <c r="CB81" s="78">
        <v>147</v>
      </c>
      <c r="CC81" s="83">
        <v>57</v>
      </c>
      <c r="CE81" s="67"/>
    </row>
    <row r="82" spans="24:83" x14ac:dyDescent="0.25">
      <c r="X82" s="1"/>
      <c r="BF82" s="70" t="s">
        <v>267</v>
      </c>
      <c r="BG82">
        <v>317.77777777777777</v>
      </c>
      <c r="BH82" s="67">
        <v>284.72222222222223</v>
      </c>
      <c r="BJ82" s="70" t="s">
        <v>267</v>
      </c>
      <c r="BK82">
        <v>215.27777777777777</v>
      </c>
      <c r="BL82" s="67">
        <v>215.27777777777777</v>
      </c>
      <c r="BQ82" s="82" t="s">
        <v>264</v>
      </c>
      <c r="BR82" s="78" t="s">
        <v>319</v>
      </c>
      <c r="BS82" s="78" t="s">
        <v>320</v>
      </c>
      <c r="BT82" s="78" t="s">
        <v>292</v>
      </c>
      <c r="BW82" s="67"/>
      <c r="BY82" s="82">
        <v>145</v>
      </c>
      <c r="BZ82" s="78">
        <v>5</v>
      </c>
      <c r="CA82" s="78">
        <v>785</v>
      </c>
      <c r="CB82" s="78">
        <v>157</v>
      </c>
      <c r="CC82" s="83">
        <v>57</v>
      </c>
      <c r="CE82" s="67"/>
    </row>
    <row r="83" spans="24:83" x14ac:dyDescent="0.25">
      <c r="X83" s="1"/>
      <c r="BF83" s="70" t="s">
        <v>329</v>
      </c>
      <c r="BG83">
        <v>10</v>
      </c>
      <c r="BH83" s="67">
        <v>10</v>
      </c>
      <c r="BJ83" s="70" t="s">
        <v>329</v>
      </c>
      <c r="BK83">
        <v>9</v>
      </c>
      <c r="BL83" s="67">
        <v>9</v>
      </c>
      <c r="BQ83" s="91">
        <v>120</v>
      </c>
      <c r="BR83" s="87"/>
      <c r="BS83" s="87"/>
      <c r="BT83" s="87"/>
      <c r="BW83" s="67"/>
      <c r="BY83" s="82">
        <v>155</v>
      </c>
      <c r="BZ83" s="78">
        <v>5</v>
      </c>
      <c r="CA83" s="78">
        <v>835</v>
      </c>
      <c r="CB83" s="78">
        <v>167</v>
      </c>
      <c r="CC83" s="83">
        <v>57</v>
      </c>
      <c r="CE83" s="67"/>
    </row>
    <row r="84" spans="24:83" x14ac:dyDescent="0.25">
      <c r="X84" s="1"/>
      <c r="BF84" s="70" t="s">
        <v>284</v>
      </c>
      <c r="BG84">
        <v>9</v>
      </c>
      <c r="BH84" s="67">
        <v>9</v>
      </c>
      <c r="BJ84" s="70" t="s">
        <v>333</v>
      </c>
      <c r="BK84">
        <v>0</v>
      </c>
      <c r="BL84" s="67"/>
      <c r="BQ84" s="82" t="s">
        <v>265</v>
      </c>
      <c r="BR84" s="78">
        <v>10</v>
      </c>
      <c r="BS84" s="78">
        <v>10</v>
      </c>
      <c r="BT84" s="78">
        <v>20</v>
      </c>
      <c r="BW84" s="67"/>
      <c r="BY84" s="82">
        <v>165</v>
      </c>
      <c r="BZ84" s="78">
        <v>5</v>
      </c>
      <c r="CA84" s="78">
        <v>885</v>
      </c>
      <c r="CB84" s="78">
        <v>177</v>
      </c>
      <c r="CC84" s="83">
        <v>57</v>
      </c>
      <c r="CE84" s="67"/>
    </row>
    <row r="85" spans="24:83" x14ac:dyDescent="0.25">
      <c r="X85" s="1"/>
      <c r="BF85" s="70" t="s">
        <v>286</v>
      </c>
      <c r="BG85">
        <v>1.1160975609756096</v>
      </c>
      <c r="BH85" s="67"/>
      <c r="BJ85" s="70" t="s">
        <v>284</v>
      </c>
      <c r="BK85">
        <v>16</v>
      </c>
      <c r="BL85" s="67"/>
      <c r="BQ85" s="82" t="s">
        <v>266</v>
      </c>
      <c r="BR85" s="78">
        <v>1575</v>
      </c>
      <c r="BS85" s="78">
        <v>1547</v>
      </c>
      <c r="BT85" s="78">
        <v>3122</v>
      </c>
      <c r="BW85" s="67"/>
      <c r="BY85" s="82"/>
      <c r="BZ85" s="78"/>
      <c r="CA85" s="78"/>
      <c r="CB85" s="78"/>
      <c r="CC85" s="83"/>
      <c r="CE85" s="67"/>
    </row>
    <row r="86" spans="24:83" x14ac:dyDescent="0.25">
      <c r="X86" s="1"/>
      <c r="BF86" s="70" t="s">
        <v>330</v>
      </c>
      <c r="BG86">
        <v>0.43635634651066452</v>
      </c>
      <c r="BH86" s="67"/>
      <c r="BJ86" s="70" t="s">
        <v>334</v>
      </c>
      <c r="BK86">
        <v>-0.72289739601224901</v>
      </c>
      <c r="BL86" s="67"/>
      <c r="BQ86" s="82" t="s">
        <v>166</v>
      </c>
      <c r="BR86" s="78">
        <v>157.5</v>
      </c>
      <c r="BS86" s="78">
        <v>154.69999999999999</v>
      </c>
      <c r="BT86" s="78">
        <v>156.1</v>
      </c>
      <c r="BW86" s="67"/>
      <c r="BY86" s="82" t="s">
        <v>322</v>
      </c>
      <c r="BZ86" s="78">
        <v>5</v>
      </c>
      <c r="CA86" s="78">
        <v>750</v>
      </c>
      <c r="CB86" s="78">
        <v>150</v>
      </c>
      <c r="CC86" s="83">
        <v>250</v>
      </c>
      <c r="CE86" s="67"/>
    </row>
    <row r="87" spans="24:83" ht="15.75" thickBot="1" x14ac:dyDescent="0.3">
      <c r="X87" s="1"/>
      <c r="BF87" s="71" t="s">
        <v>331</v>
      </c>
      <c r="BG87" s="68">
        <v>3.17889310445827</v>
      </c>
      <c r="BH87" s="69"/>
      <c r="BJ87" s="70" t="s">
        <v>335</v>
      </c>
      <c r="BK87">
        <v>0.24008881219543987</v>
      </c>
      <c r="BL87" s="67"/>
      <c r="BQ87" s="82" t="s">
        <v>267</v>
      </c>
      <c r="BR87" s="78">
        <v>284.72222222222223</v>
      </c>
      <c r="BS87" s="78">
        <v>295.56666666666729</v>
      </c>
      <c r="BT87" s="78">
        <v>276.93684210526254</v>
      </c>
      <c r="BW87" s="67"/>
      <c r="BY87" s="82" t="s">
        <v>323</v>
      </c>
      <c r="BZ87" s="78">
        <v>5</v>
      </c>
      <c r="CA87" s="78">
        <v>737</v>
      </c>
      <c r="CB87" s="78">
        <v>147.4</v>
      </c>
      <c r="CC87" s="83">
        <v>281.79999999999927</v>
      </c>
      <c r="CE87" s="67"/>
    </row>
    <row r="88" spans="24:83" x14ac:dyDescent="0.25">
      <c r="X88" s="1"/>
      <c r="BF88" s="70"/>
      <c r="BJ88" s="70" t="s">
        <v>336</v>
      </c>
      <c r="BK88">
        <v>1.7458836762762506</v>
      </c>
      <c r="BL88" s="67"/>
      <c r="BQ88" s="70"/>
      <c r="BW88" s="67"/>
      <c r="BY88" s="82" t="s">
        <v>324</v>
      </c>
      <c r="BZ88" s="78">
        <v>5</v>
      </c>
      <c r="CA88" s="78">
        <v>800</v>
      </c>
      <c r="CB88" s="78">
        <v>160</v>
      </c>
      <c r="CC88" s="83">
        <v>250</v>
      </c>
      <c r="CE88" s="67"/>
    </row>
    <row r="89" spans="24:83" x14ac:dyDescent="0.25">
      <c r="X89" s="1"/>
      <c r="BF89" s="70"/>
      <c r="BJ89" s="70" t="s">
        <v>337</v>
      </c>
      <c r="BK89">
        <v>0.48017762439087974</v>
      </c>
      <c r="BL89" s="67"/>
      <c r="BQ89" s="91" t="s">
        <v>292</v>
      </c>
      <c r="BR89" s="87"/>
      <c r="BS89" s="87"/>
      <c r="BW89" s="67"/>
      <c r="BY89" s="82" t="s">
        <v>325</v>
      </c>
      <c r="BZ89" s="78">
        <v>5</v>
      </c>
      <c r="CA89" s="78">
        <v>825</v>
      </c>
      <c r="CB89" s="78">
        <v>165</v>
      </c>
      <c r="CC89" s="83">
        <v>250</v>
      </c>
      <c r="CE89" s="67"/>
    </row>
    <row r="90" spans="24:83" ht="15.75" thickBot="1" x14ac:dyDescent="0.3">
      <c r="X90" s="1"/>
      <c r="BF90" s="70"/>
      <c r="BJ90" s="71" t="s">
        <v>338</v>
      </c>
      <c r="BK90" s="68">
        <v>2.119905299221255</v>
      </c>
      <c r="BL90" s="69"/>
      <c r="BQ90" s="82" t="s">
        <v>265</v>
      </c>
      <c r="BR90" s="78">
        <v>10</v>
      </c>
      <c r="BS90" s="78">
        <v>10</v>
      </c>
      <c r="BW90" s="67"/>
      <c r="BY90" s="84" t="s">
        <v>326</v>
      </c>
      <c r="BZ90" s="85">
        <v>5</v>
      </c>
      <c r="CA90" s="85">
        <v>810</v>
      </c>
      <c r="CB90" s="85">
        <v>162</v>
      </c>
      <c r="CC90" s="86">
        <v>250</v>
      </c>
      <c r="CE90" s="67"/>
    </row>
    <row r="91" spans="24:83" ht="20.25" thickBot="1" x14ac:dyDescent="0.45">
      <c r="X91" s="1"/>
      <c r="BF91" s="176" t="s">
        <v>339</v>
      </c>
      <c r="BG91" s="174"/>
      <c r="BH91" s="177"/>
      <c r="BQ91" s="82" t="s">
        <v>266</v>
      </c>
      <c r="BR91" s="78">
        <v>1575</v>
      </c>
      <c r="BS91" s="78">
        <v>1547</v>
      </c>
      <c r="BW91" s="67"/>
      <c r="CE91" s="67"/>
    </row>
    <row r="92" spans="24:83" ht="20.25" thickBot="1" x14ac:dyDescent="0.45">
      <c r="X92" s="1"/>
      <c r="BF92" s="181"/>
      <c r="BM92" s="147" t="s">
        <v>301</v>
      </c>
      <c r="BQ92" s="82" t="s">
        <v>166</v>
      </c>
      <c r="BR92" s="78">
        <v>157.5</v>
      </c>
      <c r="BS92" s="78">
        <v>154.69999999999999</v>
      </c>
      <c r="BW92" s="67"/>
      <c r="CE92" s="67"/>
    </row>
    <row r="93" spans="24:83" ht="15.75" thickBot="1" x14ac:dyDescent="0.3">
      <c r="X93" s="1"/>
      <c r="BF93" s="145"/>
      <c r="BG93" s="143">
        <v>120</v>
      </c>
      <c r="BH93" s="146">
        <v>130</v>
      </c>
      <c r="BM93" s="79"/>
      <c r="BN93" s="80" t="s">
        <v>278</v>
      </c>
      <c r="BO93" s="81" t="s">
        <v>279</v>
      </c>
      <c r="BQ93" s="82" t="s">
        <v>267</v>
      </c>
      <c r="BR93" s="78">
        <v>284.72222222222223</v>
      </c>
      <c r="BS93" s="78">
        <v>295.56666666666729</v>
      </c>
      <c r="BW93" s="67"/>
      <c r="BY93" s="144" t="s">
        <v>281</v>
      </c>
      <c r="CE93" s="67"/>
    </row>
    <row r="94" spans="24:83" ht="15.75" thickBot="1" x14ac:dyDescent="0.3">
      <c r="X94" s="1"/>
      <c r="BF94" s="70" t="s">
        <v>303</v>
      </c>
      <c r="BG94">
        <v>155.55555555555554</v>
      </c>
      <c r="BH94" s="67">
        <v>160.55555555555554</v>
      </c>
      <c r="BM94" s="82" t="s">
        <v>278</v>
      </c>
      <c r="BN94" s="78">
        <v>1</v>
      </c>
      <c r="BO94" s="83"/>
      <c r="BQ94" s="82"/>
      <c r="BR94" s="78"/>
      <c r="BS94" s="78"/>
      <c r="BW94" s="67"/>
      <c r="BY94" s="151" t="s">
        <v>282</v>
      </c>
      <c r="BZ94" s="152" t="s">
        <v>283</v>
      </c>
      <c r="CA94" s="152" t="s">
        <v>284</v>
      </c>
      <c r="CB94" s="152" t="s">
        <v>285</v>
      </c>
      <c r="CC94" s="152" t="s">
        <v>286</v>
      </c>
      <c r="CD94" s="152" t="s">
        <v>287</v>
      </c>
      <c r="CE94" s="153" t="s">
        <v>288</v>
      </c>
    </row>
    <row r="95" spans="24:83" ht="15.75" thickBot="1" x14ac:dyDescent="0.3">
      <c r="X95" s="1"/>
      <c r="BF95" s="70" t="s">
        <v>340</v>
      </c>
      <c r="BG95">
        <v>317.77777780000002</v>
      </c>
      <c r="BH95" s="67">
        <v>284.72222219999998</v>
      </c>
      <c r="BM95" s="84" t="s">
        <v>279</v>
      </c>
      <c r="BN95" s="85">
        <v>0.99460008269665434</v>
      </c>
      <c r="BO95" s="86">
        <v>1</v>
      </c>
      <c r="BQ95" s="70"/>
      <c r="BW95" s="67"/>
      <c r="BY95" s="70" t="s">
        <v>289</v>
      </c>
      <c r="BZ95">
        <v>5121.4399999999987</v>
      </c>
      <c r="CA95">
        <v>4</v>
      </c>
      <c r="CB95">
        <v>1280.3599999999997</v>
      </c>
      <c r="CC95">
        <v>3556.5555555548581</v>
      </c>
      <c r="CD95">
        <v>2.2811109377348716E-23</v>
      </c>
      <c r="CE95" s="67">
        <v>3.0069172799243447</v>
      </c>
    </row>
    <row r="96" spans="24:83" ht="39.75" thickBot="1" x14ac:dyDescent="0.65">
      <c r="X96" s="1"/>
      <c r="AG96" s="6"/>
      <c r="BF96" s="70" t="s">
        <v>329</v>
      </c>
      <c r="BG96">
        <v>9</v>
      </c>
      <c r="BH96" s="67">
        <v>9</v>
      </c>
      <c r="BQ96" s="82" t="s">
        <v>281</v>
      </c>
      <c r="BR96" s="78"/>
      <c r="BS96" s="78"/>
      <c r="BT96" s="78"/>
      <c r="BU96" s="78"/>
      <c r="BV96" s="78"/>
      <c r="BW96" s="83"/>
      <c r="BY96" s="70" t="s">
        <v>290</v>
      </c>
      <c r="BZ96">
        <v>1195.4399999999987</v>
      </c>
      <c r="CA96">
        <v>4</v>
      </c>
      <c r="CB96">
        <v>298.85999999999967</v>
      </c>
      <c r="CC96">
        <v>830.16666666650326</v>
      </c>
      <c r="CD96">
        <v>2.5052132128278712E-18</v>
      </c>
      <c r="CE96" s="67">
        <v>3.0069172799243447</v>
      </c>
    </row>
    <row r="97" spans="24:83" ht="35.25" thickBot="1" x14ac:dyDescent="0.6">
      <c r="X97" s="1"/>
      <c r="AG97" s="5"/>
      <c r="AY97" s="155" t="s">
        <v>327</v>
      </c>
      <c r="BF97" s="70" t="s">
        <v>333</v>
      </c>
      <c r="BG97">
        <v>5.5</v>
      </c>
      <c r="BH97" s="67"/>
      <c r="BQ97" s="95" t="s">
        <v>282</v>
      </c>
      <c r="BR97" s="77" t="s">
        <v>283</v>
      </c>
      <c r="BS97" s="77" t="s">
        <v>284</v>
      </c>
      <c r="BT97" s="77" t="s">
        <v>285</v>
      </c>
      <c r="BU97" s="77" t="s">
        <v>286</v>
      </c>
      <c r="BV97" s="77" t="s">
        <v>287</v>
      </c>
      <c r="BW97" s="93" t="s">
        <v>288</v>
      </c>
      <c r="BY97" s="70" t="s">
        <v>291</v>
      </c>
      <c r="BZ97">
        <v>5.7600000000011278</v>
      </c>
      <c r="CA97">
        <v>16</v>
      </c>
      <c r="CB97">
        <v>0.36000000000007049</v>
      </c>
      <c r="CE97" s="67"/>
    </row>
    <row r="98" spans="24:83" ht="15.75" thickBot="1" x14ac:dyDescent="0.3">
      <c r="X98" s="1"/>
      <c r="AY98" s="79"/>
      <c r="AZ98" s="80">
        <v>28000</v>
      </c>
      <c r="BA98" s="81">
        <v>70</v>
      </c>
      <c r="BF98" s="70" t="s">
        <v>341</v>
      </c>
      <c r="BG98">
        <v>-1.283311328869569</v>
      </c>
      <c r="BH98" s="67"/>
      <c r="BQ98" s="82" t="s">
        <v>298</v>
      </c>
      <c r="BR98" s="78">
        <v>0</v>
      </c>
      <c r="BS98" s="78">
        <v>0</v>
      </c>
      <c r="BT98" s="78">
        <v>65535</v>
      </c>
      <c r="BU98" s="78">
        <v>65535</v>
      </c>
      <c r="BV98" s="78" t="e">
        <v>#NUM!</v>
      </c>
      <c r="BW98" s="83" t="e">
        <v>#NUM!</v>
      </c>
      <c r="BY98" s="70"/>
      <c r="CE98" s="67"/>
    </row>
    <row r="99" spans="24:83" ht="20.25" thickBot="1" x14ac:dyDescent="0.45">
      <c r="X99" s="1"/>
      <c r="AY99" s="82">
        <v>28000</v>
      </c>
      <c r="AZ99" s="78">
        <f>VARP(telecom_churn!$BL$64:$BL$72)</f>
        <v>24.122448979591834</v>
      </c>
      <c r="BA99" s="83"/>
      <c r="BF99" s="70" t="s">
        <v>342</v>
      </c>
      <c r="BG99">
        <v>9.969151261653586E-2</v>
      </c>
      <c r="BH99" s="67"/>
      <c r="BM99" s="155" t="s">
        <v>327</v>
      </c>
      <c r="BQ99" s="82" t="s">
        <v>290</v>
      </c>
      <c r="BR99" s="78">
        <v>39.199999999999818</v>
      </c>
      <c r="BS99" s="78">
        <v>1</v>
      </c>
      <c r="BT99" s="78">
        <v>39.199999999999818</v>
      </c>
      <c r="BU99" s="78">
        <v>0.13510512005514433</v>
      </c>
      <c r="BV99" s="78">
        <v>0.71748279844947283</v>
      </c>
      <c r="BW99" s="83">
        <v>4.4138734191705664</v>
      </c>
      <c r="BY99" s="71" t="s">
        <v>292</v>
      </c>
      <c r="BZ99" s="68">
        <v>6322.6399999999985</v>
      </c>
      <c r="CA99" s="68">
        <v>24</v>
      </c>
      <c r="CB99" s="68"/>
      <c r="CC99" s="68"/>
      <c r="CD99" s="68"/>
      <c r="CE99" s="69"/>
    </row>
    <row r="100" spans="24:83" ht="29.25" customHeight="1" thickBot="1" x14ac:dyDescent="0.3">
      <c r="X100" s="1"/>
      <c r="AI100" s="7"/>
      <c r="AY100" s="84">
        <v>70</v>
      </c>
      <c r="AZ100" s="85">
        <v>29444.444444444445</v>
      </c>
      <c r="BA100" s="86">
        <f>VARP(telecom_churn!$BM$64:$BM$72)</f>
        <v>181.63265306122449</v>
      </c>
      <c r="BF100" s="70" t="s">
        <v>343</v>
      </c>
      <c r="BG100">
        <v>1.6448536269514715</v>
      </c>
      <c r="BH100" s="67"/>
      <c r="BM100" s="79"/>
      <c r="BN100" s="80">
        <v>28000</v>
      </c>
      <c r="BO100" s="81">
        <v>70</v>
      </c>
      <c r="BQ100" s="82" t="s">
        <v>299</v>
      </c>
      <c r="BR100" s="78">
        <v>0</v>
      </c>
      <c r="BS100" s="78">
        <v>0</v>
      </c>
      <c r="BT100" s="78">
        <v>65535</v>
      </c>
      <c r="BU100" s="78">
        <v>65535</v>
      </c>
      <c r="BV100" s="78" t="e">
        <v>#NUM!</v>
      </c>
      <c r="BW100" s="83" t="e">
        <v>#NUM!</v>
      </c>
      <c r="CE100" s="67"/>
    </row>
    <row r="101" spans="24:83" ht="31.5" customHeight="1" thickBot="1" x14ac:dyDescent="0.3">
      <c r="X101" s="1"/>
      <c r="AI101" s="7"/>
      <c r="BF101" s="70" t="s">
        <v>344</v>
      </c>
      <c r="BG101">
        <v>0.19938302523307172</v>
      </c>
      <c r="BH101" s="67"/>
      <c r="BM101" s="82">
        <v>28000</v>
      </c>
      <c r="BN101" s="78">
        <f>VARP(telecom_churn!$BL$64:$BL$72)</f>
        <v>24.122448979591834</v>
      </c>
      <c r="BO101" s="83"/>
      <c r="BQ101" s="82" t="s">
        <v>300</v>
      </c>
      <c r="BR101" s="78">
        <v>5222.6000000000004</v>
      </c>
      <c r="BS101" s="78">
        <v>18</v>
      </c>
      <c r="BT101" s="78">
        <v>290.14444444444445</v>
      </c>
      <c r="BU101" s="78"/>
      <c r="BV101" s="78"/>
      <c r="BW101" s="83"/>
      <c r="CE101" s="67"/>
    </row>
    <row r="102" spans="24:83" ht="29.25" customHeight="1" thickBot="1" x14ac:dyDescent="0.45">
      <c r="X102" s="1"/>
      <c r="AI102" s="7"/>
      <c r="AY102" s="147" t="s">
        <v>301</v>
      </c>
      <c r="BF102" s="71" t="s">
        <v>345</v>
      </c>
      <c r="BG102" s="68">
        <v>1.9599639845400536</v>
      </c>
      <c r="BH102" s="69"/>
      <c r="BM102" s="84">
        <v>70</v>
      </c>
      <c r="BN102" s="85">
        <v>29444.444444444445</v>
      </c>
      <c r="BO102" s="86">
        <f>VARP(telecom_churn!$BM$64:$BM$72)</f>
        <v>181.63265306122449</v>
      </c>
      <c r="BQ102" s="82"/>
      <c r="BR102" s="78"/>
      <c r="BS102" s="78"/>
      <c r="BT102" s="78"/>
      <c r="BU102" s="78"/>
      <c r="BV102" s="78"/>
      <c r="BW102" s="83"/>
      <c r="CE102" s="67"/>
    </row>
    <row r="103" spans="24:83" ht="15.75" thickBot="1" x14ac:dyDescent="0.3">
      <c r="X103" s="1"/>
      <c r="AY103" s="79"/>
      <c r="AZ103" s="80" t="s">
        <v>278</v>
      </c>
      <c r="BA103" s="81" t="s">
        <v>279</v>
      </c>
      <c r="BF103" s="71"/>
      <c r="BG103" s="68"/>
      <c r="BH103" s="68"/>
      <c r="BI103" s="68"/>
      <c r="BJ103" s="68"/>
      <c r="BK103" s="68"/>
      <c r="BL103" s="68"/>
      <c r="BM103" s="68"/>
      <c r="BN103" s="68"/>
      <c r="BO103" s="68"/>
      <c r="BP103" s="68"/>
      <c r="BQ103" s="84" t="s">
        <v>292</v>
      </c>
      <c r="BR103" s="85">
        <v>5261.8</v>
      </c>
      <c r="BS103" s="85">
        <v>19</v>
      </c>
      <c r="BT103" s="85"/>
      <c r="BU103" s="85"/>
      <c r="BV103" s="85"/>
      <c r="BW103" s="86"/>
      <c r="BX103" s="68"/>
      <c r="BY103" s="68"/>
      <c r="BZ103" s="68"/>
      <c r="CA103" s="68"/>
      <c r="CB103" s="68"/>
      <c r="CC103" s="68"/>
      <c r="CD103" s="68"/>
      <c r="CE103" s="69"/>
    </row>
    <row r="104" spans="24:83" x14ac:dyDescent="0.25">
      <c r="X104" s="1"/>
      <c r="AY104" s="82" t="s">
        <v>278</v>
      </c>
      <c r="AZ104" s="78">
        <v>1</v>
      </c>
      <c r="BA104" s="83"/>
    </row>
    <row r="105" spans="24:83" ht="15.75" thickBot="1" x14ac:dyDescent="0.3">
      <c r="X105" s="1"/>
      <c r="AY105" s="84" t="s">
        <v>279</v>
      </c>
      <c r="AZ105" s="85">
        <v>0.99460008269665434</v>
      </c>
      <c r="BA105" s="86">
        <v>1</v>
      </c>
    </row>
    <row r="106" spans="24:83" x14ac:dyDescent="0.25">
      <c r="X106" s="1"/>
    </row>
    <row r="107" spans="24:83" x14ac:dyDescent="0.25">
      <c r="X107" s="1"/>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7"/>
      <c r="BP107" s="77"/>
      <c r="BQ107" s="77"/>
      <c r="BR107" s="77"/>
      <c r="BS107" s="77"/>
      <c r="BT107" s="77"/>
      <c r="BU107" s="77"/>
      <c r="BV107" s="78"/>
      <c r="BW107" s="78"/>
      <c r="BX107" s="78"/>
      <c r="BY107" s="78"/>
      <c r="BZ107" s="78"/>
      <c r="CA107" s="78"/>
      <c r="CB107" s="78"/>
      <c r="CC107" s="78"/>
      <c r="CD107" s="78"/>
    </row>
    <row r="108" spans="24:83" x14ac:dyDescent="0.25">
      <c r="X108" s="1"/>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row>
    <row r="109" spans="24:83" x14ac:dyDescent="0.25">
      <c r="X109" s="1"/>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row>
    <row r="110" spans="24:83" x14ac:dyDescent="0.25">
      <c r="X110" s="1"/>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row>
    <row r="111" spans="24:83" x14ac:dyDescent="0.25">
      <c r="X111" s="1"/>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row>
    <row r="112" spans="24:83" x14ac:dyDescent="0.25">
      <c r="X112" s="1"/>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row>
    <row r="113" spans="24:82" x14ac:dyDescent="0.25">
      <c r="X113" s="1"/>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row>
    <row r="114" spans="24:82" x14ac:dyDescent="0.25">
      <c r="X114" s="1"/>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7"/>
      <c r="BH114" s="77"/>
      <c r="BI114" s="77"/>
      <c r="BJ114" s="77"/>
      <c r="BK114" s="77"/>
      <c r="BL114" s="77"/>
      <c r="BM114" s="77"/>
      <c r="BN114" s="78"/>
      <c r="BO114" s="78"/>
      <c r="BP114" s="78"/>
      <c r="BQ114" s="78"/>
      <c r="BR114" s="78"/>
      <c r="BS114" s="78"/>
      <c r="BT114" s="78"/>
      <c r="BU114" s="78"/>
      <c r="BV114" s="78"/>
      <c r="BW114" s="78"/>
      <c r="BX114" s="78"/>
      <c r="BY114" s="78"/>
      <c r="BZ114" s="78"/>
      <c r="CA114" s="78"/>
      <c r="CB114" s="78"/>
      <c r="CC114" s="78"/>
      <c r="CD114" s="78"/>
    </row>
    <row r="115" spans="24:82" x14ac:dyDescent="0.25">
      <c r="X115" s="1"/>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row>
    <row r="116" spans="24:82" x14ac:dyDescent="0.25">
      <c r="X116" s="1"/>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row>
    <row r="117" spans="24:82" x14ac:dyDescent="0.25">
      <c r="X117" s="1"/>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row>
    <row r="118" spans="24:82" x14ac:dyDescent="0.25">
      <c r="X118" s="1"/>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row>
    <row r="119" spans="24:82" x14ac:dyDescent="0.25">
      <c r="X119" s="1"/>
      <c r="AJ119" s="78"/>
      <c r="AK119" s="78"/>
      <c r="AL119" s="78"/>
      <c r="AM119" s="78"/>
      <c r="AN119" s="161"/>
      <c r="AO119" s="161"/>
      <c r="AP119" s="161"/>
      <c r="AQ119" s="161"/>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78"/>
      <c r="BO119" s="78"/>
      <c r="BP119" s="78"/>
      <c r="BQ119" s="78"/>
      <c r="BR119" s="78"/>
      <c r="BS119" s="78"/>
      <c r="BT119" s="78"/>
      <c r="BU119" s="78"/>
      <c r="BV119" s="78"/>
      <c r="BW119" s="78"/>
      <c r="BX119" s="78"/>
      <c r="BY119" s="78"/>
      <c r="BZ119" s="78"/>
      <c r="CA119" s="78"/>
      <c r="CB119" s="78"/>
      <c r="CC119" s="78"/>
      <c r="CD119" s="78"/>
    </row>
    <row r="120" spans="24:82" x14ac:dyDescent="0.25">
      <c r="X120" s="1"/>
      <c r="AJ120" s="78"/>
      <c r="AK120" s="78"/>
      <c r="AL120" s="78"/>
      <c r="AM120" s="78"/>
      <c r="AN120" s="161"/>
      <c r="AO120" s="161"/>
      <c r="AP120" s="161"/>
      <c r="AQ120" s="161"/>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78"/>
      <c r="BO120" s="78"/>
      <c r="BP120" s="78"/>
      <c r="BQ120" s="78"/>
      <c r="BR120" s="78"/>
      <c r="BS120" s="78"/>
      <c r="BT120" s="78"/>
      <c r="BU120" s="78"/>
      <c r="BV120" s="78"/>
      <c r="BW120" s="78"/>
      <c r="BX120" s="78"/>
      <c r="BY120" s="78"/>
      <c r="BZ120" s="78"/>
      <c r="CA120" s="78"/>
      <c r="CB120" s="78"/>
      <c r="CC120" s="78"/>
      <c r="CD120" s="78"/>
    </row>
    <row r="121" spans="24:82" ht="19.5" x14ac:dyDescent="0.4">
      <c r="X121" s="1"/>
      <c r="AJ121" s="78"/>
      <c r="AK121" s="78"/>
      <c r="AL121" s="78"/>
      <c r="AM121" s="78"/>
      <c r="AN121" s="161"/>
      <c r="AO121" s="161"/>
      <c r="AP121" s="161"/>
      <c r="AQ121" s="161"/>
      <c r="AR121" s="161"/>
      <c r="AS121" s="161"/>
      <c r="AT121" s="161"/>
      <c r="AU121" s="161"/>
      <c r="AV121" s="161"/>
      <c r="AW121" s="161"/>
      <c r="AX121" s="161"/>
      <c r="AY121" s="161"/>
      <c r="AZ121" s="162"/>
      <c r="BA121" s="161"/>
      <c r="BB121" s="161"/>
      <c r="BC121" s="161"/>
      <c r="BD121" s="161"/>
      <c r="BE121" s="161"/>
      <c r="BF121" s="161"/>
      <c r="BG121" s="161"/>
      <c r="BH121" s="161"/>
      <c r="BI121" s="161"/>
      <c r="BJ121" s="161"/>
      <c r="BK121" s="161"/>
      <c r="BL121" s="161"/>
      <c r="BM121" s="161"/>
      <c r="BN121" s="78"/>
      <c r="BO121" s="78"/>
      <c r="BP121" s="78"/>
      <c r="BQ121" s="78"/>
      <c r="BR121" s="78"/>
      <c r="BS121" s="78"/>
      <c r="BT121" s="78"/>
      <c r="BU121" s="78"/>
      <c r="BV121" s="78"/>
      <c r="BW121" s="78"/>
      <c r="BX121" s="78"/>
      <c r="BY121" s="78"/>
      <c r="BZ121" s="78"/>
      <c r="CA121" s="78"/>
      <c r="CB121" s="78"/>
      <c r="CC121" s="78"/>
      <c r="CD121" s="78"/>
    </row>
    <row r="122" spans="24:82" x14ac:dyDescent="0.25">
      <c r="X122" s="1"/>
      <c r="AJ122" s="78"/>
      <c r="AK122" s="78"/>
      <c r="AL122" s="78"/>
      <c r="AM122" s="78"/>
      <c r="AN122" s="161"/>
      <c r="AO122" s="161"/>
      <c r="AP122" s="161"/>
      <c r="AQ122" s="161"/>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78"/>
      <c r="BO122" s="78"/>
      <c r="BP122" s="78"/>
      <c r="BQ122" s="78"/>
      <c r="BR122" s="78"/>
      <c r="BS122" s="78"/>
      <c r="BT122" s="78"/>
      <c r="BU122" s="78"/>
      <c r="BV122" s="78"/>
      <c r="BW122" s="78"/>
      <c r="BX122" s="78"/>
      <c r="BY122" s="78"/>
      <c r="BZ122" s="78"/>
      <c r="CA122" s="78"/>
      <c r="CB122" s="78"/>
      <c r="CC122" s="78"/>
      <c r="CD122" s="78"/>
    </row>
    <row r="123" spans="24:82" x14ac:dyDescent="0.25">
      <c r="X123" s="1"/>
      <c r="AJ123" s="78"/>
      <c r="AK123" s="78"/>
      <c r="AL123" s="78"/>
      <c r="AM123" s="78"/>
      <c r="AN123" s="161"/>
      <c r="AO123" s="163"/>
      <c r="AP123" s="163"/>
      <c r="AQ123" s="163"/>
      <c r="AR123" s="163"/>
      <c r="AS123" s="163"/>
      <c r="AT123" s="163"/>
      <c r="AU123" s="163"/>
      <c r="AV123" s="163"/>
      <c r="AW123" s="163"/>
      <c r="AX123" s="163"/>
      <c r="AY123" s="161"/>
      <c r="AZ123" s="161"/>
      <c r="BA123" s="161"/>
      <c r="BB123" s="161"/>
      <c r="BC123" s="161"/>
      <c r="BD123" s="161"/>
      <c r="BE123" s="161"/>
      <c r="BF123" s="161"/>
      <c r="BG123" s="161"/>
      <c r="BH123" s="161"/>
      <c r="BI123" s="161"/>
      <c r="BJ123" s="161"/>
      <c r="BK123" s="161"/>
      <c r="BL123" s="161"/>
      <c r="BM123" s="161"/>
      <c r="BN123" s="78"/>
      <c r="BO123" s="78"/>
      <c r="BP123" s="78"/>
      <c r="BQ123" s="78"/>
      <c r="BR123" s="78"/>
      <c r="BS123" s="78"/>
      <c r="BT123" s="78"/>
      <c r="BU123" s="78"/>
      <c r="BV123" s="78"/>
      <c r="BW123" s="78"/>
      <c r="BX123" s="78"/>
      <c r="BY123" s="78"/>
      <c r="BZ123" s="78"/>
      <c r="CA123" s="78"/>
      <c r="CB123" s="78"/>
      <c r="CC123" s="78"/>
      <c r="CD123" s="78"/>
    </row>
    <row r="124" spans="24:82" x14ac:dyDescent="0.25">
      <c r="X124" s="1"/>
      <c r="AJ124" s="78"/>
      <c r="AK124" s="78"/>
      <c r="AL124" s="78"/>
      <c r="AM124" s="78"/>
      <c r="AN124" s="161"/>
      <c r="AO124" s="164"/>
      <c r="AP124" s="164"/>
      <c r="AQ124" s="164"/>
      <c r="AR124" s="164"/>
      <c r="AS124" s="164"/>
      <c r="AT124" s="164"/>
      <c r="AU124" s="164"/>
      <c r="AV124" s="164"/>
      <c r="AW124" s="164"/>
      <c r="AX124" s="164"/>
      <c r="AY124" s="161"/>
      <c r="AZ124" s="165"/>
      <c r="BA124" s="165"/>
      <c r="BB124" s="165"/>
      <c r="BC124" s="165"/>
      <c r="BD124" s="165"/>
      <c r="BE124" s="161"/>
      <c r="BF124" s="161"/>
      <c r="BG124" s="161"/>
      <c r="BH124" s="161"/>
      <c r="BI124" s="161"/>
      <c r="BJ124" s="161"/>
      <c r="BK124" s="161"/>
      <c r="BL124" s="161"/>
      <c r="BM124" s="161"/>
      <c r="BN124" s="78"/>
      <c r="BO124" s="78"/>
      <c r="BP124" s="78"/>
      <c r="BQ124" s="78"/>
      <c r="BR124" s="78"/>
      <c r="BS124" s="78"/>
      <c r="BT124" s="78"/>
      <c r="BU124" s="78"/>
      <c r="BV124" s="78"/>
      <c r="BW124" s="78"/>
      <c r="BX124" s="78"/>
      <c r="BY124" s="78"/>
      <c r="BZ124" s="78"/>
      <c r="CA124" s="78"/>
      <c r="CB124" s="78"/>
      <c r="CC124" s="78"/>
      <c r="CD124" s="78"/>
    </row>
    <row r="125" spans="24:82" x14ac:dyDescent="0.25">
      <c r="X125" s="1"/>
      <c r="AJ125" s="78"/>
      <c r="AK125" s="78"/>
      <c r="AL125" s="78"/>
      <c r="AM125" s="78"/>
      <c r="AN125" s="161"/>
      <c r="AO125" s="164"/>
      <c r="AP125" s="164"/>
      <c r="AQ125" s="164"/>
      <c r="AR125" s="164"/>
      <c r="AS125" s="164"/>
      <c r="AT125" s="164"/>
      <c r="AU125" s="164"/>
      <c r="AV125" s="164"/>
      <c r="AW125" s="164"/>
      <c r="AX125" s="164"/>
      <c r="AY125" s="161"/>
      <c r="AZ125" s="161"/>
      <c r="BA125" s="161"/>
      <c r="BB125" s="161"/>
      <c r="BC125" s="161"/>
      <c r="BD125" s="161"/>
      <c r="BE125" s="161"/>
      <c r="BF125" s="161"/>
      <c r="BG125" s="161"/>
      <c r="BH125" s="161"/>
      <c r="BI125" s="161"/>
      <c r="BJ125" s="161"/>
      <c r="BK125" s="161"/>
      <c r="BL125" s="161"/>
      <c r="BM125" s="161"/>
      <c r="BN125" s="78"/>
      <c r="BO125" s="78"/>
      <c r="BP125" s="78"/>
      <c r="BQ125" s="78"/>
      <c r="BR125" s="78"/>
      <c r="BS125" s="78"/>
      <c r="BT125" s="78"/>
      <c r="BU125" s="78"/>
      <c r="BV125" s="78"/>
      <c r="BW125" s="78"/>
      <c r="BX125" s="78"/>
      <c r="BY125" s="78"/>
      <c r="BZ125" s="78"/>
      <c r="CA125" s="78"/>
      <c r="CB125" s="78"/>
      <c r="CC125" s="78"/>
      <c r="CD125" s="78"/>
    </row>
    <row r="126" spans="24:82" x14ac:dyDescent="0.25">
      <c r="X126" s="1"/>
      <c r="AJ126" s="78"/>
      <c r="AK126" s="78"/>
      <c r="AL126" s="78"/>
      <c r="AM126" s="78"/>
      <c r="AN126" s="161"/>
      <c r="AO126" s="164"/>
      <c r="AP126" s="164"/>
      <c r="AQ126" s="164"/>
      <c r="AR126" s="164"/>
      <c r="AT126" s="164"/>
      <c r="AU126" s="164"/>
      <c r="AV126" s="164"/>
      <c r="AW126" s="164"/>
      <c r="AX126" s="164"/>
      <c r="AY126" s="161"/>
      <c r="AZ126" s="161"/>
      <c r="BA126" s="161"/>
      <c r="BB126" s="161"/>
      <c r="BC126" s="161"/>
      <c r="BD126" s="161"/>
      <c r="BE126" s="161"/>
      <c r="BF126" s="161"/>
      <c r="BG126" s="163"/>
      <c r="BH126" s="163"/>
      <c r="BI126" s="163"/>
      <c r="BJ126" s="163"/>
      <c r="BK126" s="163"/>
      <c r="BL126" s="163"/>
      <c r="BM126" s="161"/>
      <c r="BN126" s="78"/>
      <c r="BO126" s="78"/>
      <c r="BP126" s="78"/>
      <c r="BQ126" s="78"/>
      <c r="BR126" s="78"/>
      <c r="BS126" s="78"/>
      <c r="BT126" s="78"/>
      <c r="BU126" s="78"/>
      <c r="BV126" s="78"/>
      <c r="BW126" s="78"/>
      <c r="BX126" s="78"/>
      <c r="BY126" s="78"/>
      <c r="BZ126" s="78"/>
      <c r="CA126" s="78"/>
      <c r="CB126" s="78"/>
      <c r="CC126" s="78"/>
      <c r="CD126" s="78"/>
    </row>
    <row r="127" spans="24:82" x14ac:dyDescent="0.25">
      <c r="X127" s="1"/>
      <c r="AJ127" s="78"/>
      <c r="AK127" s="78"/>
      <c r="AL127" s="78"/>
      <c r="AM127" s="78"/>
      <c r="AN127" s="161"/>
      <c r="AO127" s="164"/>
      <c r="AP127" s="164"/>
      <c r="AQ127" s="164"/>
      <c r="AR127" s="164"/>
      <c r="AS127" s="164"/>
      <c r="AT127" s="164"/>
      <c r="AU127" s="164"/>
      <c r="AV127" s="164"/>
      <c r="AW127" s="164"/>
      <c r="AX127" s="164"/>
      <c r="AY127" s="161"/>
      <c r="AZ127" s="161"/>
      <c r="BA127" s="161"/>
      <c r="BB127" s="161"/>
      <c r="BC127" s="161"/>
      <c r="BD127" s="161"/>
      <c r="BE127" s="161"/>
      <c r="BF127" s="161"/>
      <c r="BG127" s="164"/>
      <c r="BH127" s="164"/>
      <c r="BI127" s="164"/>
      <c r="BJ127" s="164"/>
      <c r="BK127" s="164"/>
      <c r="BL127" s="164"/>
      <c r="BM127" s="161"/>
      <c r="BN127" s="78"/>
      <c r="BO127" s="78"/>
      <c r="BP127" s="78"/>
      <c r="BQ127" s="78"/>
      <c r="BR127" s="78"/>
      <c r="BS127" s="78"/>
      <c r="BT127" s="78"/>
      <c r="BU127" s="78"/>
      <c r="BV127" s="78"/>
      <c r="BW127" s="78"/>
      <c r="BX127" s="78"/>
      <c r="BY127" s="78"/>
      <c r="BZ127" s="78"/>
      <c r="CA127" s="78"/>
      <c r="CB127" s="78"/>
      <c r="CC127" s="78"/>
      <c r="CD127" s="78"/>
    </row>
    <row r="128" spans="24:82" x14ac:dyDescent="0.25">
      <c r="X128" s="1"/>
      <c r="AJ128" s="78"/>
      <c r="AK128" s="78"/>
      <c r="AL128" s="78"/>
      <c r="AM128" s="78"/>
      <c r="AN128" s="161"/>
      <c r="AO128" s="164"/>
      <c r="AP128" s="164"/>
      <c r="AQ128" s="164"/>
      <c r="AR128" s="164"/>
      <c r="AS128" s="164"/>
      <c r="AT128" s="164"/>
      <c r="AU128" s="164"/>
      <c r="AV128" s="164"/>
      <c r="AW128" s="164"/>
      <c r="AX128" s="164"/>
      <c r="AY128" s="161"/>
      <c r="AZ128" s="161"/>
      <c r="BA128" s="161"/>
      <c r="BB128" s="161"/>
      <c r="BC128" s="161"/>
      <c r="BD128" s="161"/>
      <c r="BE128" s="161"/>
      <c r="BF128" s="161"/>
      <c r="BG128" s="164"/>
      <c r="BH128" s="164"/>
      <c r="BI128" s="164"/>
      <c r="BJ128" s="164"/>
      <c r="BK128" s="164"/>
      <c r="BL128" s="164"/>
      <c r="BM128" s="161"/>
      <c r="BN128" s="78"/>
      <c r="BO128" s="78"/>
      <c r="BP128" s="78"/>
      <c r="BQ128" s="78"/>
      <c r="BR128" s="78"/>
      <c r="BS128" s="78"/>
      <c r="BT128" s="78"/>
      <c r="BU128" s="78"/>
      <c r="BV128" s="78"/>
      <c r="BW128" s="78"/>
      <c r="BX128" s="78"/>
      <c r="BY128" s="78"/>
      <c r="BZ128" s="78"/>
      <c r="CA128" s="78"/>
      <c r="CB128" s="78"/>
      <c r="CC128" s="78"/>
      <c r="CD128" s="78"/>
    </row>
    <row r="129" spans="24:82" x14ac:dyDescent="0.25">
      <c r="X129" s="1"/>
      <c r="AJ129" s="78"/>
      <c r="AK129" s="78"/>
      <c r="AL129" s="78"/>
      <c r="AM129" s="78"/>
      <c r="AN129" s="161"/>
      <c r="AO129" s="164"/>
      <c r="AP129" s="164"/>
      <c r="AQ129" s="164"/>
      <c r="AR129" s="195"/>
      <c r="AS129" s="195"/>
      <c r="AT129" s="195"/>
      <c r="AU129" s="195"/>
      <c r="AV129" s="195"/>
      <c r="AW129" s="195"/>
      <c r="AX129" s="195"/>
      <c r="AY129" s="196"/>
      <c r="AZ129" s="196"/>
      <c r="BA129" s="196"/>
      <c r="BB129" s="196"/>
      <c r="BC129" s="196"/>
      <c r="BD129" s="196"/>
      <c r="BE129" s="196"/>
      <c r="BF129" s="196"/>
      <c r="BG129" s="195"/>
      <c r="BH129" s="195"/>
      <c r="BI129" s="195"/>
      <c r="BJ129" s="195"/>
      <c r="BK129" s="195"/>
      <c r="BL129" s="195"/>
      <c r="BM129" s="161"/>
      <c r="BN129" s="78"/>
      <c r="BO129" s="78"/>
      <c r="BP129" s="78"/>
      <c r="BQ129" s="78"/>
      <c r="BR129" s="78"/>
      <c r="BS129" s="78"/>
      <c r="BT129" s="78"/>
      <c r="BU129" s="78"/>
      <c r="BV129" s="78"/>
      <c r="BW129" s="78"/>
      <c r="BX129" s="78"/>
      <c r="BY129" s="78"/>
      <c r="BZ129" s="78"/>
      <c r="CA129" s="78"/>
      <c r="CB129" s="78"/>
      <c r="CC129" s="78"/>
      <c r="CD129" s="78"/>
    </row>
    <row r="130" spans="24:82" x14ac:dyDescent="0.25">
      <c r="X130" s="1"/>
      <c r="AJ130" s="78"/>
      <c r="AK130" s="78"/>
      <c r="AL130" s="78"/>
      <c r="AM130" s="78"/>
      <c r="AN130" s="161"/>
      <c r="AO130" s="164"/>
      <c r="AP130" s="164"/>
      <c r="AQ130" s="192"/>
      <c r="AR130" s="164"/>
      <c r="AS130" s="164"/>
      <c r="AT130" s="164"/>
      <c r="AU130" s="164"/>
      <c r="AV130" s="164"/>
      <c r="AW130" s="164"/>
      <c r="AX130" s="164"/>
      <c r="AY130" s="161"/>
      <c r="AZ130" s="161"/>
      <c r="BA130" s="161"/>
      <c r="BB130" s="161"/>
      <c r="BC130" s="161"/>
      <c r="BD130" s="161"/>
      <c r="BE130" s="161"/>
      <c r="BF130" s="161"/>
      <c r="BG130" s="164"/>
      <c r="BH130" s="164"/>
      <c r="BI130" s="164"/>
      <c r="BJ130" s="164"/>
      <c r="BK130" s="164"/>
      <c r="BL130" s="164"/>
      <c r="BM130" s="194"/>
      <c r="BN130" s="78"/>
      <c r="BO130" s="78"/>
      <c r="BP130" s="78"/>
      <c r="BQ130" s="78"/>
      <c r="BR130" s="78"/>
      <c r="BS130" s="78"/>
      <c r="BT130" s="78"/>
      <c r="BU130" s="78"/>
      <c r="BV130" s="78"/>
      <c r="BW130" s="78"/>
      <c r="BX130" s="78"/>
      <c r="BY130" s="78"/>
      <c r="BZ130" s="78"/>
      <c r="CA130" s="78"/>
      <c r="CB130" s="78"/>
      <c r="CC130" s="78"/>
      <c r="CD130" s="78"/>
    </row>
    <row r="131" spans="24:82" x14ac:dyDescent="0.25">
      <c r="X131" s="1"/>
      <c r="AJ131" s="78"/>
      <c r="AK131" s="78"/>
      <c r="AL131" s="78"/>
      <c r="AM131" s="78"/>
      <c r="AN131" s="161"/>
      <c r="AO131" s="164"/>
      <c r="AP131" s="164"/>
      <c r="AQ131" s="192"/>
      <c r="AR131" s="164"/>
      <c r="AS131" s="164"/>
      <c r="AT131" s="164"/>
      <c r="AU131" s="164"/>
      <c r="AV131" s="164"/>
      <c r="AW131" s="164"/>
      <c r="AX131" s="164"/>
      <c r="AY131" s="161"/>
      <c r="AZ131" s="165"/>
      <c r="BA131" s="165"/>
      <c r="BB131" s="165"/>
      <c r="BC131" s="165"/>
      <c r="BD131" s="165"/>
      <c r="BE131" s="165"/>
      <c r="BF131" s="165"/>
      <c r="BG131" s="164"/>
      <c r="BH131" s="164"/>
      <c r="BI131" s="164"/>
      <c r="BJ131" s="164"/>
      <c r="BK131" s="164"/>
      <c r="BL131" s="164"/>
      <c r="BM131" s="194"/>
      <c r="BN131" s="78"/>
      <c r="BO131" s="78"/>
      <c r="BP131" s="78"/>
      <c r="BQ131" s="78"/>
      <c r="BR131" s="78"/>
      <c r="BS131" s="78"/>
      <c r="BT131" s="78"/>
      <c r="BU131" s="78"/>
      <c r="BV131" s="78"/>
      <c r="BW131" s="78"/>
      <c r="BX131" s="78"/>
      <c r="BY131" s="78"/>
      <c r="BZ131" s="78"/>
      <c r="CA131" s="78"/>
      <c r="CB131" s="78"/>
      <c r="CC131" s="78"/>
      <c r="CD131" s="78"/>
    </row>
    <row r="132" spans="24:82" x14ac:dyDescent="0.25">
      <c r="X132" s="1"/>
      <c r="AJ132" s="78"/>
      <c r="AK132" s="78"/>
      <c r="AL132" s="78"/>
      <c r="AM132" s="78"/>
      <c r="AN132" s="161"/>
      <c r="AO132" s="164"/>
      <c r="AP132" s="164"/>
      <c r="AQ132" s="192"/>
      <c r="AR132" s="164"/>
      <c r="AS132" s="164"/>
      <c r="AT132" s="164"/>
      <c r="AU132" s="164"/>
      <c r="AV132" s="164"/>
      <c r="AW132" s="164"/>
      <c r="AX132" s="164"/>
      <c r="AY132" s="161"/>
      <c r="AZ132" s="161"/>
      <c r="BA132" s="161"/>
      <c r="BB132" s="161"/>
      <c r="BC132" s="161"/>
      <c r="BD132" s="161"/>
      <c r="BE132" s="161"/>
      <c r="BF132" s="161"/>
      <c r="BG132" s="161"/>
      <c r="BH132" s="161"/>
      <c r="BI132" s="161"/>
      <c r="BJ132" s="161"/>
      <c r="BK132" s="161"/>
      <c r="BL132" s="161"/>
      <c r="BM132" s="194"/>
      <c r="BN132" s="78"/>
      <c r="BO132" s="78"/>
      <c r="BP132" s="78"/>
      <c r="BQ132" s="78"/>
      <c r="BR132" s="78"/>
      <c r="BS132" s="78"/>
      <c r="BT132" s="78"/>
      <c r="BU132" s="78"/>
      <c r="BV132" s="78"/>
      <c r="BW132" s="78"/>
      <c r="BX132" s="78"/>
      <c r="BY132" s="78"/>
      <c r="BZ132" s="78"/>
      <c r="CA132" s="78"/>
      <c r="CB132" s="78"/>
      <c r="CC132" s="78"/>
      <c r="CD132" s="78"/>
    </row>
    <row r="133" spans="24:82" x14ac:dyDescent="0.25">
      <c r="X133" s="1"/>
      <c r="AJ133" s="78"/>
      <c r="AK133" s="78"/>
      <c r="AL133" s="78"/>
      <c r="AM133" s="78"/>
      <c r="AN133" s="161"/>
      <c r="AO133" s="164"/>
      <c r="AP133" s="164"/>
      <c r="AQ133" s="192"/>
      <c r="AR133" s="164"/>
      <c r="AS133" s="164"/>
      <c r="AT133" s="164"/>
      <c r="AU133" s="164"/>
      <c r="AV133" s="164"/>
      <c r="AW133" s="164"/>
      <c r="AX133" s="164"/>
      <c r="AY133" s="161"/>
      <c r="AZ133" s="161"/>
      <c r="BA133" s="161"/>
      <c r="BB133" s="161"/>
      <c r="BC133" s="161"/>
      <c r="BD133" s="161"/>
      <c r="BE133" s="161"/>
      <c r="BF133" s="161"/>
      <c r="BG133" s="161"/>
      <c r="BH133" s="161"/>
      <c r="BI133" s="161"/>
      <c r="BJ133" s="161"/>
      <c r="BK133" s="161"/>
      <c r="BL133" s="161"/>
      <c r="BM133" s="194"/>
      <c r="BN133" s="78"/>
      <c r="BO133" s="78"/>
      <c r="BP133" s="78"/>
      <c r="BQ133" s="78"/>
      <c r="BR133" s="78"/>
      <c r="BS133" s="78"/>
      <c r="BT133" s="78"/>
      <c r="BU133" s="78"/>
      <c r="BV133" s="78"/>
      <c r="BW133" s="78"/>
      <c r="BX133" s="78"/>
      <c r="BY133" s="78"/>
      <c r="BZ133" s="78"/>
      <c r="CA133" s="78"/>
      <c r="CB133" s="78"/>
      <c r="CC133" s="78"/>
      <c r="CD133" s="78"/>
    </row>
    <row r="134" spans="24:82" x14ac:dyDescent="0.25">
      <c r="X134" s="1"/>
      <c r="AJ134" s="78"/>
      <c r="AK134" s="78"/>
      <c r="AL134" s="78"/>
      <c r="AM134" s="78"/>
      <c r="AN134" s="161"/>
      <c r="AO134" s="161"/>
      <c r="AP134" s="161"/>
      <c r="AQ134" s="193"/>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94"/>
      <c r="BN134" s="78"/>
      <c r="BO134" s="78"/>
      <c r="BP134" s="78"/>
      <c r="BQ134" s="78"/>
      <c r="BR134" s="78"/>
      <c r="BS134" s="78"/>
      <c r="BT134" s="78"/>
      <c r="BU134" s="78"/>
      <c r="BV134" s="78"/>
      <c r="BW134" s="78"/>
      <c r="BX134" s="78"/>
      <c r="BY134" s="78"/>
      <c r="BZ134" s="78"/>
      <c r="CA134" s="78"/>
      <c r="CB134" s="78"/>
      <c r="CC134" s="78"/>
      <c r="CD134" s="78"/>
    </row>
    <row r="135" spans="24:82" ht="19.5" x14ac:dyDescent="0.4">
      <c r="X135" s="1"/>
      <c r="AJ135" s="78"/>
      <c r="AK135" s="78"/>
      <c r="AL135" s="78"/>
      <c r="AM135" s="78"/>
      <c r="AN135" s="161"/>
      <c r="AO135" s="161"/>
      <c r="AP135" s="161"/>
      <c r="AQ135" s="193"/>
      <c r="AR135" s="161"/>
      <c r="AS135" s="161"/>
      <c r="AT135" s="161"/>
      <c r="AU135" s="161"/>
      <c r="AV135" s="161"/>
      <c r="AW135" s="161"/>
      <c r="AX135" s="161"/>
      <c r="AY135" s="161"/>
      <c r="AZ135" s="161"/>
      <c r="BA135" s="161"/>
      <c r="BB135" s="161"/>
      <c r="BC135" s="161"/>
      <c r="BD135" s="161"/>
      <c r="BE135" s="161"/>
      <c r="BF135" s="161"/>
      <c r="BG135" s="161"/>
      <c r="BH135" s="162"/>
      <c r="BI135" s="166"/>
      <c r="BJ135" s="166"/>
      <c r="BK135" s="166"/>
      <c r="BL135" s="161"/>
      <c r="BM135" s="194"/>
      <c r="BN135" s="78"/>
      <c r="BO135" s="78"/>
      <c r="BP135" s="78"/>
      <c r="BQ135" s="78"/>
      <c r="BR135" s="78"/>
      <c r="BS135" s="78"/>
      <c r="BT135" s="78"/>
      <c r="BU135" s="78"/>
      <c r="BV135" s="78"/>
      <c r="BW135" s="78"/>
      <c r="BX135" s="78"/>
      <c r="BY135" s="78"/>
      <c r="BZ135" s="78"/>
      <c r="CA135" s="78"/>
      <c r="CB135" s="78"/>
      <c r="CC135" s="78"/>
      <c r="CD135" s="78"/>
    </row>
    <row r="136" spans="24:82" x14ac:dyDescent="0.25">
      <c r="X136" s="1"/>
      <c r="AJ136" s="78"/>
      <c r="AK136" s="78"/>
      <c r="AL136" s="78"/>
      <c r="AM136" s="78"/>
      <c r="AN136" s="161"/>
      <c r="AO136" s="161"/>
      <c r="AP136" s="161"/>
      <c r="AQ136" s="193"/>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94"/>
      <c r="BN136" s="78"/>
      <c r="BO136" s="78"/>
      <c r="BP136" s="78"/>
      <c r="BQ136" s="78"/>
      <c r="BR136" s="78"/>
      <c r="BS136" s="78"/>
      <c r="BT136" s="78"/>
      <c r="BU136" s="78"/>
      <c r="BV136" s="78"/>
      <c r="BW136" s="78"/>
      <c r="BX136" s="78"/>
      <c r="BY136" s="78"/>
      <c r="BZ136" s="78"/>
      <c r="CA136" s="78"/>
      <c r="CB136" s="78"/>
      <c r="CC136" s="78"/>
      <c r="CD136" s="78"/>
    </row>
    <row r="137" spans="24:82" x14ac:dyDescent="0.25">
      <c r="X137" s="1"/>
      <c r="AJ137" s="78"/>
      <c r="AK137" s="78"/>
      <c r="AL137" s="78"/>
      <c r="AM137" s="78"/>
      <c r="AN137" s="161"/>
      <c r="AO137" s="161"/>
      <c r="AP137" s="161"/>
      <c r="AQ137" s="193"/>
      <c r="AR137" s="161"/>
      <c r="AS137" s="161"/>
      <c r="AT137" s="161"/>
      <c r="AU137" s="161"/>
      <c r="AV137" s="161"/>
      <c r="AW137" s="161"/>
      <c r="AX137" s="161"/>
      <c r="AY137" s="161"/>
      <c r="AZ137" s="161"/>
      <c r="BA137" s="161"/>
      <c r="BB137" s="161"/>
      <c r="BC137" s="161"/>
      <c r="BD137" s="161"/>
      <c r="BE137" s="161"/>
      <c r="BF137" s="161"/>
      <c r="BG137" s="161"/>
      <c r="BH137" s="165"/>
      <c r="BI137" s="165"/>
      <c r="BJ137" s="165"/>
      <c r="BK137" s="165"/>
      <c r="BL137" s="165"/>
      <c r="BM137" s="194"/>
      <c r="BN137" s="78"/>
      <c r="BO137" s="78"/>
      <c r="BP137" s="78"/>
      <c r="BQ137" s="78"/>
      <c r="BR137" s="78"/>
      <c r="BS137" s="78"/>
      <c r="BT137" s="78"/>
      <c r="BU137" s="78"/>
      <c r="BV137" s="78"/>
      <c r="BW137" s="78"/>
      <c r="BX137" s="78"/>
      <c r="BY137" s="78"/>
      <c r="BZ137" s="78"/>
      <c r="CA137" s="78"/>
      <c r="CB137" s="78"/>
      <c r="CC137" s="78"/>
      <c r="CD137" s="78"/>
    </row>
    <row r="138" spans="24:82" ht="19.5" x14ac:dyDescent="0.4">
      <c r="X138" s="1"/>
      <c r="AJ138" s="78"/>
      <c r="AK138" s="78"/>
      <c r="AL138" s="78"/>
      <c r="AM138" s="78"/>
      <c r="AN138" s="161"/>
      <c r="AO138" s="161"/>
      <c r="AP138" s="161"/>
      <c r="AQ138" s="193"/>
      <c r="AR138" s="161"/>
      <c r="AS138" s="161"/>
      <c r="AT138" s="161"/>
      <c r="AU138" s="161"/>
      <c r="AV138" s="161"/>
      <c r="AW138" s="161"/>
      <c r="AX138" s="161"/>
      <c r="AY138" s="161"/>
      <c r="AZ138" s="162"/>
      <c r="BA138" s="161"/>
      <c r="BB138" s="161"/>
      <c r="BC138" s="161"/>
      <c r="BD138" s="161"/>
      <c r="BE138" s="161"/>
      <c r="BF138" s="161"/>
      <c r="BG138" s="161"/>
      <c r="BH138" s="161"/>
      <c r="BI138" s="161"/>
      <c r="BJ138" s="161"/>
      <c r="BK138" s="161"/>
      <c r="BL138" s="161"/>
      <c r="BM138" s="194"/>
      <c r="BN138" s="78"/>
      <c r="BO138" s="78"/>
      <c r="BP138" s="78"/>
      <c r="BQ138" s="78"/>
      <c r="BR138" s="78"/>
      <c r="BS138" s="78"/>
      <c r="BT138" s="78"/>
      <c r="BU138" s="78"/>
      <c r="BV138" s="78"/>
      <c r="BW138" s="78"/>
      <c r="BX138" s="78"/>
      <c r="BY138" s="78"/>
      <c r="BZ138" s="78"/>
      <c r="CA138" s="78"/>
      <c r="CB138" s="78"/>
      <c r="CC138" s="78"/>
      <c r="CD138" s="78"/>
    </row>
    <row r="139" spans="24:82" x14ac:dyDescent="0.25">
      <c r="X139" s="1"/>
      <c r="AJ139" s="78"/>
      <c r="AK139" s="78"/>
      <c r="AL139" s="78"/>
      <c r="AM139" s="78"/>
      <c r="AN139" s="161"/>
      <c r="AO139" s="161"/>
      <c r="AP139" s="161"/>
      <c r="AQ139" s="193"/>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78"/>
      <c r="BO139" s="78"/>
      <c r="BP139" s="78"/>
      <c r="BQ139" s="78"/>
      <c r="BR139" s="78"/>
      <c r="BS139" s="78"/>
      <c r="BT139" s="78"/>
      <c r="BU139" s="78"/>
      <c r="BV139" s="78"/>
      <c r="BW139" s="78"/>
      <c r="BX139" s="78"/>
      <c r="BY139" s="78"/>
      <c r="BZ139" s="78"/>
      <c r="CA139" s="78"/>
      <c r="CB139" s="78"/>
      <c r="CC139" s="78"/>
      <c r="CD139" s="78"/>
    </row>
    <row r="140" spans="24:82" x14ac:dyDescent="0.25">
      <c r="X140" s="1"/>
      <c r="AJ140" s="78"/>
      <c r="AK140" s="78"/>
      <c r="AL140" s="78"/>
      <c r="AM140" s="78"/>
      <c r="AN140" s="161"/>
      <c r="AO140" s="161"/>
      <c r="AP140" s="161"/>
      <c r="AQ140" s="193"/>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78"/>
      <c r="BO140" s="78"/>
      <c r="BP140" s="78"/>
      <c r="BQ140" s="78"/>
      <c r="BR140" s="78"/>
      <c r="BS140" s="78"/>
      <c r="BT140" s="78"/>
      <c r="BU140" s="78"/>
      <c r="BV140" s="78"/>
      <c r="BW140" s="78"/>
      <c r="BX140" s="78"/>
      <c r="BY140" s="78"/>
      <c r="BZ140" s="78"/>
      <c r="CA140" s="78"/>
      <c r="CB140" s="78"/>
      <c r="CC140" s="78"/>
      <c r="CD140" s="78"/>
    </row>
    <row r="141" spans="24:82" x14ac:dyDescent="0.25">
      <c r="X141" s="1"/>
      <c r="AJ141" s="78"/>
      <c r="AK141" s="78"/>
      <c r="AL141" s="78"/>
      <c r="AM141" s="78"/>
      <c r="AN141" s="161"/>
      <c r="AO141" s="161"/>
      <c r="AP141" s="161"/>
      <c r="AQ141" s="193"/>
      <c r="AR141" s="161"/>
      <c r="AS141" s="161"/>
      <c r="AT141" s="161"/>
      <c r="AU141" s="161"/>
      <c r="AV141" s="161"/>
      <c r="AW141" s="161"/>
      <c r="AX141" s="161"/>
      <c r="AY141" s="161"/>
      <c r="AZ141" s="167"/>
      <c r="BA141" s="167"/>
      <c r="BB141" s="167"/>
      <c r="BC141" s="167"/>
      <c r="BD141" s="161"/>
      <c r="BE141" s="161"/>
      <c r="BF141" s="161"/>
      <c r="BG141" s="161"/>
      <c r="BH141" s="161"/>
      <c r="BI141" s="161"/>
      <c r="BJ141" s="161"/>
      <c r="BK141" s="161"/>
      <c r="BL141" s="161"/>
      <c r="BM141" s="161"/>
      <c r="BN141" s="78"/>
      <c r="BO141" s="78"/>
      <c r="BP141" s="78"/>
      <c r="BQ141" s="78"/>
      <c r="BR141" s="78"/>
      <c r="BS141" s="78"/>
      <c r="BT141" s="78"/>
      <c r="BU141" s="78"/>
      <c r="BV141" s="78"/>
      <c r="BW141" s="78"/>
      <c r="BX141" s="78"/>
      <c r="BY141" s="78"/>
      <c r="BZ141" s="78"/>
      <c r="CA141" s="78"/>
      <c r="CB141" s="78"/>
      <c r="CC141" s="78"/>
      <c r="CD141" s="78"/>
    </row>
    <row r="142" spans="24:82" x14ac:dyDescent="0.25">
      <c r="X142" s="1"/>
      <c r="AJ142" s="78"/>
      <c r="AK142" s="78"/>
      <c r="AL142" s="78"/>
      <c r="AM142" s="78"/>
      <c r="AN142" s="161"/>
      <c r="AO142" s="161"/>
      <c r="AP142" s="161"/>
      <c r="AQ142" s="193"/>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78"/>
      <c r="BO142" s="78"/>
      <c r="BP142" s="78"/>
      <c r="BQ142" s="78"/>
      <c r="BR142" s="78"/>
      <c r="BS142" s="78"/>
      <c r="BT142" s="78"/>
      <c r="BU142" s="78"/>
      <c r="BV142" s="78"/>
      <c r="BW142" s="78"/>
      <c r="BX142" s="78"/>
      <c r="BY142" s="78"/>
      <c r="BZ142" s="78"/>
      <c r="CA142" s="78"/>
      <c r="CB142" s="78"/>
      <c r="CC142" s="78"/>
      <c r="CD142" s="78"/>
    </row>
    <row r="143" spans="24:82" x14ac:dyDescent="0.25">
      <c r="X143" s="1"/>
      <c r="AJ143" s="78"/>
      <c r="AK143" s="78"/>
      <c r="AL143" s="78"/>
      <c r="AM143" s="78"/>
      <c r="AN143" s="161"/>
      <c r="AO143" s="161"/>
      <c r="AP143" s="161"/>
      <c r="AQ143" s="193"/>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78"/>
      <c r="BO143" s="78"/>
      <c r="BP143" s="78"/>
      <c r="BQ143" s="78"/>
      <c r="BR143" s="78"/>
      <c r="BS143" s="78"/>
      <c r="BT143" s="78"/>
      <c r="BU143" s="78"/>
      <c r="BV143" s="78"/>
      <c r="BW143" s="78"/>
      <c r="BX143" s="78"/>
      <c r="BY143" s="78"/>
      <c r="BZ143" s="78"/>
      <c r="CA143" s="78"/>
      <c r="CB143" s="78"/>
      <c r="CC143" s="78"/>
      <c r="CD143" s="78"/>
    </row>
    <row r="144" spans="24:82" x14ac:dyDescent="0.25">
      <c r="X144" s="1"/>
      <c r="AJ144" s="78"/>
      <c r="AK144" s="78"/>
      <c r="AL144" s="78"/>
      <c r="AM144" s="78"/>
      <c r="AN144" s="161"/>
      <c r="AO144" s="161"/>
      <c r="AP144" s="161"/>
      <c r="AQ144" s="193"/>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78"/>
      <c r="BO144" s="78"/>
      <c r="BP144" s="78"/>
      <c r="BQ144" s="78"/>
      <c r="BR144" s="78"/>
      <c r="BS144" s="78"/>
      <c r="BT144" s="78"/>
      <c r="BU144" s="78"/>
      <c r="BV144" s="78"/>
      <c r="BW144" s="78"/>
      <c r="BX144" s="78"/>
      <c r="BY144" s="78"/>
      <c r="BZ144" s="78"/>
      <c r="CA144" s="78"/>
      <c r="CB144" s="78"/>
      <c r="CC144" s="78"/>
      <c r="CD144" s="78"/>
    </row>
    <row r="145" spans="24:82" x14ac:dyDescent="0.25">
      <c r="X145" s="1"/>
      <c r="AJ145" s="78"/>
      <c r="AK145" s="78"/>
      <c r="AL145" s="78"/>
      <c r="AM145" s="78"/>
      <c r="AN145" s="161"/>
      <c r="AO145" s="161"/>
      <c r="AP145" s="161"/>
      <c r="AQ145" s="193"/>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78"/>
      <c r="BO145" s="78"/>
      <c r="BP145" s="78"/>
      <c r="BQ145" s="78"/>
      <c r="BR145" s="78"/>
      <c r="BS145" s="78"/>
      <c r="BT145" s="78"/>
      <c r="BU145" s="78"/>
      <c r="BV145" s="78"/>
      <c r="BW145" s="78"/>
      <c r="BX145" s="78"/>
      <c r="BY145" s="78"/>
      <c r="BZ145" s="78"/>
      <c r="CA145" s="78"/>
      <c r="CB145" s="78"/>
      <c r="CC145" s="78"/>
      <c r="CD145" s="78"/>
    </row>
    <row r="146" spans="24:82" x14ac:dyDescent="0.25">
      <c r="X146" s="1"/>
      <c r="AJ146" s="78"/>
      <c r="AK146" s="78"/>
      <c r="AL146" s="78"/>
      <c r="AM146" s="78"/>
      <c r="AN146" s="161"/>
      <c r="AO146" s="161"/>
      <c r="AP146" s="161"/>
      <c r="AQ146" s="193"/>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78"/>
      <c r="BO146" s="78"/>
      <c r="BP146" s="78"/>
      <c r="BQ146" s="78"/>
      <c r="BR146" s="78"/>
      <c r="BS146" s="78"/>
      <c r="BT146" s="78"/>
      <c r="BU146" s="78"/>
      <c r="BV146" s="78"/>
      <c r="BW146" s="78"/>
      <c r="BX146" s="78"/>
      <c r="BY146" s="78"/>
      <c r="BZ146" s="78"/>
      <c r="CA146" s="78"/>
      <c r="CB146" s="78"/>
      <c r="CC146" s="78"/>
      <c r="CD146" s="78"/>
    </row>
    <row r="147" spans="24:82" x14ac:dyDescent="0.25">
      <c r="X147" s="1"/>
      <c r="AJ147" s="78"/>
      <c r="AK147" s="78"/>
      <c r="AL147" s="78"/>
      <c r="AM147" s="78"/>
      <c r="AN147" s="161"/>
      <c r="AO147" s="161"/>
      <c r="AP147" s="161"/>
      <c r="AQ147" s="193"/>
      <c r="AR147" s="161"/>
      <c r="AS147" s="161"/>
      <c r="AT147" s="161"/>
      <c r="AU147" s="161"/>
      <c r="AV147" s="161"/>
      <c r="AW147" s="161"/>
      <c r="AX147" s="161"/>
      <c r="AY147" s="161"/>
      <c r="AZ147" s="167"/>
      <c r="BA147" s="167"/>
      <c r="BB147" s="167"/>
      <c r="BC147" s="161"/>
      <c r="BD147" s="161"/>
      <c r="BE147" s="161"/>
      <c r="BF147" s="161"/>
      <c r="BG147" s="161"/>
      <c r="BH147" s="161"/>
      <c r="BI147" s="161"/>
      <c r="BJ147" s="161"/>
      <c r="BK147" s="161"/>
      <c r="BL147" s="161"/>
      <c r="BM147" s="161"/>
      <c r="BN147" s="78"/>
      <c r="BO147" s="78"/>
      <c r="BP147" s="78"/>
      <c r="BQ147" s="78"/>
      <c r="BR147" s="78"/>
      <c r="BS147" s="78"/>
      <c r="BT147" s="78"/>
      <c r="BU147" s="78"/>
      <c r="BV147" s="78"/>
      <c r="BW147" s="78"/>
      <c r="BX147" s="78"/>
      <c r="BY147" s="78"/>
      <c r="BZ147" s="78"/>
      <c r="CA147" s="78"/>
      <c r="CB147" s="78"/>
      <c r="CC147" s="78"/>
      <c r="CD147" s="78"/>
    </row>
    <row r="148" spans="24:82" x14ac:dyDescent="0.25">
      <c r="X148" s="1"/>
      <c r="AJ148" s="78"/>
      <c r="AK148" s="78"/>
      <c r="AL148" s="78"/>
      <c r="AM148" s="78"/>
      <c r="AN148" s="161"/>
      <c r="AO148" s="161"/>
      <c r="AP148" s="161"/>
      <c r="AQ148" s="193"/>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78"/>
      <c r="BO148" s="78"/>
      <c r="BP148" s="78"/>
      <c r="BQ148" s="78"/>
      <c r="BR148" s="78"/>
      <c r="BS148" s="78"/>
      <c r="BT148" s="78"/>
      <c r="BU148" s="78"/>
      <c r="BV148" s="78"/>
      <c r="BW148" s="78"/>
      <c r="BX148" s="78"/>
      <c r="BY148" s="78"/>
      <c r="BZ148" s="78"/>
      <c r="CA148" s="78"/>
      <c r="CB148" s="78"/>
      <c r="CC148" s="78"/>
      <c r="CD148" s="78"/>
    </row>
    <row r="149" spans="24:82" x14ac:dyDescent="0.25">
      <c r="X149" s="1"/>
      <c r="AJ149" s="78"/>
      <c r="AK149" s="78"/>
      <c r="AL149" s="78"/>
      <c r="AM149" s="78"/>
      <c r="AN149" s="161"/>
      <c r="AO149" s="161"/>
      <c r="AP149" s="161"/>
      <c r="AQ149" s="193"/>
      <c r="AR149" s="161"/>
      <c r="AS149" s="161"/>
      <c r="AT149" s="161"/>
      <c r="AU149" s="161"/>
      <c r="AV149" s="161"/>
      <c r="AW149" s="161"/>
      <c r="AX149" s="161"/>
      <c r="AY149" s="161"/>
      <c r="AZ149" s="161"/>
      <c r="BA149" s="161"/>
      <c r="BB149" s="161"/>
      <c r="BC149" s="161"/>
      <c r="BD149" s="164"/>
      <c r="BE149" s="161"/>
      <c r="BF149" s="161"/>
      <c r="BG149" s="161"/>
      <c r="BH149" s="161"/>
      <c r="BI149" s="161"/>
      <c r="BJ149" s="161"/>
      <c r="BK149" s="161"/>
      <c r="BL149" s="161"/>
      <c r="BM149" s="161"/>
      <c r="BN149" s="78"/>
      <c r="BO149" s="78"/>
      <c r="BP149" s="78"/>
      <c r="BQ149" s="78"/>
      <c r="BR149" s="78"/>
      <c r="BS149" s="78"/>
      <c r="BT149" s="78"/>
      <c r="BU149" s="78"/>
      <c r="BV149" s="78"/>
      <c r="BW149" s="78"/>
      <c r="BX149" s="78"/>
      <c r="BY149" s="78"/>
      <c r="BZ149" s="78"/>
      <c r="CA149" s="78"/>
      <c r="CB149" s="78"/>
      <c r="CC149" s="78"/>
      <c r="CD149" s="78"/>
    </row>
    <row r="150" spans="24:82" ht="19.5" x14ac:dyDescent="0.4">
      <c r="X150" s="1"/>
      <c r="AJ150" s="78"/>
      <c r="AK150" s="78"/>
      <c r="AL150" s="78"/>
      <c r="AM150" s="78"/>
      <c r="AN150" s="161"/>
      <c r="AO150" s="161"/>
      <c r="AP150" s="161"/>
      <c r="AQ150" s="193"/>
      <c r="AR150" s="161"/>
      <c r="AS150" s="161"/>
      <c r="AT150" s="161"/>
      <c r="AU150" s="161"/>
      <c r="AV150" s="162"/>
      <c r="AW150" s="161"/>
      <c r="AX150" s="161"/>
      <c r="AY150" s="161"/>
      <c r="AZ150" s="161"/>
      <c r="BA150" s="161"/>
      <c r="BB150" s="161"/>
      <c r="BC150" s="161"/>
      <c r="BD150" s="161"/>
      <c r="BE150" s="161"/>
      <c r="BF150" s="161"/>
      <c r="BG150" s="161"/>
      <c r="BH150" s="161"/>
      <c r="BI150" s="161"/>
      <c r="BJ150" s="161"/>
      <c r="BK150" s="161"/>
      <c r="BL150" s="161"/>
      <c r="BM150" s="161"/>
      <c r="BN150" s="78"/>
      <c r="BO150" s="78"/>
      <c r="BP150" s="78"/>
      <c r="BQ150" s="78"/>
      <c r="BR150" s="78"/>
      <c r="BS150" s="78"/>
      <c r="BT150" s="78"/>
      <c r="BU150" s="78"/>
      <c r="BV150" s="78"/>
      <c r="BW150" s="78"/>
      <c r="BX150" s="78"/>
      <c r="BY150" s="78"/>
      <c r="BZ150" s="78"/>
      <c r="CA150" s="78"/>
      <c r="CB150" s="78"/>
      <c r="CC150" s="78"/>
      <c r="CD150" s="78"/>
    </row>
    <row r="151" spans="24:82" x14ac:dyDescent="0.25">
      <c r="X151" s="1"/>
      <c r="AJ151" s="78"/>
      <c r="AK151" s="78"/>
      <c r="AL151" s="78"/>
      <c r="AM151" s="78"/>
      <c r="AN151" s="161"/>
      <c r="AO151" s="161"/>
      <c r="AP151" s="161"/>
      <c r="AQ151" s="193"/>
      <c r="AR151" s="161"/>
      <c r="AS151" s="161"/>
      <c r="AT151" s="161"/>
      <c r="AU151" s="161"/>
      <c r="AV151" s="165"/>
      <c r="AW151" s="165"/>
      <c r="AX151" s="165"/>
      <c r="AY151" s="161"/>
      <c r="AZ151" s="161"/>
      <c r="BA151" s="161"/>
      <c r="BB151" s="161"/>
      <c r="BC151" s="161"/>
      <c r="BD151" s="161"/>
      <c r="BE151" s="161"/>
      <c r="BF151" s="161"/>
      <c r="BG151" s="161"/>
      <c r="BH151" s="161"/>
      <c r="BI151" s="161"/>
      <c r="BJ151" s="161"/>
      <c r="BK151" s="161"/>
      <c r="BL151" s="161"/>
      <c r="BM151" s="161"/>
      <c r="BN151" s="78"/>
      <c r="BO151" s="78"/>
      <c r="BP151" s="78"/>
      <c r="BQ151" s="78"/>
      <c r="BR151" s="78"/>
      <c r="BS151" s="78"/>
      <c r="BT151" s="78"/>
      <c r="BU151" s="78"/>
      <c r="BV151" s="78"/>
      <c r="BW151" s="78"/>
      <c r="BX151" s="78"/>
      <c r="BY151" s="78"/>
      <c r="BZ151" s="78"/>
      <c r="CA151" s="78"/>
      <c r="CB151" s="78"/>
      <c r="CC151" s="78"/>
      <c r="CD151" s="78"/>
    </row>
    <row r="152" spans="24:82" x14ac:dyDescent="0.25">
      <c r="X152" s="1"/>
      <c r="AJ152" s="78"/>
      <c r="AK152" s="78"/>
      <c r="AL152" s="78"/>
      <c r="AM152" s="78"/>
      <c r="AN152" s="161"/>
      <c r="AO152" s="161"/>
      <c r="AP152" s="161"/>
      <c r="AQ152" s="193"/>
      <c r="AR152" s="161"/>
      <c r="AS152" s="161"/>
      <c r="AT152" s="161"/>
      <c r="AU152" s="161"/>
      <c r="AV152" s="161"/>
      <c r="AW152" s="161"/>
      <c r="AX152" s="161"/>
      <c r="AY152" s="161"/>
      <c r="AZ152" s="161"/>
      <c r="BA152" s="161"/>
      <c r="BB152" s="161"/>
      <c r="BC152" s="161"/>
      <c r="BD152" s="161"/>
      <c r="BE152" s="161"/>
      <c r="BF152" s="161"/>
      <c r="BG152" s="161"/>
      <c r="BH152" s="165"/>
      <c r="BI152" s="165"/>
      <c r="BJ152" s="165"/>
      <c r="BK152" s="165"/>
      <c r="BL152" s="165"/>
      <c r="BM152" s="165"/>
      <c r="BN152" s="77"/>
      <c r="BO152" s="78"/>
      <c r="BP152" s="78"/>
      <c r="BQ152" s="78"/>
      <c r="BR152" s="78"/>
      <c r="BS152" s="78"/>
      <c r="BT152" s="78"/>
      <c r="BU152" s="78"/>
      <c r="BV152" s="78"/>
      <c r="BW152" s="78"/>
      <c r="BX152" s="78"/>
      <c r="BY152" s="78"/>
      <c r="BZ152" s="78"/>
      <c r="CA152" s="78"/>
      <c r="CB152" s="78"/>
      <c r="CC152" s="78"/>
      <c r="CD152" s="78"/>
    </row>
    <row r="153" spans="24:82" x14ac:dyDescent="0.25">
      <c r="X153" s="1"/>
      <c r="AJ153" s="78"/>
      <c r="AK153" s="78"/>
      <c r="AL153" s="78"/>
      <c r="AM153" s="78"/>
      <c r="AN153" s="161"/>
      <c r="AO153" s="161"/>
      <c r="AP153" s="161"/>
      <c r="AQ153" s="193"/>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78"/>
      <c r="BO153" s="78"/>
      <c r="BP153" s="78"/>
      <c r="BQ153" s="78"/>
      <c r="BR153" s="78"/>
      <c r="BS153" s="78"/>
      <c r="BT153" s="78"/>
      <c r="BU153" s="78"/>
      <c r="BV153" s="78"/>
      <c r="BW153" s="78"/>
      <c r="BX153" s="78"/>
      <c r="BY153" s="78"/>
      <c r="BZ153" s="78"/>
      <c r="CA153" s="78"/>
      <c r="CB153" s="78"/>
      <c r="CC153" s="78"/>
      <c r="CD153" s="78"/>
    </row>
    <row r="154" spans="24:82" x14ac:dyDescent="0.25">
      <c r="X154" s="1"/>
      <c r="AJ154" s="78"/>
      <c r="AK154" s="78"/>
      <c r="AL154" s="78"/>
      <c r="AM154" s="78"/>
      <c r="AN154" s="161"/>
      <c r="AO154" s="161"/>
      <c r="AP154" s="161"/>
      <c r="AQ154" s="193"/>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78"/>
      <c r="BO154" s="78"/>
      <c r="BP154" s="78"/>
      <c r="BQ154" s="78"/>
      <c r="BR154" s="78"/>
      <c r="BS154" s="78"/>
      <c r="BT154" s="78"/>
      <c r="BU154" s="78"/>
      <c r="BV154" s="78"/>
      <c r="BW154" s="78"/>
      <c r="BX154" s="78"/>
      <c r="BY154" s="78"/>
      <c r="BZ154" s="78"/>
      <c r="CA154" s="78"/>
      <c r="CB154" s="78"/>
      <c r="CC154" s="78"/>
      <c r="CD154" s="78"/>
    </row>
    <row r="155" spans="24:82" x14ac:dyDescent="0.25">
      <c r="AJ155" s="78"/>
      <c r="AK155" s="78"/>
      <c r="AL155" s="78"/>
      <c r="AM155" s="78"/>
      <c r="AN155" s="161"/>
      <c r="AO155" s="161"/>
      <c r="AP155" s="161"/>
      <c r="AQ155" s="193"/>
      <c r="AR155" s="161"/>
      <c r="AS155" s="161"/>
      <c r="AT155" s="161"/>
      <c r="AU155" s="161"/>
      <c r="AV155" s="161"/>
      <c r="AW155" s="161"/>
      <c r="AX155" s="161"/>
      <c r="AY155" s="161"/>
      <c r="AZ155" s="165"/>
      <c r="BA155" s="165"/>
      <c r="BB155" s="165"/>
      <c r="BC155" s="165"/>
      <c r="BD155" s="165"/>
      <c r="BE155" s="165"/>
      <c r="BF155" s="165"/>
      <c r="BG155" s="161"/>
      <c r="BH155" s="161"/>
      <c r="BI155" s="161"/>
      <c r="BJ155" s="161"/>
      <c r="BK155" s="161"/>
      <c r="BL155" s="161"/>
      <c r="BM155" s="161"/>
      <c r="BN155" s="78"/>
      <c r="BO155" s="78"/>
      <c r="BP155" s="78"/>
      <c r="BQ155" s="78"/>
      <c r="BR155" s="78"/>
      <c r="BS155" s="78"/>
      <c r="BT155" s="78"/>
      <c r="BU155" s="78"/>
      <c r="BV155" s="78"/>
      <c r="BW155" s="78"/>
      <c r="BX155" s="78"/>
      <c r="BY155" s="78"/>
      <c r="BZ155" s="78"/>
      <c r="CA155" s="78"/>
      <c r="CB155" s="78"/>
      <c r="CC155" s="78"/>
      <c r="CD155" s="78"/>
    </row>
    <row r="156" spans="24:82" x14ac:dyDescent="0.25">
      <c r="AJ156" s="78"/>
      <c r="AK156" s="78"/>
      <c r="AL156" s="78"/>
      <c r="AM156" s="78"/>
      <c r="AN156" s="161"/>
      <c r="AO156" s="161"/>
      <c r="AP156" s="161"/>
      <c r="AQ156" s="193"/>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78"/>
      <c r="BO156" s="78"/>
      <c r="BP156" s="78"/>
      <c r="BQ156" s="78"/>
      <c r="BR156" s="78"/>
      <c r="BS156" s="78"/>
      <c r="BT156" s="78"/>
      <c r="BU156" s="78"/>
      <c r="BV156" s="78"/>
      <c r="BW156" s="78"/>
      <c r="BX156" s="78"/>
      <c r="BY156" s="78"/>
      <c r="BZ156" s="78"/>
      <c r="CA156" s="78"/>
      <c r="CB156" s="78"/>
      <c r="CC156" s="78"/>
      <c r="CD156" s="78"/>
    </row>
    <row r="157" spans="24:82" ht="19.5" x14ac:dyDescent="0.4">
      <c r="AJ157" s="78"/>
      <c r="AK157" s="78"/>
      <c r="AL157" s="78"/>
      <c r="AM157" s="78"/>
      <c r="AN157" s="161"/>
      <c r="AO157" s="161"/>
      <c r="AP157" s="161"/>
      <c r="AQ157" s="193"/>
      <c r="AR157" s="161"/>
      <c r="AS157" s="161"/>
      <c r="AT157" s="161"/>
      <c r="AU157" s="161"/>
      <c r="AV157" s="162"/>
      <c r="AW157" s="161"/>
      <c r="AX157" s="161"/>
      <c r="AY157" s="161"/>
      <c r="AZ157" s="161"/>
      <c r="BA157" s="161"/>
      <c r="BB157" s="161"/>
      <c r="BC157" s="161"/>
      <c r="BD157" s="161"/>
      <c r="BE157" s="161"/>
      <c r="BF157" s="161"/>
      <c r="BG157" s="161"/>
      <c r="BH157" s="161"/>
      <c r="BI157" s="161"/>
      <c r="BJ157" s="161"/>
      <c r="BK157" s="161"/>
      <c r="BL157" s="161"/>
      <c r="BM157" s="161"/>
      <c r="BN157" s="78"/>
      <c r="BO157" s="78"/>
      <c r="BP157" s="78"/>
      <c r="BQ157" s="78"/>
      <c r="BR157" s="78"/>
      <c r="BS157" s="78"/>
      <c r="BT157" s="78"/>
      <c r="BU157" s="78"/>
      <c r="BV157" s="78"/>
      <c r="BW157" s="78"/>
      <c r="BX157" s="78"/>
      <c r="BY157" s="78"/>
      <c r="BZ157" s="78"/>
      <c r="CA157" s="78"/>
      <c r="CB157" s="78"/>
      <c r="CC157" s="78"/>
      <c r="CD157" s="78"/>
    </row>
    <row r="158" spans="24:82" x14ac:dyDescent="0.25">
      <c r="AJ158" s="78"/>
      <c r="AK158" s="78"/>
      <c r="AL158" s="78"/>
      <c r="AM158" s="78"/>
      <c r="AN158" s="161"/>
      <c r="AO158" s="161"/>
      <c r="AP158" s="161"/>
      <c r="AQ158" s="193"/>
      <c r="AR158" s="161"/>
      <c r="AS158" s="161"/>
      <c r="AT158" s="161"/>
      <c r="AU158" s="161"/>
      <c r="AV158" s="165"/>
      <c r="AW158" s="165"/>
      <c r="AX158" s="165"/>
      <c r="AY158" s="161"/>
      <c r="AZ158" s="161"/>
      <c r="BA158" s="161"/>
      <c r="BB158" s="161"/>
      <c r="BC158" s="161"/>
      <c r="BD158" s="161"/>
      <c r="BE158" s="161"/>
      <c r="BF158" s="161"/>
      <c r="BG158" s="161"/>
      <c r="BH158" s="161"/>
      <c r="BI158" s="161"/>
      <c r="BJ158" s="161"/>
      <c r="BK158" s="161"/>
      <c r="BL158" s="161"/>
      <c r="BM158" s="161"/>
      <c r="BN158" s="78"/>
      <c r="BO158" s="78"/>
      <c r="BP158" s="78"/>
      <c r="BQ158" s="78"/>
      <c r="BR158" s="78"/>
      <c r="BS158" s="78"/>
      <c r="BT158" s="78"/>
      <c r="BU158" s="78"/>
      <c r="BV158" s="78"/>
      <c r="BW158" s="78"/>
      <c r="BX158" s="78"/>
      <c r="BY158" s="78"/>
      <c r="BZ158" s="78"/>
      <c r="CA158" s="78"/>
      <c r="CB158" s="78"/>
      <c r="CC158" s="78"/>
      <c r="CD158" s="78"/>
    </row>
    <row r="159" spans="24:82" x14ac:dyDescent="0.25">
      <c r="AJ159" s="78"/>
      <c r="AK159" s="78"/>
      <c r="AL159" s="78"/>
      <c r="AM159" s="78"/>
      <c r="AN159" s="161"/>
      <c r="AO159" s="161"/>
      <c r="AP159" s="161"/>
      <c r="AQ159" s="193"/>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78"/>
      <c r="BO159" s="78"/>
      <c r="BP159" s="78"/>
      <c r="BQ159" s="78"/>
      <c r="BR159" s="78"/>
      <c r="BS159" s="78"/>
      <c r="BT159" s="78"/>
      <c r="BU159" s="78"/>
      <c r="BV159" s="78"/>
      <c r="BW159" s="78"/>
      <c r="BX159" s="78"/>
      <c r="BY159" s="78"/>
      <c r="BZ159" s="78"/>
      <c r="CA159" s="78"/>
      <c r="CB159" s="78"/>
      <c r="CC159" s="78"/>
      <c r="CD159" s="78"/>
    </row>
    <row r="160" spans="24:82" x14ac:dyDescent="0.25">
      <c r="AJ160" s="78"/>
      <c r="AK160" s="78"/>
      <c r="AL160" s="78"/>
      <c r="AM160" s="78"/>
      <c r="AN160" s="161"/>
      <c r="AO160" s="161"/>
      <c r="AP160" s="161"/>
      <c r="AQ160" s="193"/>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78"/>
      <c r="BO160" s="78"/>
      <c r="BP160" s="78"/>
      <c r="BQ160" s="78"/>
      <c r="BR160" s="78"/>
      <c r="BS160" s="78"/>
      <c r="BT160" s="78"/>
      <c r="BU160" s="78"/>
      <c r="BV160" s="78"/>
      <c r="BW160" s="78"/>
      <c r="BX160" s="78"/>
      <c r="BY160" s="78"/>
      <c r="BZ160" s="78"/>
      <c r="CA160" s="78"/>
      <c r="CB160" s="78"/>
      <c r="CC160" s="78"/>
      <c r="CD160" s="78"/>
    </row>
    <row r="161" spans="36:82" x14ac:dyDescent="0.25">
      <c r="AJ161" s="78"/>
      <c r="AK161" s="78"/>
      <c r="AL161" s="78"/>
      <c r="AM161" s="78"/>
      <c r="AN161" s="78"/>
      <c r="AO161" s="78"/>
      <c r="AP161" s="78"/>
      <c r="AQ161" s="191"/>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row>
    <row r="162" spans="36:82" x14ac:dyDescent="0.25">
      <c r="AJ162" s="78"/>
      <c r="AK162" s="78"/>
      <c r="AL162" s="78"/>
      <c r="AM162" s="78"/>
      <c r="AN162" s="78"/>
      <c r="AO162" s="78"/>
      <c r="AP162" s="78"/>
      <c r="AQ162" s="191"/>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row>
    <row r="163" spans="36:82" x14ac:dyDescent="0.25">
      <c r="AJ163" s="78"/>
      <c r="AK163" s="78"/>
      <c r="AL163" s="78"/>
      <c r="AM163" s="78"/>
      <c r="AN163" s="78"/>
      <c r="AO163" s="78"/>
      <c r="AP163" s="78"/>
      <c r="AQ163" s="191"/>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row>
    <row r="164" spans="36:82" x14ac:dyDescent="0.25">
      <c r="AJ164" s="78"/>
      <c r="AK164" s="78"/>
      <c r="AL164" s="78"/>
      <c r="AM164" s="78"/>
      <c r="AN164" s="78"/>
      <c r="AO164" s="78"/>
      <c r="AP164" s="78"/>
      <c r="AQ164" s="191"/>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row>
    <row r="165" spans="36:82" x14ac:dyDescent="0.25">
      <c r="AJ165" s="78"/>
      <c r="AK165" s="78"/>
      <c r="AL165" s="78"/>
      <c r="AM165" s="78"/>
      <c r="AN165" s="78"/>
      <c r="AO165" s="78"/>
      <c r="AP165" s="78"/>
      <c r="AQ165" s="191"/>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row>
    <row r="166" spans="36:82" x14ac:dyDescent="0.25">
      <c r="AJ166" s="78"/>
      <c r="AK166" s="78"/>
      <c r="AL166" s="78"/>
      <c r="AM166" s="78"/>
      <c r="AN166" s="78"/>
      <c r="AO166" s="78"/>
      <c r="AP166" s="78"/>
      <c r="AQ166" s="191"/>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row>
    <row r="167" spans="36:82" x14ac:dyDescent="0.25">
      <c r="AJ167" s="78"/>
      <c r="AK167" s="78"/>
      <c r="AL167" s="78"/>
      <c r="AM167" s="78"/>
      <c r="AN167" s="78"/>
      <c r="AO167" s="78"/>
      <c r="AP167" s="78"/>
      <c r="AQ167" s="191"/>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row>
    <row r="168" spans="36:82" x14ac:dyDescent="0.25">
      <c r="AJ168" s="78"/>
      <c r="AK168" s="78"/>
      <c r="AL168" s="78"/>
      <c r="AM168" s="78"/>
      <c r="AN168" s="78"/>
      <c r="AO168" s="78"/>
      <c r="AP168" s="78"/>
      <c r="AQ168" s="191"/>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row>
    <row r="169" spans="36:82" x14ac:dyDescent="0.25">
      <c r="AJ169" s="78"/>
      <c r="AK169" s="78"/>
      <c r="AL169" s="78"/>
      <c r="AM169" s="78"/>
      <c r="AN169" s="78"/>
      <c r="AO169" s="78"/>
      <c r="AP169" s="78"/>
      <c r="AQ169" s="191"/>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row>
    <row r="170" spans="36:82" x14ac:dyDescent="0.25">
      <c r="AJ170" s="78"/>
      <c r="AK170" s="78"/>
      <c r="AL170" s="78"/>
      <c r="AM170" s="78"/>
      <c r="AN170" s="78"/>
      <c r="AO170" s="78"/>
      <c r="AP170" s="78"/>
      <c r="AQ170" s="78"/>
      <c r="AR170" s="150"/>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row>
    <row r="171" spans="36:82" x14ac:dyDescent="0.25">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row>
    <row r="172" spans="36:82" x14ac:dyDescent="0.25">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row>
    <row r="173" spans="36:82" x14ac:dyDescent="0.25">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row>
    <row r="174" spans="36:82" x14ac:dyDescent="0.25">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row>
    <row r="175" spans="36:82" x14ac:dyDescent="0.25">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row>
    <row r="176" spans="36:82" x14ac:dyDescent="0.25">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row>
    <row r="177" spans="36:82" x14ac:dyDescent="0.25">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row>
    <row r="178" spans="36:82" x14ac:dyDescent="0.25">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row>
    <row r="179" spans="36:82" x14ac:dyDescent="0.25">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row>
    <row r="180" spans="36:82" x14ac:dyDescent="0.25">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row>
    <row r="181" spans="36:82" x14ac:dyDescent="0.25">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row>
    <row r="182" spans="36:82" x14ac:dyDescent="0.25">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row>
    <row r="183" spans="36:82" x14ac:dyDescent="0.25">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row>
    <row r="184" spans="36:82" x14ac:dyDescent="0.25">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row>
    <row r="185" spans="36:82" x14ac:dyDescent="0.25">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row>
    <row r="186" spans="36:82" x14ac:dyDescent="0.25">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row>
    <row r="187" spans="36:82" x14ac:dyDescent="0.25">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row>
    <row r="188" spans="36:82" x14ac:dyDescent="0.25">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row>
    <row r="189" spans="36:82" x14ac:dyDescent="0.25">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row>
    <row r="190" spans="36:82" x14ac:dyDescent="0.25">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row>
    <row r="191" spans="36:82" x14ac:dyDescent="0.25">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row>
    <row r="192" spans="36:82" x14ac:dyDescent="0.25">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row>
    <row r="193" spans="36:82" x14ac:dyDescent="0.25">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row>
    <row r="194" spans="36:82" x14ac:dyDescent="0.25">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row>
    <row r="195" spans="36:82" x14ac:dyDescent="0.25">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row>
    <row r="196" spans="36:82" x14ac:dyDescent="0.25">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row>
    <row r="197" spans="36:82" x14ac:dyDescent="0.25">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row>
    <row r="198" spans="36:82" x14ac:dyDescent="0.25">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row>
  </sheetData>
  <scenarios current="2" show="0" sqref="DJ39 DJ40 DJ41 DJ42 DJ43 DJ44">
    <scenario name="Best Case" locked="1" count="5" user="23691A32E1" comment="Created by 23691A32E1 on 08-06-2026">
      <inputCells r="DE39" val="100"/>
      <inputCells r="DE40" val="95"/>
      <inputCells r="DE41" val="95"/>
      <inputCells r="DE42" val="122"/>
      <inputCells r="DE43" val="175"/>
    </scenario>
    <scenario name="Best Case 1" locked="1" count="5" user="23691A32E1" comment="Created by 23691A32E1 on 08-06-2026">
      <inputCells r="DE39" val="100"/>
      <inputCells r="DE40" val="95"/>
      <inputCells r="DE41" val="95"/>
      <inputCells r="DE42" val="122"/>
      <inputCells r="DE43" val="175"/>
    </scenario>
    <scenario name="Best Case 2" locked="1" count="5" user="23691A32E1" comment="Created by 23691A32E1 on 08-06-2026">
      <inputCells r="DE39" val="100"/>
      <inputCells r="DE40" val="95"/>
      <inputCells r="DE41" val="95"/>
      <inputCells r="DE42" val="122"/>
      <inputCells r="DE43" val="175"/>
    </scenario>
    <scenario name="Average Case" locked="1" count="5" user="23691A32E1" comment="Created by 23691A32E1 on 08-06-2026_x000a_Modified by 23691A32E1 on 08-06-2026">
      <inputCells r="DE39" val="85"/>
      <inputCells r="DE40" val="80"/>
      <inputCells r="DE41" val="84"/>
      <inputCells r="DE42" val="97"/>
      <inputCells r="DE43" val="95"/>
    </scenario>
    <scenario name="Worse Case" locked="1" count="5" user="23691A32E1" comment="Created by 23691A32E1 on 08-06-2026">
      <inputCells r="DE39" val="50"/>
      <inputCells r="DE40" val="45"/>
      <inputCells r="DE41" val="35"/>
      <inputCells r="DE42" val="30"/>
      <inputCells r="DE43" val="30"/>
    </scenario>
  </scenarios>
  <autoFilter ref="CG35:CR55" xr:uid="{FB7F1321-4A1E-4089-BD50-19DD412397C8}"/>
  <dataConsolidate/>
  <mergeCells count="9">
    <mergeCell ref="AF1:AH1"/>
    <mergeCell ref="A52:E52"/>
    <mergeCell ref="J68:L68"/>
    <mergeCell ref="A68:D68"/>
    <mergeCell ref="BM2:BP2"/>
    <mergeCell ref="BM31:BQ32"/>
    <mergeCell ref="BD14:BH14"/>
    <mergeCell ref="BC1:BG1"/>
    <mergeCell ref="AQ39:AT39"/>
  </mergeCells>
  <phoneticPr fontId="21" type="noConversion"/>
  <conditionalFormatting sqref="AR3:AR22">
    <cfRule type="top10" dxfId="12" priority="6" rank="10"/>
  </conditionalFormatting>
  <conditionalFormatting sqref="AS3:AS22">
    <cfRule type="containsText" dxfId="11" priority="1" operator="containsText" text="Female">
      <formula>NOT(ISERROR(SEARCH("Female",AS3)))</formula>
    </cfRule>
    <cfRule type="containsText" dxfId="10" priority="2" operator="containsText" text="Male">
      <formula>NOT(ISERROR(SEARCH("Male",AS3)))</formula>
    </cfRule>
    <cfRule type="containsText" dxfId="9" priority="3" stopIfTrue="1" operator="containsText" text="Male">
      <formula>NOT(ISERROR(SEARCH("Male",AS3)))</formula>
    </cfRule>
    <cfRule type="containsText" dxfId="8" priority="4" stopIfTrue="1" operator="containsText" text="Male">
      <formula>NOT(ISERROR(SEARCH("Male",AS3)))</formula>
    </cfRule>
  </conditionalFormatting>
  <conditionalFormatting sqref="AU2:AU22">
    <cfRule type="dataBar" priority="25">
      <dataBar>
        <cfvo type="min"/>
        <cfvo type="max"/>
        <color rgb="FF63C384"/>
      </dataBar>
      <extLst>
        <ext xmlns:x14="http://schemas.microsoft.com/office/spreadsheetml/2009/9/main" uri="{B025F937-C7B1-47D3-B67F-A62EFF666E3E}">
          <x14:id>{70A9203B-3070-4D6E-AD4E-44A7CDC79F53}</x14:id>
        </ext>
      </extLst>
    </cfRule>
  </conditionalFormatting>
  <conditionalFormatting sqref="AU3:AU22">
    <cfRule type="top10" dxfId="7" priority="5" bottom="1" rank="10"/>
    <cfRule type="iconSet" priority="22">
      <iconSet iconSet="3Arrows">
        <cfvo type="percent" val="0"/>
        <cfvo type="percent" val="33"/>
        <cfvo type="percent" val="67"/>
      </iconSet>
    </cfRule>
  </conditionalFormatting>
  <conditionalFormatting sqref="AU3:AU23">
    <cfRule type="top10" dxfId="6" priority="24" rank="10"/>
  </conditionalFormatting>
  <conditionalFormatting sqref="AV6">
    <cfRule type="top10" dxfId="5" priority="11" rank="10"/>
    <cfRule type="top10" dxfId="4" priority="12" rank="10"/>
    <cfRule type="top10" dxfId="3" priority="13" rank="10"/>
  </conditionalFormatting>
  <conditionalFormatting sqref="AW3:AW22">
    <cfRule type="top10" dxfId="2" priority="7" rank="10"/>
  </conditionalFormatting>
  <conditionalFormatting sqref="AZ15">
    <cfRule type="cellIs" dxfId="1" priority="21" operator="greaterThan">
      <formula>$BA$18</formula>
    </cfRule>
  </conditionalFormatting>
  <conditionalFormatting sqref="BA6">
    <cfRule type="top10" dxfId="0" priority="14" rank="10"/>
  </conditionalFormatting>
  <dataValidations count="3">
    <dataValidation type="whole" allowBlank="1" showInputMessage="1" showErrorMessage="1" sqref="CJ35:CJ55" xr:uid="{32A0BFF3-E954-46AB-B79F-96A92FAF7B2A}">
      <formula1>20</formula1>
      <formula2>40</formula2>
    </dataValidation>
    <dataValidation type="whole" allowBlank="1" showInputMessage="1" showErrorMessage="1" sqref="CQ36:CQ55" xr:uid="{8B1D8876-4923-46FE-8F42-504906DC2CE4}">
      <formula1>2010</formula1>
      <formula2>2026</formula2>
    </dataValidation>
    <dataValidation type="list" allowBlank="1" showInputMessage="1" showErrorMessage="1" sqref="CI36:CI55" xr:uid="{67E98E09-9A57-47F3-80D6-2739050E372E}">
      <formula1>"Male,Female"</formula1>
    </dataValidation>
  </dataValidations>
  <pageMargins left="0.7" right="0.7" top="0.75" bottom="0.75" header="0.3" footer="0.3"/>
  <pageSetup orientation="portrait" r:id="rId9"/>
  <drawing r:id="rId10"/>
  <tableParts count="8">
    <tablePart r:id="rId11"/>
    <tablePart r:id="rId12"/>
    <tablePart r:id="rId13"/>
    <tablePart r:id="rId14"/>
    <tablePart r:id="rId15"/>
    <tablePart r:id="rId16"/>
    <tablePart r:id="rId17"/>
    <tablePart r:id="rId18"/>
  </tableParts>
  <extLst>
    <ext xmlns:x14="http://schemas.microsoft.com/office/spreadsheetml/2009/9/main" uri="{78C0D931-6437-407d-A8EE-F0AAD7539E65}">
      <x14:conditionalFormattings>
        <x14:conditionalFormatting xmlns:xm="http://schemas.microsoft.com/office/excel/2006/main">
          <x14:cfRule type="dataBar" id="{70A9203B-3070-4D6E-AD4E-44A7CDC79F53}">
            <x14:dataBar minLength="0" maxLength="100" border="1" negativeBarBorderColorSameAsPositive="0">
              <x14:cfvo type="autoMin"/>
              <x14:cfvo type="autoMax"/>
              <x14:borderColor rgb="FF63C384"/>
              <x14:negativeFillColor rgb="FFFF0000"/>
              <x14:negativeBorderColor rgb="FFFF0000"/>
              <x14:axisColor rgb="FF000000"/>
            </x14:dataBar>
          </x14:cfRule>
          <xm:sqref>AU2:AU22</xm:sqref>
        </x14:conditionalFormatting>
      </x14:conditionalFormattings>
    </ex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F23A-5134-4910-84CA-931CB0FF6AB6}">
  <sheetPr codeName="Sheet7"/>
  <dimension ref="A1:DB64"/>
  <sheetViews>
    <sheetView workbookViewId="0">
      <selection sqref="A1:F18"/>
    </sheetView>
  </sheetViews>
  <sheetFormatPr defaultRowHeight="15" x14ac:dyDescent="0.25"/>
  <cols>
    <col min="1" max="1" width="10.42578125" bestFit="1" customWidth="1"/>
    <col min="2" max="2" width="11.85546875" customWidth="1"/>
  </cols>
  <sheetData>
    <row r="1" spans="1:6" x14ac:dyDescent="0.25">
      <c r="A1" s="245" t="s">
        <v>53</v>
      </c>
      <c r="B1" s="245" t="s">
        <v>476</v>
      </c>
      <c r="C1" s="245" t="s">
        <v>477</v>
      </c>
      <c r="D1" s="245" t="s">
        <v>478</v>
      </c>
      <c r="E1" s="245" t="s">
        <v>479</v>
      </c>
      <c r="F1" s="245" t="s">
        <v>480</v>
      </c>
    </row>
    <row r="2" spans="1:6" x14ac:dyDescent="0.25">
      <c r="A2" s="1">
        <v>46174</v>
      </c>
      <c r="B2" t="s">
        <v>162</v>
      </c>
      <c r="C2" t="s">
        <v>481</v>
      </c>
      <c r="D2" t="s">
        <v>62</v>
      </c>
      <c r="E2" t="s">
        <v>494</v>
      </c>
      <c r="F2">
        <v>35</v>
      </c>
    </row>
    <row r="3" spans="1:6" x14ac:dyDescent="0.25">
      <c r="A3" s="1"/>
      <c r="B3" t="s">
        <v>496</v>
      </c>
    </row>
    <row r="4" spans="1:6" x14ac:dyDescent="0.25">
      <c r="A4" s="1"/>
      <c r="B4">
        <v>517326</v>
      </c>
    </row>
    <row r="5" spans="1:6" x14ac:dyDescent="0.25">
      <c r="A5" s="1">
        <v>46175</v>
      </c>
      <c r="B5" t="s">
        <v>162</v>
      </c>
      <c r="C5" t="s">
        <v>482</v>
      </c>
      <c r="D5" t="s">
        <v>492</v>
      </c>
      <c r="E5" t="s">
        <v>494</v>
      </c>
      <c r="F5">
        <v>89</v>
      </c>
    </row>
    <row r="6" spans="1:6" x14ac:dyDescent="0.25">
      <c r="A6" s="1"/>
      <c r="B6" t="s">
        <v>496</v>
      </c>
    </row>
    <row r="7" spans="1:6" x14ac:dyDescent="0.25">
      <c r="A7" s="1"/>
      <c r="B7">
        <v>517326</v>
      </c>
    </row>
    <row r="8" spans="1:6" x14ac:dyDescent="0.25">
      <c r="A8" s="1">
        <v>46176</v>
      </c>
      <c r="B8" t="s">
        <v>162</v>
      </c>
      <c r="C8" t="s">
        <v>483</v>
      </c>
      <c r="D8" t="s">
        <v>63</v>
      </c>
      <c r="E8" t="s">
        <v>494</v>
      </c>
      <c r="F8">
        <v>76</v>
      </c>
    </row>
    <row r="9" spans="1:6" x14ac:dyDescent="0.25">
      <c r="A9" s="1"/>
      <c r="B9" t="s">
        <v>496</v>
      </c>
    </row>
    <row r="10" spans="1:6" x14ac:dyDescent="0.25">
      <c r="A10" s="1"/>
      <c r="B10">
        <v>517326</v>
      </c>
    </row>
    <row r="11" spans="1:6" x14ac:dyDescent="0.25">
      <c r="A11" s="1">
        <v>46177</v>
      </c>
      <c r="B11" t="s">
        <v>162</v>
      </c>
      <c r="C11" t="s">
        <v>484</v>
      </c>
      <c r="D11" t="s">
        <v>62</v>
      </c>
      <c r="E11" t="s">
        <v>494</v>
      </c>
      <c r="F11">
        <v>56</v>
      </c>
    </row>
    <row r="12" spans="1:6" x14ac:dyDescent="0.25">
      <c r="A12" s="1">
        <v>46178</v>
      </c>
      <c r="B12" t="s">
        <v>162</v>
      </c>
      <c r="C12" t="s">
        <v>485</v>
      </c>
      <c r="D12" t="s">
        <v>62</v>
      </c>
      <c r="E12" t="s">
        <v>461</v>
      </c>
      <c r="F12">
        <v>79</v>
      </c>
    </row>
    <row r="13" spans="1:6" x14ac:dyDescent="0.25">
      <c r="A13" s="1">
        <v>46179</v>
      </c>
      <c r="B13" t="s">
        <v>162</v>
      </c>
      <c r="C13" t="s">
        <v>486</v>
      </c>
      <c r="D13" t="s">
        <v>62</v>
      </c>
      <c r="E13" t="s">
        <v>461</v>
      </c>
      <c r="F13">
        <v>60</v>
      </c>
    </row>
    <row r="14" spans="1:6" x14ac:dyDescent="0.25">
      <c r="A14" s="1">
        <v>46180</v>
      </c>
      <c r="B14" t="s">
        <v>162</v>
      </c>
      <c r="C14" t="s">
        <v>487</v>
      </c>
      <c r="D14" t="s">
        <v>62</v>
      </c>
      <c r="E14" t="s">
        <v>461</v>
      </c>
      <c r="F14">
        <v>79</v>
      </c>
    </row>
    <row r="15" spans="1:6" x14ac:dyDescent="0.25">
      <c r="A15" s="1">
        <v>46181</v>
      </c>
      <c r="B15" t="s">
        <v>162</v>
      </c>
      <c r="C15" t="s">
        <v>488</v>
      </c>
      <c r="D15" t="s">
        <v>493</v>
      </c>
      <c r="E15" t="s">
        <v>461</v>
      </c>
      <c r="F15">
        <v>69</v>
      </c>
    </row>
    <row r="16" spans="1:6" x14ac:dyDescent="0.25">
      <c r="A16" s="1">
        <v>46182</v>
      </c>
      <c r="B16" t="s">
        <v>162</v>
      </c>
      <c r="C16" t="s">
        <v>489</v>
      </c>
      <c r="D16" t="s">
        <v>493</v>
      </c>
      <c r="E16" t="s">
        <v>495</v>
      </c>
      <c r="F16">
        <v>68</v>
      </c>
    </row>
    <row r="17" spans="1:6" x14ac:dyDescent="0.25">
      <c r="A17" s="1">
        <v>46183</v>
      </c>
      <c r="B17" t="s">
        <v>162</v>
      </c>
      <c r="C17" t="s">
        <v>490</v>
      </c>
      <c r="D17" t="s">
        <v>63</v>
      </c>
      <c r="E17" t="s">
        <v>495</v>
      </c>
      <c r="F17">
        <v>90</v>
      </c>
    </row>
    <row r="18" spans="1:6" x14ac:dyDescent="0.25">
      <c r="A18" s="1">
        <v>46184</v>
      </c>
      <c r="B18" t="s">
        <v>162</v>
      </c>
      <c r="C18" t="s">
        <v>491</v>
      </c>
      <c r="D18" t="s">
        <v>63</v>
      </c>
      <c r="E18" t="s">
        <v>495</v>
      </c>
      <c r="F18">
        <v>78</v>
      </c>
    </row>
    <row r="58" spans="104:106" ht="15.75" thickBot="1" x14ac:dyDescent="0.3"/>
    <row r="59" spans="104:106" ht="15.75" x14ac:dyDescent="0.25">
      <c r="CZ59" s="236"/>
      <c r="DA59" s="237"/>
      <c r="DB59" s="238"/>
    </row>
    <row r="60" spans="104:106" x14ac:dyDescent="0.25">
      <c r="CZ60" s="239"/>
      <c r="DA60" s="240"/>
      <c r="DB60" s="241"/>
    </row>
    <row r="61" spans="104:106" x14ac:dyDescent="0.25">
      <c r="CZ61" s="239"/>
      <c r="DA61" s="240"/>
      <c r="DB61" s="241"/>
    </row>
    <row r="62" spans="104:106" x14ac:dyDescent="0.25">
      <c r="CZ62" s="239"/>
      <c r="DA62" s="240"/>
      <c r="DB62" s="241"/>
    </row>
    <row r="63" spans="104:106" x14ac:dyDescent="0.25">
      <c r="CZ63" s="239"/>
      <c r="DA63" s="240"/>
      <c r="DB63" s="241"/>
    </row>
    <row r="64" spans="104:106" ht="15.75" thickBot="1" x14ac:dyDescent="0.3">
      <c r="CZ64" s="242"/>
      <c r="DA64" s="243"/>
      <c r="DB64" s="244"/>
    </row>
  </sheetData>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BA4A-8F05-4BD3-8B83-139AB669CEF6}">
  <sheetPr codeName="Sheet5"/>
  <dimension ref="A1:AV57"/>
  <sheetViews>
    <sheetView topLeftCell="AG1" zoomScaleNormal="100" workbookViewId="0">
      <selection activeCell="AY13" sqref="AY13"/>
    </sheetView>
  </sheetViews>
  <sheetFormatPr defaultRowHeight="15" x14ac:dyDescent="0.25"/>
  <cols>
    <col min="24" max="24" width="19.7109375" bestFit="1" customWidth="1"/>
    <col min="25" max="25" width="21.7109375" bestFit="1" customWidth="1"/>
    <col min="26" max="26" width="7.140625" bestFit="1" customWidth="1"/>
    <col min="27" max="27" width="15" bestFit="1" customWidth="1"/>
    <col min="31" max="31" width="17.85546875" bestFit="1" customWidth="1"/>
    <col min="32" max="32" width="32.42578125" bestFit="1" customWidth="1"/>
    <col min="38" max="38" width="17.85546875" bestFit="1" customWidth="1"/>
    <col min="39" max="39" width="17.42578125" bestFit="1" customWidth="1"/>
    <col min="42" max="42" width="17.85546875" bestFit="1" customWidth="1"/>
    <col min="43" max="43" width="32.42578125" bestFit="1" customWidth="1"/>
    <col min="45" max="45" width="14.28515625" bestFit="1" customWidth="1"/>
    <col min="46" max="46" width="13.42578125" customWidth="1"/>
    <col min="47" max="47" width="15.7109375" customWidth="1"/>
  </cols>
  <sheetData>
    <row r="1" spans="1:48" x14ac:dyDescent="0.25">
      <c r="A1" s="160"/>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row>
    <row r="2" spans="1:48" ht="15.75" thickBot="1" x14ac:dyDescent="0.3">
      <c r="A2" s="160"/>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row>
    <row r="3" spans="1:48" ht="30.75" thickBot="1" x14ac:dyDescent="0.3">
      <c r="A3" s="160"/>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L3" s="205" t="s">
        <v>358</v>
      </c>
      <c r="AM3" s="206" t="s">
        <v>71</v>
      </c>
      <c r="AN3" s="206" t="s">
        <v>73</v>
      </c>
      <c r="AO3" s="206" t="s">
        <v>72</v>
      </c>
      <c r="AP3" s="206" t="s">
        <v>171</v>
      </c>
      <c r="AQ3" s="206" t="s">
        <v>74</v>
      </c>
      <c r="AR3" s="206" t="s">
        <v>359</v>
      </c>
      <c r="AS3" s="206" t="s">
        <v>76</v>
      </c>
      <c r="AT3" s="206" t="s">
        <v>170</v>
      </c>
      <c r="AU3" s="206" t="s">
        <v>242</v>
      </c>
      <c r="AV3" s="207" t="s">
        <v>360</v>
      </c>
    </row>
    <row r="4" spans="1:48" ht="30" x14ac:dyDescent="0.25">
      <c r="A4" s="160"/>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L4" s="199" t="s">
        <v>361</v>
      </c>
      <c r="AM4" s="200" t="s">
        <v>228</v>
      </c>
      <c r="AN4" s="200" t="s">
        <v>22</v>
      </c>
      <c r="AO4" s="200">
        <v>24</v>
      </c>
      <c r="AP4" s="200" t="s">
        <v>84</v>
      </c>
      <c r="AQ4" s="200" t="s">
        <v>82</v>
      </c>
      <c r="AR4" s="200" t="s">
        <v>362</v>
      </c>
      <c r="AS4" s="200">
        <v>45000</v>
      </c>
      <c r="AT4" s="200">
        <v>2</v>
      </c>
      <c r="AU4" s="200" t="s">
        <v>244</v>
      </c>
      <c r="AV4" s="201">
        <v>2023</v>
      </c>
    </row>
    <row r="5" spans="1:48" x14ac:dyDescent="0.25">
      <c r="A5" s="160"/>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L5" s="159" t="s">
        <v>363</v>
      </c>
      <c r="AM5" s="156" t="s">
        <v>229</v>
      </c>
      <c r="AN5" s="156" t="s">
        <v>21</v>
      </c>
      <c r="AO5" s="156">
        <v>28</v>
      </c>
      <c r="AP5" s="156" t="s">
        <v>94</v>
      </c>
      <c r="AQ5" s="156" t="s">
        <v>87</v>
      </c>
      <c r="AR5" s="156" t="s">
        <v>205</v>
      </c>
      <c r="AS5" s="156">
        <v>52000</v>
      </c>
      <c r="AT5" s="156">
        <v>5</v>
      </c>
      <c r="AU5" s="156" t="s">
        <v>243</v>
      </c>
      <c r="AV5" s="197">
        <v>2020</v>
      </c>
    </row>
    <row r="6" spans="1:48" x14ac:dyDescent="0.25">
      <c r="A6" s="160"/>
      <c r="B6" s="16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L6" s="159" t="s">
        <v>364</v>
      </c>
      <c r="AM6" s="156" t="s">
        <v>230</v>
      </c>
      <c r="AN6" s="156" t="s">
        <v>22</v>
      </c>
      <c r="AO6" s="156">
        <v>31</v>
      </c>
      <c r="AP6" s="156" t="s">
        <v>89</v>
      </c>
      <c r="AQ6" s="156" t="s">
        <v>97</v>
      </c>
      <c r="AR6" s="156" t="s">
        <v>365</v>
      </c>
      <c r="AS6" s="156">
        <v>60000</v>
      </c>
      <c r="AT6" s="156">
        <v>7</v>
      </c>
      <c r="AU6" s="156" t="s">
        <v>244</v>
      </c>
      <c r="AV6" s="197">
        <v>2018</v>
      </c>
    </row>
    <row r="7" spans="1:48" x14ac:dyDescent="0.25">
      <c r="A7" s="160"/>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L7" s="159" t="s">
        <v>366</v>
      </c>
      <c r="AM7" s="156" t="s">
        <v>231</v>
      </c>
      <c r="AN7" s="156" t="s">
        <v>21</v>
      </c>
      <c r="AO7" s="156">
        <v>26</v>
      </c>
      <c r="AP7" s="156" t="s">
        <v>99</v>
      </c>
      <c r="AQ7" s="156" t="s">
        <v>82</v>
      </c>
      <c r="AR7" s="156" t="s">
        <v>367</v>
      </c>
      <c r="AS7" s="156">
        <v>48000</v>
      </c>
      <c r="AT7" s="156">
        <v>3</v>
      </c>
      <c r="AU7" s="156" t="s">
        <v>166</v>
      </c>
      <c r="AV7" s="197">
        <v>2022</v>
      </c>
    </row>
    <row r="8" spans="1:48" x14ac:dyDescent="0.25">
      <c r="A8" s="160"/>
      <c r="B8" s="160"/>
      <c r="C8" s="160"/>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L8" s="159" t="s">
        <v>368</v>
      </c>
      <c r="AM8" s="156" t="s">
        <v>232</v>
      </c>
      <c r="AN8" s="156" t="s">
        <v>22</v>
      </c>
      <c r="AO8" s="156">
        <v>35</v>
      </c>
      <c r="AP8" s="156" t="s">
        <v>103</v>
      </c>
      <c r="AQ8" s="156" t="s">
        <v>92</v>
      </c>
      <c r="AR8" s="156" t="s">
        <v>369</v>
      </c>
      <c r="AS8" s="156">
        <v>75000</v>
      </c>
      <c r="AT8" s="156">
        <v>10</v>
      </c>
      <c r="AU8" s="156" t="s">
        <v>243</v>
      </c>
      <c r="AV8" s="197">
        <v>2015</v>
      </c>
    </row>
    <row r="9" spans="1:48" ht="30" x14ac:dyDescent="0.25">
      <c r="A9" s="160"/>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L9" s="159" t="s">
        <v>370</v>
      </c>
      <c r="AM9" s="156" t="s">
        <v>233</v>
      </c>
      <c r="AN9" s="156" t="s">
        <v>21</v>
      </c>
      <c r="AO9" s="156">
        <v>29</v>
      </c>
      <c r="AP9" s="156" t="s">
        <v>84</v>
      </c>
      <c r="AQ9" s="156" t="s">
        <v>106</v>
      </c>
      <c r="AR9" s="156" t="s">
        <v>371</v>
      </c>
      <c r="AS9" s="156">
        <v>55000</v>
      </c>
      <c r="AT9" s="156">
        <v>6</v>
      </c>
      <c r="AU9" s="156" t="s">
        <v>244</v>
      </c>
      <c r="AV9" s="197">
        <v>2019</v>
      </c>
    </row>
    <row r="10" spans="1:48" ht="30" x14ac:dyDescent="0.25">
      <c r="A10" s="160"/>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L10" s="159" t="s">
        <v>372</v>
      </c>
      <c r="AM10" s="156" t="s">
        <v>373</v>
      </c>
      <c r="AN10" s="156" t="s">
        <v>22</v>
      </c>
      <c r="AO10" s="156">
        <v>23</v>
      </c>
      <c r="AP10" s="156" t="s">
        <v>94</v>
      </c>
      <c r="AQ10" s="156" t="s">
        <v>82</v>
      </c>
      <c r="AR10" s="156" t="s">
        <v>362</v>
      </c>
      <c r="AS10" s="156">
        <v>42000</v>
      </c>
      <c r="AT10" s="156">
        <v>1</v>
      </c>
      <c r="AU10" s="156" t="s">
        <v>166</v>
      </c>
      <c r="AV10" s="197">
        <v>2024</v>
      </c>
    </row>
    <row r="11" spans="1:48" x14ac:dyDescent="0.25">
      <c r="A11" s="160"/>
      <c r="B11" s="160"/>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L11" s="159" t="s">
        <v>374</v>
      </c>
      <c r="AM11" s="156" t="s">
        <v>235</v>
      </c>
      <c r="AN11" s="156" t="s">
        <v>21</v>
      </c>
      <c r="AO11" s="156">
        <v>32</v>
      </c>
      <c r="AP11" s="156" t="s">
        <v>89</v>
      </c>
      <c r="AQ11" s="156" t="s">
        <v>97</v>
      </c>
      <c r="AR11" s="156" t="s">
        <v>369</v>
      </c>
      <c r="AS11" s="156">
        <v>78000</v>
      </c>
      <c r="AT11" s="156">
        <v>9</v>
      </c>
      <c r="AU11" s="156" t="s">
        <v>243</v>
      </c>
      <c r="AV11" s="197">
        <v>2016</v>
      </c>
    </row>
    <row r="12" spans="1:48" ht="30" x14ac:dyDescent="0.25">
      <c r="A12" s="160"/>
      <c r="B12" s="160"/>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L12" s="159" t="s">
        <v>375</v>
      </c>
      <c r="AM12" s="156" t="s">
        <v>376</v>
      </c>
      <c r="AN12" s="156" t="s">
        <v>22</v>
      </c>
      <c r="AO12" s="156">
        <v>27</v>
      </c>
      <c r="AP12" s="156" t="s">
        <v>99</v>
      </c>
      <c r="AQ12" s="156" t="s">
        <v>87</v>
      </c>
      <c r="AR12" s="156" t="s">
        <v>371</v>
      </c>
      <c r="AS12" s="156">
        <v>50000</v>
      </c>
      <c r="AT12" s="156">
        <v>4</v>
      </c>
      <c r="AU12" s="156" t="s">
        <v>244</v>
      </c>
      <c r="AV12" s="197">
        <v>2021</v>
      </c>
    </row>
    <row r="13" spans="1:48" ht="30" x14ac:dyDescent="0.25">
      <c r="A13" s="160"/>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L13" s="159" t="s">
        <v>377</v>
      </c>
      <c r="AM13" s="156" t="s">
        <v>262</v>
      </c>
      <c r="AN13" s="156" t="s">
        <v>21</v>
      </c>
      <c r="AO13" s="156">
        <v>30</v>
      </c>
      <c r="AP13" s="156" t="s">
        <v>103</v>
      </c>
      <c r="AQ13" s="156" t="s">
        <v>92</v>
      </c>
      <c r="AR13" s="156" t="s">
        <v>371</v>
      </c>
      <c r="AS13" s="156">
        <v>58000</v>
      </c>
      <c r="AT13" s="156">
        <v>7</v>
      </c>
      <c r="AU13" s="156" t="s">
        <v>244</v>
      </c>
      <c r="AV13" s="197">
        <v>2018</v>
      </c>
    </row>
    <row r="14" spans="1:48" x14ac:dyDescent="0.25">
      <c r="A14" s="160"/>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L14" s="159" t="s">
        <v>378</v>
      </c>
      <c r="AM14" s="156" t="s">
        <v>346</v>
      </c>
      <c r="AN14" s="156" t="s">
        <v>22</v>
      </c>
      <c r="AO14" s="156">
        <v>25</v>
      </c>
      <c r="AP14" s="156" t="s">
        <v>84</v>
      </c>
      <c r="AQ14" s="156" t="s">
        <v>82</v>
      </c>
      <c r="AR14" s="156" t="s">
        <v>367</v>
      </c>
      <c r="AS14" s="156">
        <v>46000</v>
      </c>
      <c r="AT14" s="156">
        <v>2</v>
      </c>
      <c r="AU14" s="156" t="s">
        <v>166</v>
      </c>
      <c r="AV14" s="197">
        <v>2023</v>
      </c>
    </row>
    <row r="15" spans="1:48" x14ac:dyDescent="0.25">
      <c r="A15" s="160"/>
      <c r="B15" s="160"/>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L15" s="159" t="s">
        <v>379</v>
      </c>
      <c r="AM15" s="156" t="s">
        <v>237</v>
      </c>
      <c r="AN15" s="156" t="s">
        <v>21</v>
      </c>
      <c r="AO15" s="156">
        <v>34</v>
      </c>
      <c r="AP15" s="156" t="s">
        <v>94</v>
      </c>
      <c r="AQ15" s="156" t="s">
        <v>106</v>
      </c>
      <c r="AR15" s="156" t="s">
        <v>369</v>
      </c>
      <c r="AS15" s="156">
        <v>72000</v>
      </c>
      <c r="AT15" s="156">
        <v>11</v>
      </c>
      <c r="AU15" s="156" t="s">
        <v>243</v>
      </c>
      <c r="AV15" s="197">
        <v>2014</v>
      </c>
    </row>
    <row r="16" spans="1:48" ht="30" x14ac:dyDescent="0.25">
      <c r="A16" s="160"/>
      <c r="B16" s="160"/>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L16" s="159" t="s">
        <v>380</v>
      </c>
      <c r="AM16" s="156" t="s">
        <v>381</v>
      </c>
      <c r="AN16" s="156" t="s">
        <v>22</v>
      </c>
      <c r="AO16" s="156">
        <v>29</v>
      </c>
      <c r="AP16" s="156" t="s">
        <v>89</v>
      </c>
      <c r="AQ16" s="156" t="s">
        <v>92</v>
      </c>
      <c r="AR16" s="156" t="s">
        <v>371</v>
      </c>
      <c r="AS16" s="156">
        <v>56000</v>
      </c>
      <c r="AT16" s="156">
        <v>5</v>
      </c>
      <c r="AU16" s="156" t="s">
        <v>244</v>
      </c>
      <c r="AV16" s="197">
        <v>2020</v>
      </c>
    </row>
    <row r="17" spans="1:48" x14ac:dyDescent="0.25">
      <c r="A17" s="160"/>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L17" s="159" t="s">
        <v>382</v>
      </c>
      <c r="AM17" s="156" t="s">
        <v>348</v>
      </c>
      <c r="AN17" s="156" t="s">
        <v>21</v>
      </c>
      <c r="AO17" s="156">
        <v>24</v>
      </c>
      <c r="AP17" s="156" t="s">
        <v>99</v>
      </c>
      <c r="AQ17" s="156" t="s">
        <v>87</v>
      </c>
      <c r="AR17" s="156" t="s">
        <v>205</v>
      </c>
      <c r="AS17" s="156">
        <v>44000</v>
      </c>
      <c r="AT17" s="156">
        <v>2</v>
      </c>
      <c r="AU17" s="156" t="s">
        <v>166</v>
      </c>
      <c r="AV17" s="197">
        <v>2023</v>
      </c>
    </row>
    <row r="18" spans="1:48" x14ac:dyDescent="0.25">
      <c r="A18" s="160"/>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L18" s="159" t="s">
        <v>383</v>
      </c>
      <c r="AM18" s="156" t="s">
        <v>384</v>
      </c>
      <c r="AN18" s="156" t="s">
        <v>22</v>
      </c>
      <c r="AO18" s="156">
        <v>33</v>
      </c>
      <c r="AP18" s="156" t="s">
        <v>103</v>
      </c>
      <c r="AQ18" s="156" t="s">
        <v>97</v>
      </c>
      <c r="AR18" s="156" t="s">
        <v>365</v>
      </c>
      <c r="AS18" s="156">
        <v>65000</v>
      </c>
      <c r="AT18" s="156">
        <v>8</v>
      </c>
      <c r="AU18" s="156" t="s">
        <v>243</v>
      </c>
      <c r="AV18" s="197">
        <v>2017</v>
      </c>
    </row>
    <row r="19" spans="1:48" ht="30" x14ac:dyDescent="0.25">
      <c r="A19" s="160"/>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L19" s="159" t="s">
        <v>385</v>
      </c>
      <c r="AM19" s="156" t="s">
        <v>386</v>
      </c>
      <c r="AN19" s="156" t="s">
        <v>21</v>
      </c>
      <c r="AO19" s="156">
        <v>27</v>
      </c>
      <c r="AP19" s="156" t="s">
        <v>84</v>
      </c>
      <c r="AQ19" s="156" t="s">
        <v>82</v>
      </c>
      <c r="AR19" s="156" t="s">
        <v>362</v>
      </c>
      <c r="AS19" s="156">
        <v>51000</v>
      </c>
      <c r="AT19" s="156">
        <v>4</v>
      </c>
      <c r="AU19" s="156" t="s">
        <v>244</v>
      </c>
      <c r="AV19" s="197">
        <v>2021</v>
      </c>
    </row>
    <row r="20" spans="1:48" x14ac:dyDescent="0.25">
      <c r="A20" s="160"/>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L20" s="159" t="s">
        <v>387</v>
      </c>
      <c r="AM20" s="156" t="s">
        <v>347</v>
      </c>
      <c r="AN20" s="156" t="s">
        <v>22</v>
      </c>
      <c r="AO20" s="156">
        <v>36</v>
      </c>
      <c r="AP20" s="156" t="s">
        <v>94</v>
      </c>
      <c r="AQ20" s="156" t="s">
        <v>92</v>
      </c>
      <c r="AR20" s="156" t="s">
        <v>369</v>
      </c>
      <c r="AS20" s="156">
        <v>80000</v>
      </c>
      <c r="AT20" s="156">
        <v>12</v>
      </c>
      <c r="AU20" s="156" t="s">
        <v>243</v>
      </c>
      <c r="AV20" s="197">
        <v>2013</v>
      </c>
    </row>
    <row r="21" spans="1:48" ht="30" x14ac:dyDescent="0.25">
      <c r="A21" s="160"/>
      <c r="B21" s="160"/>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L21" s="159" t="s">
        <v>388</v>
      </c>
      <c r="AM21" s="156" t="s">
        <v>389</v>
      </c>
      <c r="AN21" s="156" t="s">
        <v>21</v>
      </c>
      <c r="AO21" s="156">
        <v>31</v>
      </c>
      <c r="AP21" s="156" t="s">
        <v>89</v>
      </c>
      <c r="AQ21" s="156" t="s">
        <v>106</v>
      </c>
      <c r="AR21" s="156" t="s">
        <v>371</v>
      </c>
      <c r="AS21" s="156">
        <v>59000</v>
      </c>
      <c r="AT21" s="156">
        <v>7</v>
      </c>
      <c r="AU21" s="156" t="s">
        <v>244</v>
      </c>
      <c r="AV21" s="197">
        <v>2018</v>
      </c>
    </row>
    <row r="22" spans="1:48" ht="30" x14ac:dyDescent="0.25">
      <c r="A22" s="160"/>
      <c r="B22" s="160"/>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L22" s="159" t="s">
        <v>390</v>
      </c>
      <c r="AM22" s="156" t="s">
        <v>391</v>
      </c>
      <c r="AN22" s="156" t="s">
        <v>22</v>
      </c>
      <c r="AO22" s="156">
        <v>26</v>
      </c>
      <c r="AP22" s="156" t="s">
        <v>99</v>
      </c>
      <c r="AQ22" s="156" t="s">
        <v>82</v>
      </c>
      <c r="AR22" s="156" t="s">
        <v>362</v>
      </c>
      <c r="AS22" s="156">
        <v>47000</v>
      </c>
      <c r="AT22" s="156">
        <v>3</v>
      </c>
      <c r="AU22" s="156" t="s">
        <v>166</v>
      </c>
      <c r="AV22" s="197">
        <v>2022</v>
      </c>
    </row>
    <row r="23" spans="1:48" ht="15.75" thickBot="1" x14ac:dyDescent="0.3">
      <c r="A23" s="160"/>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L23" s="189" t="s">
        <v>392</v>
      </c>
      <c r="AM23" s="190" t="s">
        <v>393</v>
      </c>
      <c r="AN23" s="190" t="s">
        <v>21</v>
      </c>
      <c r="AO23" s="190">
        <v>28</v>
      </c>
      <c r="AP23" s="190" t="s">
        <v>103</v>
      </c>
      <c r="AQ23" s="190" t="s">
        <v>97</v>
      </c>
      <c r="AR23" s="190" t="s">
        <v>365</v>
      </c>
      <c r="AS23" s="190">
        <v>62000</v>
      </c>
      <c r="AT23" s="190">
        <v>6</v>
      </c>
      <c r="AU23" s="190" t="s">
        <v>243</v>
      </c>
      <c r="AV23" s="198">
        <v>2019</v>
      </c>
    </row>
    <row r="24" spans="1:48" x14ac:dyDescent="0.25">
      <c r="A24" s="160"/>
      <c r="B24" s="160"/>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row>
    <row r="25" spans="1:48" x14ac:dyDescent="0.25">
      <c r="A25" s="160"/>
      <c r="B25" s="160"/>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S25" s="219">
        <f>SUM(AS4:AS23)</f>
        <v>1145000</v>
      </c>
    </row>
    <row r="26" spans="1:48" x14ac:dyDescent="0.25">
      <c r="A26" s="160"/>
      <c r="B26" s="160"/>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row>
    <row r="27" spans="1:48" x14ac:dyDescent="0.25">
      <c r="A27" s="160"/>
      <c r="B27" s="160"/>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L27" s="61" t="s">
        <v>349</v>
      </c>
      <c r="AM27" t="s">
        <v>352</v>
      </c>
    </row>
    <row r="28" spans="1:48" x14ac:dyDescent="0.25">
      <c r="A28" s="160"/>
      <c r="B28" s="160"/>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L28" s="182" t="s">
        <v>365</v>
      </c>
      <c r="AM28">
        <v>187000</v>
      </c>
      <c r="AP28" s="61" t="s">
        <v>349</v>
      </c>
      <c r="AQ28" t="s">
        <v>394</v>
      </c>
    </row>
    <row r="29" spans="1:48" x14ac:dyDescent="0.25">
      <c r="A29" s="160"/>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L29" s="182" t="s">
        <v>362</v>
      </c>
      <c r="AM29">
        <v>185000</v>
      </c>
      <c r="AP29" s="182" t="s">
        <v>97</v>
      </c>
      <c r="AQ29">
        <v>30</v>
      </c>
    </row>
    <row r="30" spans="1:48" x14ac:dyDescent="0.25">
      <c r="A30" s="160"/>
      <c r="B30" s="160"/>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L30" s="182" t="s">
        <v>371</v>
      </c>
      <c r="AM30">
        <v>278000</v>
      </c>
      <c r="AP30" s="182" t="s">
        <v>87</v>
      </c>
      <c r="AQ30">
        <v>11</v>
      </c>
    </row>
    <row r="31" spans="1:48" x14ac:dyDescent="0.25">
      <c r="A31" s="160"/>
      <c r="B31" s="160"/>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L31" s="182" t="s">
        <v>369</v>
      </c>
      <c r="AM31">
        <v>305000</v>
      </c>
      <c r="AP31" s="182" t="s">
        <v>82</v>
      </c>
      <c r="AQ31">
        <v>15</v>
      </c>
    </row>
    <row r="32" spans="1:48" x14ac:dyDescent="0.25">
      <c r="A32" s="160"/>
      <c r="B32" s="160"/>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L32" s="182" t="s">
        <v>205</v>
      </c>
      <c r="AM32">
        <v>96000</v>
      </c>
      <c r="AP32" s="182" t="s">
        <v>106</v>
      </c>
      <c r="AQ32">
        <v>24</v>
      </c>
    </row>
    <row r="33" spans="1:43" x14ac:dyDescent="0.25">
      <c r="A33" s="160"/>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L33" s="182" t="s">
        <v>367</v>
      </c>
      <c r="AM33">
        <v>94000</v>
      </c>
      <c r="AP33" s="182" t="s">
        <v>92</v>
      </c>
      <c r="AQ33">
        <v>34</v>
      </c>
    </row>
    <row r="34" spans="1:43" x14ac:dyDescent="0.25">
      <c r="A34" s="160"/>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L34" s="182" t="s">
        <v>350</v>
      </c>
      <c r="AM34">
        <v>1145000</v>
      </c>
      <c r="AP34" s="182" t="s">
        <v>350</v>
      </c>
      <c r="AQ34">
        <v>114</v>
      </c>
    </row>
    <row r="35" spans="1:43" x14ac:dyDescent="0.25">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row>
    <row r="36" spans="1:43" x14ac:dyDescent="0.25">
      <c r="A36" s="160"/>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row>
    <row r="37" spans="1:43" x14ac:dyDescent="0.25">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row>
    <row r="38" spans="1:43" x14ac:dyDescent="0.25">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row>
    <row r="39" spans="1:43" x14ac:dyDescent="0.25">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row>
    <row r="40" spans="1:43" x14ac:dyDescent="0.25">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row>
    <row r="41" spans="1:43" x14ac:dyDescent="0.25">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row>
    <row r="42" spans="1:43" x14ac:dyDescent="0.25">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row>
    <row r="43" spans="1:43" x14ac:dyDescent="0.25">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row>
    <row r="44" spans="1:43" x14ac:dyDescent="0.25">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row>
    <row r="45" spans="1:43" x14ac:dyDescent="0.2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row>
    <row r="48" spans="1:43" x14ac:dyDescent="0.25">
      <c r="X48" s="61" t="s">
        <v>395</v>
      </c>
      <c r="Y48" s="61" t="s">
        <v>396</v>
      </c>
    </row>
    <row r="49" spans="20:32" x14ac:dyDescent="0.25">
      <c r="T49" s="160"/>
      <c r="X49" s="61" t="s">
        <v>349</v>
      </c>
      <c r="Y49" t="s">
        <v>21</v>
      </c>
      <c r="Z49" t="s">
        <v>22</v>
      </c>
      <c r="AA49" t="s">
        <v>350</v>
      </c>
    </row>
    <row r="50" spans="20:32" x14ac:dyDescent="0.25">
      <c r="X50" s="182" t="s">
        <v>97</v>
      </c>
      <c r="Y50">
        <v>2</v>
      </c>
      <c r="Z50">
        <v>2</v>
      </c>
      <c r="AA50">
        <v>4</v>
      </c>
    </row>
    <row r="51" spans="20:32" x14ac:dyDescent="0.25">
      <c r="X51" s="182" t="s">
        <v>87</v>
      </c>
      <c r="Y51">
        <v>2</v>
      </c>
      <c r="Z51">
        <v>1</v>
      </c>
      <c r="AA51">
        <v>3</v>
      </c>
    </row>
    <row r="52" spans="20:32" x14ac:dyDescent="0.25">
      <c r="X52" s="182" t="s">
        <v>82</v>
      </c>
      <c r="Y52">
        <v>2</v>
      </c>
      <c r="Z52">
        <v>4</v>
      </c>
      <c r="AA52">
        <v>6</v>
      </c>
    </row>
    <row r="53" spans="20:32" x14ac:dyDescent="0.25">
      <c r="X53" s="182" t="s">
        <v>106</v>
      </c>
      <c r="Y53">
        <v>3</v>
      </c>
      <c r="AA53">
        <v>3</v>
      </c>
      <c r="AE53" s="61" t="s">
        <v>349</v>
      </c>
      <c r="AF53" t="s">
        <v>394</v>
      </c>
    </row>
    <row r="54" spans="20:32" x14ac:dyDescent="0.25">
      <c r="X54" s="182" t="s">
        <v>92</v>
      </c>
      <c r="Y54">
        <v>1</v>
      </c>
      <c r="Z54">
        <v>3</v>
      </c>
      <c r="AA54">
        <v>4</v>
      </c>
      <c r="AE54" s="182" t="s">
        <v>166</v>
      </c>
      <c r="AF54">
        <v>11</v>
      </c>
    </row>
    <row r="55" spans="20:32" x14ac:dyDescent="0.25">
      <c r="X55" s="182" t="s">
        <v>350</v>
      </c>
      <c r="Y55">
        <v>10</v>
      </c>
      <c r="Z55">
        <v>10</v>
      </c>
      <c r="AA55">
        <v>20</v>
      </c>
      <c r="AE55" s="182" t="s">
        <v>243</v>
      </c>
      <c r="AF55">
        <v>61</v>
      </c>
    </row>
    <row r="56" spans="20:32" x14ac:dyDescent="0.25">
      <c r="AE56" s="182" t="s">
        <v>244</v>
      </c>
      <c r="AF56">
        <v>42</v>
      </c>
    </row>
    <row r="57" spans="20:32" x14ac:dyDescent="0.25">
      <c r="AE57" s="182" t="s">
        <v>350</v>
      </c>
      <c r="AF57">
        <v>114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0E3F-DBF8-4C1D-9638-E69AFEFA97B1}">
  <sheetPr codeName="Sheet6"/>
  <dimension ref="CZ52:DB58"/>
  <sheetViews>
    <sheetView topLeftCell="CF29" workbookViewId="0">
      <selection activeCell="CY52" sqref="CY52"/>
    </sheetView>
  </sheetViews>
  <sheetFormatPr defaultRowHeight="15" x14ac:dyDescent="0.25"/>
  <cols>
    <col min="105" max="105" width="21.85546875" customWidth="1"/>
    <col min="106" max="106" width="20.42578125" customWidth="1"/>
  </cols>
  <sheetData>
    <row r="52" spans="104:106" ht="15.75" thickBot="1" x14ac:dyDescent="0.3"/>
    <row r="53" spans="104:106" ht="15.75" x14ac:dyDescent="0.25">
      <c r="CZ53" s="236"/>
      <c r="DA53" s="237"/>
      <c r="DB53" s="238"/>
    </row>
    <row r="54" spans="104:106" x14ac:dyDescent="0.25">
      <c r="CZ54" s="239"/>
      <c r="DA54" s="240"/>
      <c r="DB54" s="241"/>
    </row>
    <row r="55" spans="104:106" x14ac:dyDescent="0.25">
      <c r="CZ55" s="239"/>
      <c r="DA55" s="240"/>
      <c r="DB55" s="241"/>
    </row>
    <row r="56" spans="104:106" x14ac:dyDescent="0.25">
      <c r="CZ56" s="239"/>
      <c r="DA56" s="240"/>
      <c r="DB56" s="241"/>
    </row>
    <row r="57" spans="104:106" x14ac:dyDescent="0.25">
      <c r="CZ57" s="239"/>
      <c r="DA57" s="240"/>
      <c r="DB57" s="241"/>
    </row>
    <row r="58" spans="104:106" ht="15.75" thickBot="1" x14ac:dyDescent="0.3">
      <c r="CZ58" s="242"/>
      <c r="DA58" s="243"/>
      <c r="DB58" s="24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Sheet12</vt:lpstr>
      <vt:lpstr>Scenario Summary</vt:lpstr>
      <vt:lpstr>telecom_churn</vt:lpstr>
      <vt:lpstr>Sheet3</vt:lpstr>
      <vt:lpstr>Sheet1</vt:lpstr>
      <vt:lpstr>Sheet2</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23691A32E1</dc:creator>
  <cp:lastModifiedBy>23691A32E1@mits.com</cp:lastModifiedBy>
  <dcterms:created xsi:type="dcterms:W3CDTF">2026-06-01T05:31:05Z</dcterms:created>
  <dcterms:modified xsi:type="dcterms:W3CDTF">2026-06-09T04:15:02Z</dcterms:modified>
</cp:coreProperties>
</file>