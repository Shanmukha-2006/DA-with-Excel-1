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A\DATASETS\"/>
    </mc:Choice>
  </mc:AlternateContent>
  <xr:revisionPtr revIDLastSave="0" documentId="13_ncr:1_{1B6E8059-D693-471C-BEE9-2A5A72A4F85C}" xr6:coauthVersionLast="47" xr6:coauthVersionMax="47" xr10:uidLastSave="{00000000-0000-0000-0000-000000000000}"/>
  <bookViews>
    <workbookView xWindow="-120" yWindow="-120" windowWidth="29040" windowHeight="15720" activeTab="1" xr2:uid="{A11FEC57-0D41-4A27-8C9F-7B31265EEA97}"/>
  </bookViews>
  <sheets>
    <sheet name="Probability Distributions" sheetId="1" r:id="rId1"/>
    <sheet name="TES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G8" i="1" l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7" i="1"/>
  <c r="AJ9" i="1"/>
  <c r="AJ10" i="1"/>
  <c r="AJ11" i="1"/>
  <c r="AJ12" i="1"/>
  <c r="AJ13" i="1"/>
  <c r="AJ17" i="1"/>
  <c r="AJ18" i="1"/>
  <c r="AJ19" i="1"/>
  <c r="AJ20" i="1"/>
  <c r="AJ21" i="1"/>
  <c r="AJ25" i="1"/>
  <c r="AJ26" i="1"/>
  <c r="AJ7" i="1"/>
  <c r="AR7" i="1"/>
  <c r="AI8" i="1"/>
  <c r="AJ8" i="1" s="1"/>
  <c r="AI9" i="1"/>
  <c r="AI10" i="1"/>
  <c r="AI11" i="1"/>
  <c r="AI12" i="1"/>
  <c r="AI13" i="1"/>
  <c r="AI14" i="1"/>
  <c r="AJ14" i="1" s="1"/>
  <c r="AI15" i="1"/>
  <c r="AJ15" i="1" s="1"/>
  <c r="AI16" i="1"/>
  <c r="AJ16" i="1" s="1"/>
  <c r="AI17" i="1"/>
  <c r="AI18" i="1"/>
  <c r="AI19" i="1"/>
  <c r="AI20" i="1"/>
  <c r="AI21" i="1"/>
  <c r="AI22" i="1"/>
  <c r="AJ22" i="1" s="1"/>
  <c r="AI23" i="1"/>
  <c r="AJ23" i="1" s="1"/>
  <c r="AI24" i="1"/>
  <c r="AJ24" i="1" s="1"/>
  <c r="AI25" i="1"/>
  <c r="AI26" i="1"/>
  <c r="AI7" i="1"/>
  <c r="AX7" i="1"/>
  <c r="AU7" i="1"/>
  <c r="AV7" i="1"/>
  <c r="AS7" i="1"/>
  <c r="AT7" i="1" s="1"/>
  <c r="AB8" i="1"/>
  <c r="AB9" i="1"/>
  <c r="AB10" i="1"/>
  <c r="AB11" i="1"/>
  <c r="AB12" i="1"/>
  <c r="AB13" i="1"/>
  <c r="AB14" i="1"/>
  <c r="AB15" i="1"/>
  <c r="AB16" i="1"/>
  <c r="AB7" i="1"/>
  <c r="T8" i="1"/>
  <c r="T9" i="1"/>
  <c r="T10" i="1"/>
  <c r="T11" i="1"/>
  <c r="T12" i="1"/>
  <c r="T13" i="1"/>
  <c r="T14" i="1"/>
  <c r="T15" i="1"/>
  <c r="T16" i="1"/>
  <c r="T7" i="1"/>
  <c r="O7" i="1"/>
  <c r="O8" i="1"/>
  <c r="O9" i="1"/>
  <c r="O10" i="1"/>
  <c r="O11" i="1"/>
  <c r="O12" i="1"/>
  <c r="O13" i="1"/>
  <c r="O14" i="1"/>
  <c r="O15" i="1"/>
  <c r="O16" i="1"/>
  <c r="AW7" i="1" l="1"/>
</calcChain>
</file>

<file path=xl/sharedStrings.xml><?xml version="1.0" encoding="utf-8"?>
<sst xmlns="http://schemas.openxmlformats.org/spreadsheetml/2006/main" count="238" uniqueCount="120">
  <si>
    <t>Trial</t>
  </si>
  <si>
    <t>Value</t>
  </si>
  <si>
    <t>Discrete Uniform Distribution</t>
  </si>
  <si>
    <t>Continuous Uniform Distribution</t>
  </si>
  <si>
    <t>Student</t>
  </si>
  <si>
    <t>Tosses (n)</t>
  </si>
  <si>
    <t>Heads (x)</t>
  </si>
  <si>
    <t>Probability</t>
  </si>
  <si>
    <t>P</t>
  </si>
  <si>
    <t>Binomial Probability</t>
  </si>
  <si>
    <t>Uniform Distribution</t>
  </si>
  <si>
    <t>Poisson Distribution</t>
  </si>
  <si>
    <t>Day</t>
  </si>
  <si>
    <t>Average Calls (λ)</t>
  </si>
  <si>
    <t>Actual Calls (x)</t>
  </si>
  <si>
    <t>NORMAL DISTRIBUTION</t>
  </si>
  <si>
    <t>Marks (x)</t>
  </si>
  <si>
    <t>Mean</t>
  </si>
  <si>
    <t>Standard Deviation</t>
  </si>
  <si>
    <t>CALCULATING PROBABILITY WITH Z-SCORE FOR NORMAL DISTRIBUTION</t>
  </si>
  <si>
    <t>Mean (μ)</t>
  </si>
  <si>
    <t>Standard Deviation (σ)</t>
  </si>
  <si>
    <t>Z-Score</t>
  </si>
  <si>
    <t>CORRELATION</t>
  </si>
  <si>
    <t>Hours Studied (X)</t>
  </si>
  <si>
    <t>Marks (Y)</t>
  </si>
  <si>
    <t>VAR OF X</t>
  </si>
  <si>
    <t>VAR OF Y</t>
  </si>
  <si>
    <t>COVARIANCE(X,Y)</t>
  </si>
  <si>
    <t>SQRT OF VAR X</t>
  </si>
  <si>
    <t>SQRT OF VAR Y</t>
  </si>
  <si>
    <t>CORRLEATION</t>
  </si>
  <si>
    <t>CORRELATION BY USING FORMULA</t>
  </si>
  <si>
    <t>COVARIANCE</t>
  </si>
  <si>
    <t>COVARIANCE SAMPLE</t>
  </si>
  <si>
    <t>COVARIANCE POPULATION</t>
  </si>
  <si>
    <t>Xi − X̄</t>
  </si>
  <si>
    <t>Yi − Ȳ</t>
  </si>
  <si>
    <t>(Xi − X̄)(Yi − Ȳ)</t>
  </si>
  <si>
    <t>Discrete Uniform Distribution = RANDBETWEEN(Min,Max)</t>
  </si>
  <si>
    <t>Poisson Distribution =POISSON.DIST(x,λ,FALSE)</t>
  </si>
  <si>
    <t>Normal Distribution = NORM.DIST(x,μ,σ,FALSE)</t>
  </si>
  <si>
    <t>Continuous Uniform Distribution  =RAND()*(Max-Min)+Min</t>
  </si>
  <si>
    <t>Binomial Distribution (Exact Probability)  =BINOM.DIST(x,n,p,FALSE)</t>
  </si>
  <si>
    <t>Z-Score  =(X-μ)/σ</t>
  </si>
  <si>
    <t>Probability using Z-Score =NORM.S.DIST(Z,TRUE)</t>
  </si>
  <si>
    <t>Sample Covariance =COVARIANCE.S(X_range,Y_range)</t>
  </si>
  <si>
    <t>Correlation</t>
  </si>
  <si>
    <t>Correlation =CORREL(X_range,Y_range)</t>
  </si>
  <si>
    <t>r=Var(X)​×Var(Y)​/Cov(X,Y)​</t>
  </si>
  <si>
    <t>Mean of X</t>
  </si>
  <si>
    <t xml:space="preserve"> Binomial Distribution</t>
  </si>
  <si>
    <t>Normal Distribution</t>
  </si>
  <si>
    <t>Z-Score Probability</t>
  </si>
  <si>
    <t>Probability Distributions and Statistical Analysis Using Excel</t>
  </si>
  <si>
    <t>TYPES OF TESTS</t>
  </si>
  <si>
    <t>T-TEST</t>
  </si>
  <si>
    <t>1. T-TEST</t>
  </si>
  <si>
    <t>2. Z-TEST</t>
  </si>
  <si>
    <t>3. ANOVA TEST</t>
  </si>
  <si>
    <t>4. CHI-SQUARE TEST</t>
  </si>
  <si>
    <t>5. CORRELATION TEST</t>
  </si>
  <si>
    <t>Class A</t>
  </si>
  <si>
    <t>Class B</t>
  </si>
  <si>
    <t>t-Test: Two-Sample Assuming Unequal Variances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</si>
  <si>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</si>
  <si>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</si>
  <si>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</si>
  <si>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</si>
  <si>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</si>
  <si>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</si>
  <si>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</si>
  <si>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</si>
  <si>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</si>
  <si>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t-Test: Two-Sample Assuming Equal Variances</t>
  </si>
  <si>
    <t>Pooled Variance</t>
  </si>
  <si>
    <t>t-Test: Paired Two Sample for Means</t>
  </si>
  <si>
    <t>Pearson Correlation</t>
  </si>
  <si>
    <t>Marks</t>
  </si>
  <si>
    <t>Z-TEST</t>
  </si>
  <si>
    <t>Age</t>
  </si>
  <si>
    <t>Gender</t>
  </si>
  <si>
    <t>M</t>
  </si>
  <si>
    <t>F</t>
  </si>
  <si>
    <t>z-Test: Two Sample for Means</t>
  </si>
  <si>
    <t>Known Variance</t>
  </si>
  <si>
    <t>z</t>
  </si>
  <si>
    <t>P(Z&lt;=z) one-tail</t>
  </si>
  <si>
    <t>z Critical one-tail</t>
  </si>
  <si>
    <t>P(Z&lt;=z) two-tail</t>
  </si>
  <si>
    <t>z Critical two-tail</t>
  </si>
  <si>
    <t>ANOVA TEST</t>
  </si>
  <si>
    <t>Class C</t>
  </si>
  <si>
    <t>Anova: Single Factor</t>
  </si>
  <si>
    <t>SUMMARY</t>
  </si>
  <si>
    <t>Groups</t>
  </si>
  <si>
    <t>Count</t>
  </si>
  <si>
    <t>Sum</t>
  </si>
  <si>
    <t>Average</t>
  </si>
  <si>
    <t>ANOVA</t>
  </si>
  <si>
    <t>Source of Variation</t>
  </si>
  <si>
    <t>SS</t>
  </si>
  <si>
    <t>MS</t>
  </si>
  <si>
    <t>P-value</t>
  </si>
  <si>
    <t>F crit</t>
  </si>
  <si>
    <t>Between Groups</t>
  </si>
  <si>
    <t>Within Groups</t>
  </si>
  <si>
    <t>Total</t>
  </si>
  <si>
    <t>CHI-SQUARE TEST</t>
  </si>
  <si>
    <t>CORRELATION TEST</t>
  </si>
  <si>
    <t>Column 1</t>
  </si>
  <si>
    <t>Column 2</t>
  </si>
  <si>
    <t>Anova: Two-Factor With Replication</t>
  </si>
  <si>
    <t>Sample</t>
  </si>
  <si>
    <t>Columns</t>
  </si>
  <si>
    <t>Interaction</t>
  </si>
  <si>
    <t>Within</t>
  </si>
  <si>
    <t>Anova: Two-Factor Without Replication</t>
  </si>
  <si>
    <t>Rows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</si>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</sst>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18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  <xf numFmtId="0" fontId="1" fillId="0" borderId="5" xfId="0" applyFont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8" xfId="0" applyBorder="1" applyAlignment="1">
      <alignment horizontal="right" vertical="center" wrapText="1"/>
    </xf>
    <xf numFmtId="0" fontId="0" fillId="0" borderId="9" xfId="0" applyBorder="1" applyAlignment="1">
      <alignment horizontal="right" vertical="center" wrapText="1"/>
    </xf>
    <xf numFmtId="0" fontId="0" fillId="0" borderId="10" xfId="0" applyBorder="1" applyAlignment="1">
      <alignment horizontal="right" vertical="center" wrapText="1"/>
    </xf>
    <xf numFmtId="0" fontId="0" fillId="0" borderId="11" xfId="0" applyBorder="1" applyAlignment="1">
      <alignment horizontal="right" vertical="center" wrapText="1"/>
    </xf>
    <xf numFmtId="0" fontId="0" fillId="0" borderId="12" xfId="0" applyBorder="1" applyAlignment="1">
      <alignment horizontal="right" vertical="center" wrapText="1"/>
    </xf>
    <xf numFmtId="0" fontId="0" fillId="0" borderId="13" xfId="0" applyBorder="1" applyAlignment="1">
      <alignment horizontal="right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" xfId="0" applyBorder="1"/>
    <xf numFmtId="0" fontId="0" fillId="0" borderId="3" xfId="0" applyBorder="1"/>
    <xf numFmtId="0" fontId="1" fillId="0" borderId="6" xfId="0" applyFont="1" applyBorder="1"/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14" xfId="0" applyFont="1" applyBorder="1"/>
    <xf numFmtId="0" fontId="0" fillId="0" borderId="7" xfId="0" applyBorder="1" applyAlignment="1">
      <alignment vertical="center" wrapText="1"/>
    </xf>
    <xf numFmtId="0" fontId="0" fillId="0" borderId="8" xfId="0" applyBorder="1"/>
    <xf numFmtId="0" fontId="0" fillId="0" borderId="9" xfId="0" applyBorder="1" applyAlignment="1">
      <alignment vertical="center" wrapText="1"/>
    </xf>
    <xf numFmtId="0" fontId="0" fillId="0" borderId="10" xfId="0" applyBorder="1"/>
    <xf numFmtId="0" fontId="0" fillId="0" borderId="11" xfId="0" applyBorder="1" applyAlignment="1">
      <alignment vertical="center" wrapText="1"/>
    </xf>
    <xf numFmtId="0" fontId="0" fillId="0" borderId="12" xfId="0" applyBorder="1"/>
    <xf numFmtId="0" fontId="0" fillId="0" borderId="13" xfId="0" applyBorder="1"/>
    <xf numFmtId="0" fontId="1" fillId="0" borderId="18" xfId="0" applyFont="1" applyBorder="1"/>
    <xf numFmtId="0" fontId="0" fillId="0" borderId="19" xfId="0" applyBorder="1" applyAlignment="1">
      <alignment horizontal="right" vertical="center" wrapText="1"/>
    </xf>
    <xf numFmtId="0" fontId="0" fillId="0" borderId="0" xfId="0" applyBorder="1" applyAlignment="1">
      <alignment horizontal="right" vertical="center" wrapText="1"/>
    </xf>
    <xf numFmtId="0" fontId="0" fillId="0" borderId="20" xfId="0" applyBorder="1"/>
    <xf numFmtId="0" fontId="0" fillId="0" borderId="21" xfId="0" applyBorder="1" applyAlignment="1">
      <alignment horizontal="right" vertical="center" wrapText="1"/>
    </xf>
    <xf numFmtId="0" fontId="0" fillId="0" borderId="22" xfId="0" applyBorder="1" applyAlignment="1">
      <alignment horizontal="right" vertical="center" wrapText="1"/>
    </xf>
    <xf numFmtId="0" fontId="0" fillId="0" borderId="23" xfId="0" applyBorder="1"/>
    <xf numFmtId="0" fontId="0" fillId="0" borderId="24" xfId="0" applyBorder="1"/>
    <xf numFmtId="0" fontId="1" fillId="0" borderId="2" xfId="0" applyFont="1" applyBorder="1"/>
    <xf numFmtId="0" fontId="1" fillId="0" borderId="25" xfId="0" applyFont="1" applyBorder="1" applyAlignment="1">
      <alignment horizontal="right" vertical="center" wrapText="1"/>
    </xf>
    <xf numFmtId="0" fontId="0" fillId="0" borderId="26" xfId="0" applyBorder="1" applyAlignment="1">
      <alignment horizontal="right" vertical="center" wrapText="1"/>
    </xf>
    <xf numFmtId="0" fontId="1" fillId="0" borderId="2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0" xfId="0" applyFont="1" applyBorder="1" applyAlignment="1">
      <alignment horizontal="left" vertical="center" indent="1"/>
    </xf>
    <xf numFmtId="0" fontId="1" fillId="0" borderId="0" xfId="0" applyFont="1" applyBorder="1"/>
    <xf numFmtId="0" fontId="2" fillId="0" borderId="14" xfId="0" applyFont="1" applyBorder="1"/>
    <xf numFmtId="0" fontId="2" fillId="0" borderId="24" xfId="0" applyFont="1" applyBorder="1"/>
    <xf numFmtId="0" fontId="2" fillId="0" borderId="15" xfId="0" applyFont="1" applyBorder="1"/>
    <xf numFmtId="0" fontId="0" fillId="0" borderId="0" xfId="0" applyFill="1" applyBorder="1" applyAlignment="1"/>
    <xf numFmtId="0" fontId="0" fillId="0" borderId="22" xfId="0" applyFill="1" applyBorder="1" applyAlignment="1"/>
    <xf numFmtId="0" fontId="3" fillId="0" borderId="27" xfId="0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0" xfId="0" applyBorder="1"/>
    <xf numFmtId="0" fontId="3" fillId="0" borderId="28" xfId="0" applyFont="1" applyFill="1" applyBorder="1" applyAlignment="1">
      <alignment horizontal="center"/>
    </xf>
    <xf numFmtId="0" fontId="0" fillId="0" borderId="19" xfId="0" applyFill="1" applyBorder="1" applyAlignment="1"/>
    <xf numFmtId="0" fontId="0" fillId="0" borderId="21" xfId="0" applyFill="1" applyBorder="1" applyAlignment="1"/>
    <xf numFmtId="0" fontId="0" fillId="0" borderId="22" xfId="0" applyBorder="1"/>
    <xf numFmtId="0" fontId="1" fillId="0" borderId="29" xfId="0" applyFont="1" applyBorder="1"/>
    <xf numFmtId="0" fontId="3" fillId="0" borderId="30" xfId="0" applyFont="1" applyFill="1" applyBorder="1" applyAlignment="1">
      <alignment horizontal="center"/>
    </xf>
    <xf numFmtId="0" fontId="0" fillId="0" borderId="20" xfId="0" applyFill="1" applyBorder="1" applyAlignment="1"/>
    <xf numFmtId="0" fontId="0" fillId="0" borderId="23" xfId="0" applyFill="1" applyBorder="1" applyAlignment="1"/>
    <xf numFmtId="0" fontId="3" fillId="0" borderId="1" xfId="0" applyFont="1" applyFill="1" applyBorder="1" applyAlignment="1">
      <alignment horizontal="center"/>
    </xf>
    <xf numFmtId="0" fontId="0" fillId="0" borderId="1" xfId="0" applyFill="1" applyBorder="1" applyAlignment="1"/>
    <xf numFmtId="0" fontId="0" fillId="0" borderId="4" xfId="0" applyFont="1" applyBorder="1" applyAlignment="1">
      <alignment horizontal="right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right" vertical="center" wrapText="1"/>
    </xf>
    <xf numFmtId="0" fontId="0" fillId="0" borderId="6" xfId="0" applyFont="1" applyBorder="1" applyAlignment="1">
      <alignment horizontal="right" vertical="center" wrapText="1"/>
    </xf>
    <xf numFmtId="0" fontId="3" fillId="0" borderId="31" xfId="0" applyFont="1" applyFill="1" applyBorder="1" applyAlignment="1">
      <alignment horizontal="center"/>
    </xf>
    <xf numFmtId="0" fontId="3" fillId="0" borderId="32" xfId="0" applyFont="1" applyFill="1" applyBorder="1" applyAlignment="1">
      <alignment horizontal="center"/>
    </xf>
    <xf numFmtId="0" fontId="3" fillId="0" borderId="33" xfId="0" applyFont="1" applyFill="1" applyBorder="1" applyAlignment="1">
      <alignment horizontal="center"/>
    </xf>
    <xf numFmtId="0" fontId="0" fillId="0" borderId="9" xfId="0" applyFill="1" applyBorder="1" applyAlignment="1"/>
    <xf numFmtId="0" fontId="0" fillId="0" borderId="10" xfId="0" applyFill="1" applyBorder="1" applyAlignment="1"/>
    <xf numFmtId="0" fontId="0" fillId="0" borderId="11" xfId="0" applyFill="1" applyBorder="1" applyAlignment="1"/>
    <xf numFmtId="0" fontId="0" fillId="0" borderId="12" xfId="0" applyFill="1" applyBorder="1" applyAlignment="1"/>
    <xf numFmtId="0" fontId="0" fillId="0" borderId="13" xfId="0" applyFill="1" applyBorder="1" applyAlignment="1"/>
    <xf numFmtId="0" fontId="0" fillId="0" borderId="21" xfId="0" applyBorder="1"/>
    <xf numFmtId="0" fontId="4" fillId="0" borderId="34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center"/>
    </xf>
    <xf numFmtId="0" fontId="0" fillId="0" borderId="29" xfId="0" applyBorder="1"/>
    <xf numFmtId="0" fontId="0" fillId="0" borderId="0" xfId="0" applyBorder="1" applyAlignment="1">
      <alignment vertical="center" wrapText="1"/>
    </xf>
    <xf numFmtId="0" fontId="1" fillId="0" borderId="19" xfId="0" applyFont="1" applyBorder="1"/>
    <xf numFmtId="0" fontId="1" fillId="0" borderId="19" xfId="0" applyFont="1" applyBorder="1" applyAlignment="1">
      <alignment horizontal="right"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D2A15-8512-4D79-AE7E-C92B6C6522BF}">
  <dimension ref="A1:BK29"/>
  <sheetViews>
    <sheetView zoomScaleNormal="100" workbookViewId="0">
      <selection activeCell="E42" sqref="E42"/>
    </sheetView>
  </sheetViews>
  <sheetFormatPr defaultRowHeight="15" x14ac:dyDescent="0.25"/>
  <cols>
    <col min="2" max="2" width="14.5703125" customWidth="1"/>
    <col min="6" max="6" width="11.7109375" customWidth="1"/>
    <col min="7" max="7" width="36.7109375" customWidth="1"/>
    <col min="8" max="8" width="31.7109375" customWidth="1"/>
    <col min="12" max="12" width="12.42578125" customWidth="1"/>
    <col min="13" max="13" width="9.140625" customWidth="1"/>
    <col min="14" max="14" width="15.140625" customWidth="1"/>
    <col min="15" max="15" width="17.42578125" customWidth="1"/>
    <col min="20" max="20" width="16.140625" customWidth="1"/>
    <col min="25" max="25" width="13.85546875" customWidth="1"/>
    <col min="27" max="27" width="11.140625" customWidth="1"/>
    <col min="28" max="28" width="13.85546875" customWidth="1"/>
    <col min="31" max="31" width="9.140625" customWidth="1"/>
    <col min="36" max="36" width="11.5703125" customWidth="1"/>
    <col min="41" max="41" width="17.140625" customWidth="1"/>
    <col min="42" max="42" width="19.5703125" customWidth="1"/>
    <col min="43" max="43" width="18" customWidth="1"/>
    <col min="44" max="44" width="19.5703125" customWidth="1"/>
    <col min="46" max="46" width="15.7109375" customWidth="1"/>
    <col min="47" max="47" width="22.85546875" customWidth="1"/>
    <col min="48" max="48" width="17.28515625" customWidth="1"/>
    <col min="49" max="49" width="21.28515625" customWidth="1"/>
    <col min="50" max="50" width="32.42578125" customWidth="1"/>
    <col min="54" max="55" width="15.5703125" customWidth="1"/>
    <col min="56" max="56" width="13.7109375" customWidth="1"/>
    <col min="57" max="57" width="12.7109375" customWidth="1"/>
    <col min="58" max="58" width="18.42578125" customWidth="1"/>
    <col min="59" max="59" width="15" customWidth="1"/>
    <col min="62" max="62" width="17.85546875" customWidth="1"/>
    <col min="63" max="63" width="15" customWidth="1"/>
  </cols>
  <sheetData>
    <row r="1" spans="1:63" ht="15.75" thickBot="1" x14ac:dyDescent="0.3"/>
    <row r="2" spans="1:63" ht="19.5" thickBot="1" x14ac:dyDescent="0.35">
      <c r="B2" s="64" t="s">
        <v>54</v>
      </c>
      <c r="C2" s="65"/>
      <c r="D2" s="65"/>
      <c r="E2" s="65"/>
      <c r="F2" s="65"/>
      <c r="G2" s="34"/>
    </row>
    <row r="3" spans="1:63" ht="15.75" thickBot="1" x14ac:dyDescent="0.3"/>
    <row r="4" spans="1:63" ht="15.75" thickBot="1" x14ac:dyDescent="0.3">
      <c r="A4" s="62" t="s">
        <v>10</v>
      </c>
      <c r="B4" s="63"/>
      <c r="E4" s="40" t="s">
        <v>10</v>
      </c>
      <c r="F4" s="34"/>
      <c r="K4" s="40" t="s">
        <v>9</v>
      </c>
      <c r="L4" s="34"/>
      <c r="Q4" s="40" t="s">
        <v>11</v>
      </c>
      <c r="R4" s="34"/>
      <c r="X4" s="40" t="s">
        <v>15</v>
      </c>
      <c r="Y4" s="34"/>
      <c r="AE4" s="40" t="s">
        <v>19</v>
      </c>
      <c r="AF4" s="55"/>
      <c r="AG4" s="55"/>
      <c r="AH4" s="55"/>
      <c r="AI4" s="55"/>
      <c r="AJ4" s="55"/>
      <c r="AK4" s="34"/>
      <c r="AO4" s="56" t="s">
        <v>23</v>
      </c>
      <c r="BB4" s="56" t="s">
        <v>33</v>
      </c>
    </row>
    <row r="5" spans="1:63" ht="15.75" thickBot="1" x14ac:dyDescent="0.3">
      <c r="A5" s="62" t="s">
        <v>51</v>
      </c>
      <c r="B5" s="63"/>
    </row>
    <row r="6" spans="1:63" ht="16.5" customHeight="1" thickBot="1" x14ac:dyDescent="0.3">
      <c r="A6" s="62" t="s">
        <v>11</v>
      </c>
      <c r="B6" s="63"/>
      <c r="E6" s="21" t="s">
        <v>0</v>
      </c>
      <c r="F6" s="22" t="s">
        <v>1</v>
      </c>
      <c r="G6" s="23" t="s">
        <v>2</v>
      </c>
      <c r="H6" s="24" t="s">
        <v>3</v>
      </c>
      <c r="K6" s="21" t="s">
        <v>4</v>
      </c>
      <c r="L6" s="7" t="s">
        <v>5</v>
      </c>
      <c r="M6" s="7" t="s">
        <v>6</v>
      </c>
      <c r="N6" s="38" t="s">
        <v>8</v>
      </c>
      <c r="O6" s="39" t="s">
        <v>7</v>
      </c>
      <c r="Q6" s="6" t="s">
        <v>12</v>
      </c>
      <c r="R6" s="7" t="s">
        <v>13</v>
      </c>
      <c r="S6" s="7" t="s">
        <v>14</v>
      </c>
      <c r="T6" s="37" t="s">
        <v>7</v>
      </c>
      <c r="X6" s="6" t="s">
        <v>4</v>
      </c>
      <c r="Y6" s="7" t="s">
        <v>16</v>
      </c>
      <c r="Z6" s="7" t="s">
        <v>17</v>
      </c>
      <c r="AA6" s="7" t="s">
        <v>18</v>
      </c>
      <c r="AB6" s="8" t="s">
        <v>7</v>
      </c>
      <c r="AE6" s="6" t="s">
        <v>4</v>
      </c>
      <c r="AF6" s="7" t="s">
        <v>16</v>
      </c>
      <c r="AG6" s="7" t="s">
        <v>20</v>
      </c>
      <c r="AH6" s="7" t="s">
        <v>21</v>
      </c>
      <c r="AI6" s="7" t="s">
        <v>22</v>
      </c>
      <c r="AJ6" s="8" t="s">
        <v>7</v>
      </c>
      <c r="AO6" s="6" t="s">
        <v>4</v>
      </c>
      <c r="AP6" s="7" t="s">
        <v>24</v>
      </c>
      <c r="AQ6" s="8" t="s">
        <v>25</v>
      </c>
      <c r="AR6" s="57" t="s">
        <v>28</v>
      </c>
      <c r="AS6" s="7" t="s">
        <v>26</v>
      </c>
      <c r="AT6" s="7" t="s">
        <v>29</v>
      </c>
      <c r="AU6" s="7" t="s">
        <v>27</v>
      </c>
      <c r="AV6" s="7" t="s">
        <v>30</v>
      </c>
      <c r="AW6" s="7" t="s">
        <v>31</v>
      </c>
      <c r="AX6" s="39" t="s">
        <v>32</v>
      </c>
      <c r="BB6" s="2" t="s">
        <v>4</v>
      </c>
      <c r="BC6" s="2" t="s">
        <v>24</v>
      </c>
      <c r="BD6" s="2" t="s">
        <v>25</v>
      </c>
      <c r="BE6" s="2" t="s">
        <v>33</v>
      </c>
      <c r="BF6" s="2" t="s">
        <v>35</v>
      </c>
      <c r="BG6" s="2" t="s">
        <v>34</v>
      </c>
      <c r="BH6" s="3" t="s">
        <v>36</v>
      </c>
      <c r="BI6" s="3" t="s">
        <v>37</v>
      </c>
      <c r="BJ6" s="3" t="s">
        <v>38</v>
      </c>
      <c r="BK6" s="3" t="s">
        <v>33</v>
      </c>
    </row>
    <row r="7" spans="1:63" x14ac:dyDescent="0.25">
      <c r="A7" s="62" t="s">
        <v>52</v>
      </c>
      <c r="B7" s="63"/>
      <c r="E7" s="25">
        <v>1</v>
      </c>
      <c r="F7" s="19">
        <v>1</v>
      </c>
      <c r="G7" s="20">
        <v>1</v>
      </c>
      <c r="H7" s="26">
        <v>14.547371859250971</v>
      </c>
      <c r="K7" s="41">
        <v>1</v>
      </c>
      <c r="L7" s="5">
        <v>10</v>
      </c>
      <c r="M7" s="5">
        <v>4</v>
      </c>
      <c r="N7" s="36">
        <v>0.5</v>
      </c>
      <c r="O7" s="42">
        <f>_xlfn.BINOM.DIST(M7,L7,N7,FALSE)</f>
        <v>0.20507812500000006</v>
      </c>
      <c r="Q7" s="9">
        <v>1</v>
      </c>
      <c r="R7" s="5">
        <v>4</v>
      </c>
      <c r="S7" s="5">
        <v>2</v>
      </c>
      <c r="T7" s="42">
        <f>_xlfn.POISSON.DIST(S7, R7, FALSE)</f>
        <v>0.14652511110987346</v>
      </c>
      <c r="X7" s="9">
        <v>1</v>
      </c>
      <c r="Y7" s="5">
        <v>45</v>
      </c>
      <c r="Z7" s="5">
        <v>60</v>
      </c>
      <c r="AA7" s="5">
        <v>10</v>
      </c>
      <c r="AB7" s="42">
        <f>_xlfn.NORM.DIST(Y7, Z7, AA7, FALSE)</f>
        <v>1.2951759566589173E-2</v>
      </c>
      <c r="AE7" s="9">
        <v>1</v>
      </c>
      <c r="AF7" s="5">
        <v>42</v>
      </c>
      <c r="AG7" s="5">
        <v>60</v>
      </c>
      <c r="AH7" s="5">
        <v>10</v>
      </c>
      <c r="AI7" s="5">
        <f>(AF7-AG7)/AH7</f>
        <v>-1.8</v>
      </c>
      <c r="AJ7" s="10">
        <f>_xlfn.NORM.S.DIST(AI7,TRUE)</f>
        <v>3.5930319112925789E-2</v>
      </c>
      <c r="AO7" s="9">
        <v>1</v>
      </c>
      <c r="AP7" s="5">
        <v>2</v>
      </c>
      <c r="AQ7" s="10">
        <v>45</v>
      </c>
      <c r="AR7" s="58">
        <f>_xlfn.COVARIANCE.S(AP7:AP26,AQ7:AQ26)</f>
        <v>108.97368421052632</v>
      </c>
      <c r="AS7" s="36">
        <f>_xlfn.VAR.S(AP7:AP26)</f>
        <v>35</v>
      </c>
      <c r="AT7" s="36">
        <f>SQRT(AS7)</f>
        <v>5.9160797830996161</v>
      </c>
      <c r="AU7" s="36">
        <f>_xlfn.VAR.S(AQ7:AQ26)</f>
        <v>348.93421052631578</v>
      </c>
      <c r="AV7" s="36">
        <f>SQRT(AU7)</f>
        <v>18.679780794386101</v>
      </c>
      <c r="AW7" s="36">
        <f>AR7/(AT7*AV7)</f>
        <v>0.98608836878478878</v>
      </c>
      <c r="AX7" s="36">
        <f>CORREL(AP7:AP26,AQ7:AQ26)</f>
        <v>0.98608836878478867</v>
      </c>
      <c r="BB7" s="1">
        <v>1</v>
      </c>
      <c r="BC7" s="1">
        <v>2</v>
      </c>
      <c r="BD7" s="1">
        <v>45</v>
      </c>
      <c r="BE7">
        <f>COVAR(BC7:BC26,BD7:BD26)</f>
        <v>103.52500000000001</v>
      </c>
      <c r="BF7">
        <f>_xlfn.COVARIANCE.P(BC7:BC26,BD7:BD26)</f>
        <v>103.52500000000001</v>
      </c>
      <c r="BG7">
        <f>_xlfn.COVARIANCE.S(BC7:BC26,BD7:BD26)</f>
        <v>108.97368421052632</v>
      </c>
    </row>
    <row r="8" spans="1:63" x14ac:dyDescent="0.25">
      <c r="A8" s="62" t="s">
        <v>53</v>
      </c>
      <c r="B8" s="63"/>
      <c r="E8" s="27">
        <v>2</v>
      </c>
      <c r="F8" s="17">
        <v>2</v>
      </c>
      <c r="G8" s="18">
        <v>1</v>
      </c>
      <c r="H8" s="28">
        <v>14.989460592877712</v>
      </c>
      <c r="K8" s="43">
        <v>2</v>
      </c>
      <c r="L8" s="4">
        <v>10</v>
      </c>
      <c r="M8" s="4">
        <v>6</v>
      </c>
      <c r="N8" s="35">
        <v>0.5</v>
      </c>
      <c r="O8" s="44">
        <f t="shared" ref="O8:O16" si="0">_xlfn.BINOM.DIST(M8,L8,N8,FALSE)</f>
        <v>0.20507812500000006</v>
      </c>
      <c r="Q8" s="11">
        <v>2</v>
      </c>
      <c r="R8" s="4">
        <v>4</v>
      </c>
      <c r="S8" s="4">
        <v>3</v>
      </c>
      <c r="T8" s="44">
        <f t="shared" ref="T8:T16" si="1">_xlfn.POISSON.DIST(S8, R8, FALSE)</f>
        <v>0.19536681481316462</v>
      </c>
      <c r="X8" s="11">
        <v>2</v>
      </c>
      <c r="Y8" s="4">
        <v>50</v>
      </c>
      <c r="Z8" s="4">
        <v>60</v>
      </c>
      <c r="AA8" s="4">
        <v>10</v>
      </c>
      <c r="AB8" s="44">
        <f t="shared" ref="AB8:AB16" si="2">_xlfn.NORM.DIST(Y8, Z8, AA8, FALSE)</f>
        <v>2.4197072451914336E-2</v>
      </c>
      <c r="AE8" s="11">
        <v>2</v>
      </c>
      <c r="AF8" s="4">
        <v>48</v>
      </c>
      <c r="AG8" s="4">
        <v>60</v>
      </c>
      <c r="AH8" s="4">
        <v>10</v>
      </c>
      <c r="AI8" s="4">
        <f t="shared" ref="AI8:AI26" si="3">(AF8-AG8)/AH8</f>
        <v>-1.2</v>
      </c>
      <c r="AJ8" s="12">
        <f t="shared" ref="AJ8:AJ26" si="4">_xlfn.NORM.S.DIST(AI8,TRUE)</f>
        <v>0.11506967022170828</v>
      </c>
      <c r="AO8" s="11">
        <v>2</v>
      </c>
      <c r="AP8" s="4">
        <v>3</v>
      </c>
      <c r="AQ8" s="12">
        <v>48</v>
      </c>
      <c r="AR8" s="1"/>
      <c r="BB8" s="1">
        <v>2</v>
      </c>
      <c r="BC8" s="1">
        <v>3</v>
      </c>
      <c r="BD8" s="1">
        <v>48</v>
      </c>
      <c r="BE8">
        <f t="shared" ref="BE8:BE26" si="5">COVAR(BC8:BC27,BD8:BD27)</f>
        <v>91.73684210526315</v>
      </c>
      <c r="BF8">
        <f t="shared" ref="BF8:BF26" si="6">_xlfn.COVARIANCE.P(BC8:BC27,BD8:BD27)</f>
        <v>91.73684210526315</v>
      </c>
      <c r="BG8">
        <f t="shared" ref="BG8:BG26" si="7">_xlfn.COVARIANCE.S(BC8:BC27,BD8:BD27)</f>
        <v>96.833333333333314</v>
      </c>
    </row>
    <row r="9" spans="1:63" x14ac:dyDescent="0.25">
      <c r="A9" s="62" t="s">
        <v>47</v>
      </c>
      <c r="B9" s="63"/>
      <c r="E9" s="27">
        <v>3</v>
      </c>
      <c r="F9" s="17">
        <v>3</v>
      </c>
      <c r="G9" s="18">
        <v>1</v>
      </c>
      <c r="H9" s="28">
        <v>12.764787593493518</v>
      </c>
      <c r="K9" s="43">
        <v>3</v>
      </c>
      <c r="L9" s="4">
        <v>10</v>
      </c>
      <c r="M9" s="4">
        <v>5</v>
      </c>
      <c r="N9" s="35">
        <v>0.5</v>
      </c>
      <c r="O9" s="44">
        <f t="shared" si="0"/>
        <v>0.24609375000000008</v>
      </c>
      <c r="Q9" s="11">
        <v>3</v>
      </c>
      <c r="R9" s="4">
        <v>4</v>
      </c>
      <c r="S9" s="4">
        <v>4</v>
      </c>
      <c r="T9" s="44">
        <f t="shared" si="1"/>
        <v>0.19536681481316462</v>
      </c>
      <c r="X9" s="11">
        <v>3</v>
      </c>
      <c r="Y9" s="4">
        <v>55</v>
      </c>
      <c r="Z9" s="4">
        <v>60</v>
      </c>
      <c r="AA9" s="4">
        <v>10</v>
      </c>
      <c r="AB9" s="44">
        <f t="shared" si="2"/>
        <v>3.5206532676429952E-2</v>
      </c>
      <c r="AE9" s="11">
        <v>3</v>
      </c>
      <c r="AF9" s="4">
        <v>52</v>
      </c>
      <c r="AG9" s="4">
        <v>60</v>
      </c>
      <c r="AH9" s="4">
        <v>10</v>
      </c>
      <c r="AI9" s="4">
        <f t="shared" si="3"/>
        <v>-0.8</v>
      </c>
      <c r="AJ9" s="12">
        <f t="shared" si="4"/>
        <v>0.21185539858339661</v>
      </c>
      <c r="AO9" s="11">
        <v>3</v>
      </c>
      <c r="AP9" s="4">
        <v>4</v>
      </c>
      <c r="AQ9" s="12">
        <v>52</v>
      </c>
      <c r="AR9" s="1"/>
      <c r="BB9" s="1">
        <v>3</v>
      </c>
      <c r="BC9" s="1">
        <v>4</v>
      </c>
      <c r="BD9" s="1">
        <v>52</v>
      </c>
      <c r="BE9">
        <f t="shared" si="5"/>
        <v>80.222222222222229</v>
      </c>
      <c r="BF9">
        <f t="shared" si="6"/>
        <v>80.222222222222229</v>
      </c>
      <c r="BG9">
        <f t="shared" si="7"/>
        <v>84.941176470588232</v>
      </c>
    </row>
    <row r="10" spans="1:63" x14ac:dyDescent="0.25">
      <c r="E10" s="27">
        <v>4</v>
      </c>
      <c r="F10" s="17">
        <v>4</v>
      </c>
      <c r="G10" s="18">
        <v>5</v>
      </c>
      <c r="H10" s="28">
        <v>18.028449497474952</v>
      </c>
      <c r="K10" s="43">
        <v>4</v>
      </c>
      <c r="L10" s="4">
        <v>10</v>
      </c>
      <c r="M10" s="4">
        <v>7</v>
      </c>
      <c r="N10" s="35">
        <v>0.5</v>
      </c>
      <c r="O10" s="44">
        <f t="shared" si="0"/>
        <v>0.11718750000000003</v>
      </c>
      <c r="Q10" s="11">
        <v>4</v>
      </c>
      <c r="R10" s="4">
        <v>4</v>
      </c>
      <c r="S10" s="4">
        <v>5</v>
      </c>
      <c r="T10" s="44">
        <f t="shared" si="1"/>
        <v>0.1562934518505317</v>
      </c>
      <c r="X10" s="11">
        <v>4</v>
      </c>
      <c r="Y10" s="4">
        <v>60</v>
      </c>
      <c r="Z10" s="4">
        <v>60</v>
      </c>
      <c r="AA10" s="4">
        <v>10</v>
      </c>
      <c r="AB10" s="44">
        <f t="shared" si="2"/>
        <v>3.9894228040143274E-2</v>
      </c>
      <c r="AE10" s="11">
        <v>4</v>
      </c>
      <c r="AF10" s="4">
        <v>55</v>
      </c>
      <c r="AG10" s="4">
        <v>60</v>
      </c>
      <c r="AH10" s="4">
        <v>10</v>
      </c>
      <c r="AI10" s="4">
        <f t="shared" si="3"/>
        <v>-0.5</v>
      </c>
      <c r="AJ10" s="12">
        <f t="shared" si="4"/>
        <v>0.30853753872598688</v>
      </c>
      <c r="AO10" s="11">
        <v>4</v>
      </c>
      <c r="AP10" s="4">
        <v>5</v>
      </c>
      <c r="AQ10" s="12">
        <v>55</v>
      </c>
      <c r="AR10" s="1"/>
      <c r="BB10" s="1">
        <v>4</v>
      </c>
      <c r="BC10" s="1">
        <v>5</v>
      </c>
      <c r="BD10" s="1">
        <v>55</v>
      </c>
      <c r="BE10">
        <f t="shared" si="5"/>
        <v>69.470588235294102</v>
      </c>
      <c r="BF10">
        <f t="shared" si="6"/>
        <v>69.470588235294102</v>
      </c>
      <c r="BG10">
        <f t="shared" si="7"/>
        <v>73.812499999999986</v>
      </c>
    </row>
    <row r="11" spans="1:63" x14ac:dyDescent="0.25">
      <c r="E11" s="27">
        <v>5</v>
      </c>
      <c r="F11" s="17">
        <v>5</v>
      </c>
      <c r="G11" s="18">
        <v>4</v>
      </c>
      <c r="H11" s="28">
        <v>14.832385692379425</v>
      </c>
      <c r="K11" s="43">
        <v>5</v>
      </c>
      <c r="L11" s="4">
        <v>10</v>
      </c>
      <c r="M11" s="4">
        <v>3</v>
      </c>
      <c r="N11" s="35">
        <v>0.5</v>
      </c>
      <c r="O11" s="44">
        <f t="shared" si="0"/>
        <v>0.11718750000000003</v>
      </c>
      <c r="Q11" s="11">
        <v>5</v>
      </c>
      <c r="R11" s="4">
        <v>4</v>
      </c>
      <c r="S11" s="4">
        <v>6</v>
      </c>
      <c r="T11" s="44">
        <f t="shared" si="1"/>
        <v>0.10419563456702115</v>
      </c>
      <c r="X11" s="11">
        <v>5</v>
      </c>
      <c r="Y11" s="4">
        <v>65</v>
      </c>
      <c r="Z11" s="4">
        <v>60</v>
      </c>
      <c r="AA11" s="4">
        <v>10</v>
      </c>
      <c r="AB11" s="44">
        <f t="shared" si="2"/>
        <v>3.5206532676429952E-2</v>
      </c>
      <c r="AE11" s="11">
        <v>5</v>
      </c>
      <c r="AF11" s="4">
        <v>58</v>
      </c>
      <c r="AG11" s="4">
        <v>60</v>
      </c>
      <c r="AH11" s="4">
        <v>10</v>
      </c>
      <c r="AI11" s="4">
        <f t="shared" si="3"/>
        <v>-0.2</v>
      </c>
      <c r="AJ11" s="12">
        <f t="shared" si="4"/>
        <v>0.42074029056089696</v>
      </c>
      <c r="AO11" s="11">
        <v>5</v>
      </c>
      <c r="AP11" s="4">
        <v>6</v>
      </c>
      <c r="AQ11" s="12">
        <v>60</v>
      </c>
      <c r="AR11" s="1"/>
      <c r="BB11" s="1">
        <v>5</v>
      </c>
      <c r="BC11" s="1">
        <v>6</v>
      </c>
      <c r="BD11" s="1">
        <v>60</v>
      </c>
      <c r="BE11">
        <f t="shared" si="5"/>
        <v>58.96875</v>
      </c>
      <c r="BF11">
        <f t="shared" si="6"/>
        <v>58.96875</v>
      </c>
      <c r="BG11">
        <f t="shared" si="7"/>
        <v>62.9</v>
      </c>
    </row>
    <row r="12" spans="1:63" x14ac:dyDescent="0.25">
      <c r="E12" s="27">
        <v>6</v>
      </c>
      <c r="F12" s="17">
        <v>6</v>
      </c>
      <c r="G12" s="18">
        <v>2</v>
      </c>
      <c r="H12" s="28">
        <v>14.741201723501387</v>
      </c>
      <c r="K12" s="43">
        <v>6</v>
      </c>
      <c r="L12" s="4">
        <v>10</v>
      </c>
      <c r="M12" s="4">
        <v>5</v>
      </c>
      <c r="N12" s="35">
        <v>0.5</v>
      </c>
      <c r="O12" s="44">
        <f t="shared" si="0"/>
        <v>0.24609375000000008</v>
      </c>
      <c r="Q12" s="11">
        <v>6</v>
      </c>
      <c r="R12" s="4">
        <v>4</v>
      </c>
      <c r="S12" s="4">
        <v>1</v>
      </c>
      <c r="T12" s="44">
        <f t="shared" si="1"/>
        <v>7.3262555554936715E-2</v>
      </c>
      <c r="X12" s="11">
        <v>6</v>
      </c>
      <c r="Y12" s="4">
        <v>70</v>
      </c>
      <c r="Z12" s="4">
        <v>60</v>
      </c>
      <c r="AA12" s="4">
        <v>10</v>
      </c>
      <c r="AB12" s="44">
        <f t="shared" si="2"/>
        <v>2.4197072451914336E-2</v>
      </c>
      <c r="AE12" s="11">
        <v>6</v>
      </c>
      <c r="AF12" s="4">
        <v>60</v>
      </c>
      <c r="AG12" s="4">
        <v>60</v>
      </c>
      <c r="AH12" s="4">
        <v>10</v>
      </c>
      <c r="AI12" s="4">
        <f t="shared" si="3"/>
        <v>0</v>
      </c>
      <c r="AJ12" s="12">
        <f t="shared" si="4"/>
        <v>0.5</v>
      </c>
      <c r="AO12" s="11">
        <v>6</v>
      </c>
      <c r="AP12" s="4">
        <v>7</v>
      </c>
      <c r="AQ12" s="12">
        <v>64</v>
      </c>
      <c r="AR12" s="1"/>
      <c r="BB12" s="1">
        <v>6</v>
      </c>
      <c r="BC12" s="1">
        <v>7</v>
      </c>
      <c r="BD12" s="1">
        <v>64</v>
      </c>
      <c r="BE12">
        <f t="shared" si="5"/>
        <v>49.733333333333334</v>
      </c>
      <c r="BF12">
        <f t="shared" si="6"/>
        <v>49.733333333333334</v>
      </c>
      <c r="BG12">
        <f t="shared" si="7"/>
        <v>53.285714285714285</v>
      </c>
    </row>
    <row r="13" spans="1:63" ht="15.75" thickBot="1" x14ac:dyDescent="0.3">
      <c r="E13" s="27">
        <v>7</v>
      </c>
      <c r="F13" s="17">
        <v>1</v>
      </c>
      <c r="G13" s="18">
        <v>5</v>
      </c>
      <c r="H13" s="28">
        <v>19.795550655404856</v>
      </c>
      <c r="K13" s="43">
        <v>7</v>
      </c>
      <c r="L13" s="4">
        <v>10</v>
      </c>
      <c r="M13" s="4">
        <v>6</v>
      </c>
      <c r="N13" s="35">
        <v>0.5</v>
      </c>
      <c r="O13" s="44">
        <f t="shared" si="0"/>
        <v>0.20507812500000006</v>
      </c>
      <c r="Q13" s="11">
        <v>7</v>
      </c>
      <c r="R13" s="4">
        <v>4</v>
      </c>
      <c r="S13" s="4">
        <v>0</v>
      </c>
      <c r="T13" s="44">
        <f t="shared" si="1"/>
        <v>1.8315638888734179E-2</v>
      </c>
      <c r="X13" s="11">
        <v>7</v>
      </c>
      <c r="Y13" s="4">
        <v>75</v>
      </c>
      <c r="Z13" s="4">
        <v>60</v>
      </c>
      <c r="AA13" s="4">
        <v>10</v>
      </c>
      <c r="AB13" s="44">
        <f t="shared" si="2"/>
        <v>1.2951759566589173E-2</v>
      </c>
      <c r="AE13" s="11">
        <v>7</v>
      </c>
      <c r="AF13" s="4">
        <v>63</v>
      </c>
      <c r="AG13" s="4">
        <v>60</v>
      </c>
      <c r="AH13" s="4">
        <v>10</v>
      </c>
      <c r="AI13" s="4">
        <f t="shared" si="3"/>
        <v>0.3</v>
      </c>
      <c r="AJ13" s="12">
        <f t="shared" si="4"/>
        <v>0.61791142218895267</v>
      </c>
      <c r="AO13" s="11">
        <v>7</v>
      </c>
      <c r="AP13" s="4">
        <v>8</v>
      </c>
      <c r="AQ13" s="12">
        <v>68</v>
      </c>
      <c r="AR13" s="1"/>
      <c r="BB13" s="1">
        <v>7</v>
      </c>
      <c r="BC13" s="1">
        <v>8</v>
      </c>
      <c r="BD13" s="1">
        <v>68</v>
      </c>
      <c r="BE13">
        <f t="shared" si="5"/>
        <v>41.321428571428569</v>
      </c>
      <c r="BF13">
        <f t="shared" si="6"/>
        <v>41.321428571428569</v>
      </c>
      <c r="BG13">
        <f t="shared" si="7"/>
        <v>44.5</v>
      </c>
    </row>
    <row r="14" spans="1:63" ht="15.75" thickBot="1" x14ac:dyDescent="0.3">
      <c r="E14" s="27">
        <v>8</v>
      </c>
      <c r="F14" s="17">
        <v>2</v>
      </c>
      <c r="G14" s="18">
        <v>1</v>
      </c>
      <c r="H14" s="28">
        <v>17.889159410134695</v>
      </c>
      <c r="K14" s="43">
        <v>8</v>
      </c>
      <c r="L14" s="4">
        <v>10</v>
      </c>
      <c r="M14" s="4">
        <v>4</v>
      </c>
      <c r="N14" s="35">
        <v>0.5</v>
      </c>
      <c r="O14" s="44">
        <f t="shared" si="0"/>
        <v>0.20507812500000006</v>
      </c>
      <c r="Q14" s="11">
        <v>8</v>
      </c>
      <c r="R14" s="4">
        <v>4</v>
      </c>
      <c r="S14" s="4">
        <v>7</v>
      </c>
      <c r="T14" s="44">
        <f t="shared" si="1"/>
        <v>5.9540362609726373E-2</v>
      </c>
      <c r="X14" s="11">
        <v>8</v>
      </c>
      <c r="Y14" s="4">
        <v>80</v>
      </c>
      <c r="Z14" s="4">
        <v>60</v>
      </c>
      <c r="AA14" s="4">
        <v>10</v>
      </c>
      <c r="AB14" s="44">
        <f t="shared" si="2"/>
        <v>5.3990966513188061E-3</v>
      </c>
      <c r="AE14" s="11">
        <v>8</v>
      </c>
      <c r="AF14" s="4">
        <v>67</v>
      </c>
      <c r="AG14" s="4">
        <v>60</v>
      </c>
      <c r="AH14" s="4">
        <v>10</v>
      </c>
      <c r="AI14" s="4">
        <f t="shared" si="3"/>
        <v>0.7</v>
      </c>
      <c r="AJ14" s="12">
        <f t="shared" si="4"/>
        <v>0.75803634777692697</v>
      </c>
      <c r="AO14" s="11">
        <v>8</v>
      </c>
      <c r="AP14" s="4">
        <v>9</v>
      </c>
      <c r="AQ14" s="12">
        <v>72</v>
      </c>
      <c r="AR14" s="1"/>
      <c r="AU14" s="56" t="s">
        <v>49</v>
      </c>
      <c r="BB14" s="1">
        <v>8</v>
      </c>
      <c r="BC14" s="1">
        <v>9</v>
      </c>
      <c r="BD14" s="1">
        <v>72</v>
      </c>
      <c r="BE14">
        <f t="shared" si="5"/>
        <v>33.769230769230781</v>
      </c>
      <c r="BF14">
        <f t="shared" si="6"/>
        <v>33.769230769230781</v>
      </c>
      <c r="BG14">
        <f t="shared" si="7"/>
        <v>36.583333333333343</v>
      </c>
    </row>
    <row r="15" spans="1:63" x14ac:dyDescent="0.25">
      <c r="E15" s="27">
        <v>9</v>
      </c>
      <c r="F15" s="17">
        <v>3</v>
      </c>
      <c r="G15" s="18">
        <v>4</v>
      </c>
      <c r="H15" s="28">
        <v>19.94959767219602</v>
      </c>
      <c r="K15" s="43">
        <v>9</v>
      </c>
      <c r="L15" s="4">
        <v>10</v>
      </c>
      <c r="M15" s="4">
        <v>5</v>
      </c>
      <c r="N15" s="35">
        <v>0.5</v>
      </c>
      <c r="O15" s="44">
        <f t="shared" si="0"/>
        <v>0.24609375000000008</v>
      </c>
      <c r="Q15" s="11">
        <v>9</v>
      </c>
      <c r="R15" s="4">
        <v>4</v>
      </c>
      <c r="S15" s="4">
        <v>3</v>
      </c>
      <c r="T15" s="44">
        <f t="shared" si="1"/>
        <v>0.19536681481316462</v>
      </c>
      <c r="X15" s="11">
        <v>9</v>
      </c>
      <c r="Y15" s="4">
        <v>85</v>
      </c>
      <c r="Z15" s="4">
        <v>60</v>
      </c>
      <c r="AA15" s="4">
        <v>10</v>
      </c>
      <c r="AB15" s="44">
        <f t="shared" si="2"/>
        <v>1.752830049356854E-3</v>
      </c>
      <c r="AE15" s="11">
        <v>9</v>
      </c>
      <c r="AF15" s="4">
        <v>72</v>
      </c>
      <c r="AG15" s="4">
        <v>60</v>
      </c>
      <c r="AH15" s="4">
        <v>10</v>
      </c>
      <c r="AI15" s="4">
        <f t="shared" si="3"/>
        <v>1.2</v>
      </c>
      <c r="AJ15" s="12">
        <f t="shared" si="4"/>
        <v>0.88493032977829178</v>
      </c>
      <c r="AO15" s="11">
        <v>9</v>
      </c>
      <c r="AP15" s="4">
        <v>10</v>
      </c>
      <c r="AQ15" s="12">
        <v>75</v>
      </c>
      <c r="AR15" s="1"/>
      <c r="BB15" s="1">
        <v>9</v>
      </c>
      <c r="BC15" s="1">
        <v>10</v>
      </c>
      <c r="BD15" s="1">
        <v>75</v>
      </c>
      <c r="BE15">
        <f t="shared" si="5"/>
        <v>27.125</v>
      </c>
      <c r="BF15">
        <f t="shared" si="6"/>
        <v>27.125</v>
      </c>
      <c r="BG15">
        <f t="shared" si="7"/>
        <v>29.59090909090909</v>
      </c>
    </row>
    <row r="16" spans="1:63" ht="15.75" thickBot="1" x14ac:dyDescent="0.3">
      <c r="E16" s="27">
        <v>10</v>
      </c>
      <c r="F16" s="17">
        <v>4</v>
      </c>
      <c r="G16" s="18">
        <v>4</v>
      </c>
      <c r="H16" s="28">
        <v>12.306836696019738</v>
      </c>
      <c r="K16" s="45">
        <v>10</v>
      </c>
      <c r="L16" s="14">
        <v>10</v>
      </c>
      <c r="M16" s="14">
        <v>8</v>
      </c>
      <c r="N16" s="46">
        <v>0.5</v>
      </c>
      <c r="O16" s="47">
        <f t="shared" si="0"/>
        <v>4.3945312499999986E-2</v>
      </c>
      <c r="Q16" s="13">
        <v>10</v>
      </c>
      <c r="R16" s="14">
        <v>4</v>
      </c>
      <c r="S16" s="14">
        <v>5</v>
      </c>
      <c r="T16" s="47">
        <f t="shared" si="1"/>
        <v>0.1562934518505317</v>
      </c>
      <c r="X16" s="13">
        <v>10</v>
      </c>
      <c r="Y16" s="14">
        <v>90</v>
      </c>
      <c r="Z16" s="14">
        <v>60</v>
      </c>
      <c r="AA16" s="14">
        <v>10</v>
      </c>
      <c r="AB16" s="47">
        <f t="shared" si="2"/>
        <v>4.4318484119380076E-4</v>
      </c>
      <c r="AE16" s="11">
        <v>10</v>
      </c>
      <c r="AF16" s="4">
        <v>78</v>
      </c>
      <c r="AG16" s="4">
        <v>60</v>
      </c>
      <c r="AH16" s="4">
        <v>10</v>
      </c>
      <c r="AI16" s="4">
        <f t="shared" si="3"/>
        <v>1.8</v>
      </c>
      <c r="AJ16" s="12">
        <f t="shared" si="4"/>
        <v>0.96406968088707423</v>
      </c>
      <c r="AO16" s="11">
        <v>10</v>
      </c>
      <c r="AP16" s="4">
        <v>11</v>
      </c>
      <c r="AQ16" s="12">
        <v>80</v>
      </c>
      <c r="AR16" s="1"/>
      <c r="BB16" s="1">
        <v>10</v>
      </c>
      <c r="BC16" s="1">
        <v>11</v>
      </c>
      <c r="BD16" s="1">
        <v>80</v>
      </c>
      <c r="BE16">
        <f t="shared" si="5"/>
        <v>20.90909090909091</v>
      </c>
      <c r="BF16">
        <f t="shared" si="6"/>
        <v>20.90909090909091</v>
      </c>
      <c r="BG16">
        <f t="shared" si="7"/>
        <v>23</v>
      </c>
    </row>
    <row r="17" spans="5:59" x14ac:dyDescent="0.25">
      <c r="E17" s="27">
        <v>11</v>
      </c>
      <c r="F17" s="17">
        <v>5</v>
      </c>
      <c r="G17" s="18">
        <v>2</v>
      </c>
      <c r="H17" s="28">
        <v>18.049447148583702</v>
      </c>
      <c r="AE17" s="11">
        <v>11</v>
      </c>
      <c r="AF17" s="4">
        <v>82</v>
      </c>
      <c r="AG17" s="4">
        <v>60</v>
      </c>
      <c r="AH17" s="4">
        <v>10</v>
      </c>
      <c r="AI17" s="4">
        <f t="shared" si="3"/>
        <v>2.2000000000000002</v>
      </c>
      <c r="AJ17" s="12">
        <f t="shared" si="4"/>
        <v>0.98609655248650141</v>
      </c>
      <c r="AO17" s="11">
        <v>11</v>
      </c>
      <c r="AP17" s="4">
        <v>12</v>
      </c>
      <c r="AQ17" s="12">
        <v>83</v>
      </c>
      <c r="AR17" s="1"/>
      <c r="BB17" s="1">
        <v>11</v>
      </c>
      <c r="BC17" s="1">
        <v>12</v>
      </c>
      <c r="BD17" s="1">
        <v>83</v>
      </c>
      <c r="BE17">
        <f t="shared" si="5"/>
        <v>16.2</v>
      </c>
      <c r="BF17">
        <f t="shared" si="6"/>
        <v>16.2</v>
      </c>
      <c r="BG17">
        <f t="shared" si="7"/>
        <v>18</v>
      </c>
    </row>
    <row r="18" spans="5:59" ht="15.75" thickBot="1" x14ac:dyDescent="0.3">
      <c r="E18" s="27">
        <v>12</v>
      </c>
      <c r="F18" s="17">
        <v>6</v>
      </c>
      <c r="G18" s="18">
        <v>3</v>
      </c>
      <c r="H18" s="28">
        <v>14.459757858457056</v>
      </c>
      <c r="AE18" s="11">
        <v>12</v>
      </c>
      <c r="AF18" s="4">
        <v>88</v>
      </c>
      <c r="AG18" s="4">
        <v>60</v>
      </c>
      <c r="AH18" s="4">
        <v>10</v>
      </c>
      <c r="AI18" s="4">
        <f t="shared" si="3"/>
        <v>2.8</v>
      </c>
      <c r="AJ18" s="12">
        <f t="shared" si="4"/>
        <v>0.99744486966957202</v>
      </c>
      <c r="AO18" s="11">
        <v>12</v>
      </c>
      <c r="AP18" s="4">
        <v>13</v>
      </c>
      <c r="AQ18" s="12">
        <v>86</v>
      </c>
      <c r="AR18" s="1"/>
      <c r="BB18" s="1">
        <v>12</v>
      </c>
      <c r="BC18" s="1">
        <v>13</v>
      </c>
      <c r="BD18" s="1">
        <v>86</v>
      </c>
      <c r="BE18">
        <f t="shared" si="5"/>
        <v>12.111111111111111</v>
      </c>
      <c r="BF18">
        <f t="shared" si="6"/>
        <v>12.111111111111111</v>
      </c>
      <c r="BG18">
        <f t="shared" si="7"/>
        <v>13.625</v>
      </c>
    </row>
    <row r="19" spans="5:59" ht="15.75" thickBot="1" x14ac:dyDescent="0.3">
      <c r="E19" s="27">
        <v>13</v>
      </c>
      <c r="F19" s="17">
        <v>1</v>
      </c>
      <c r="G19" s="18">
        <v>5</v>
      </c>
      <c r="H19" s="28">
        <v>10.66997854912856</v>
      </c>
      <c r="K19" s="40" t="s">
        <v>43</v>
      </c>
      <c r="L19" s="59"/>
      <c r="M19" s="59"/>
      <c r="N19" s="59"/>
      <c r="O19" s="60"/>
      <c r="Q19" s="40" t="s">
        <v>40</v>
      </c>
      <c r="R19" s="59"/>
      <c r="S19" s="59"/>
      <c r="T19" s="60"/>
      <c r="X19" s="40" t="s">
        <v>41</v>
      </c>
      <c r="Y19" s="55"/>
      <c r="Z19" s="55"/>
      <c r="AA19" s="34"/>
      <c r="AE19" s="11">
        <v>13</v>
      </c>
      <c r="AF19" s="4">
        <v>50</v>
      </c>
      <c r="AG19" s="4">
        <v>60</v>
      </c>
      <c r="AH19" s="4">
        <v>10</v>
      </c>
      <c r="AI19" s="4">
        <f t="shared" si="3"/>
        <v>-1</v>
      </c>
      <c r="AJ19" s="12">
        <f t="shared" si="4"/>
        <v>0.15865525393145699</v>
      </c>
      <c r="AO19" s="11">
        <v>13</v>
      </c>
      <c r="AP19" s="4">
        <v>14</v>
      </c>
      <c r="AQ19" s="12">
        <v>89</v>
      </c>
      <c r="AR19" s="1"/>
      <c r="BB19" s="1">
        <v>13</v>
      </c>
      <c r="BC19" s="1">
        <v>14</v>
      </c>
      <c r="BD19" s="1">
        <v>89</v>
      </c>
      <c r="BE19">
        <f t="shared" si="5"/>
        <v>8.6875</v>
      </c>
      <c r="BF19">
        <f t="shared" si="6"/>
        <v>8.6875</v>
      </c>
      <c r="BG19">
        <f t="shared" si="7"/>
        <v>9.9285714285714288</v>
      </c>
    </row>
    <row r="20" spans="5:59" x14ac:dyDescent="0.25">
      <c r="E20" s="27">
        <v>14</v>
      </c>
      <c r="F20" s="17">
        <v>2</v>
      </c>
      <c r="G20" s="18">
        <v>4</v>
      </c>
      <c r="H20" s="28">
        <v>11.41236195444664</v>
      </c>
      <c r="AE20" s="11">
        <v>14</v>
      </c>
      <c r="AF20" s="4">
        <v>65</v>
      </c>
      <c r="AG20" s="4">
        <v>60</v>
      </c>
      <c r="AH20" s="4">
        <v>10</v>
      </c>
      <c r="AI20" s="4">
        <f t="shared" si="3"/>
        <v>0.5</v>
      </c>
      <c r="AJ20" s="12">
        <f t="shared" si="4"/>
        <v>0.69146246127401312</v>
      </c>
      <c r="AO20" s="11">
        <v>14</v>
      </c>
      <c r="AP20" s="4">
        <v>15</v>
      </c>
      <c r="AQ20" s="12">
        <v>91</v>
      </c>
      <c r="AR20" s="1"/>
      <c r="BB20" s="1">
        <v>14</v>
      </c>
      <c r="BC20" s="1">
        <v>15</v>
      </c>
      <c r="BD20" s="1">
        <v>91</v>
      </c>
      <c r="BE20">
        <f t="shared" si="5"/>
        <v>6</v>
      </c>
      <c r="BF20">
        <f t="shared" si="6"/>
        <v>6</v>
      </c>
      <c r="BG20">
        <f t="shared" si="7"/>
        <v>7</v>
      </c>
    </row>
    <row r="21" spans="5:59" x14ac:dyDescent="0.25">
      <c r="E21" s="27">
        <v>15</v>
      </c>
      <c r="F21" s="17">
        <v>3</v>
      </c>
      <c r="G21" s="18">
        <v>2</v>
      </c>
      <c r="H21" s="28">
        <v>17.508785416537453</v>
      </c>
      <c r="AE21" s="11">
        <v>15</v>
      </c>
      <c r="AF21" s="4">
        <v>75</v>
      </c>
      <c r="AG21" s="4">
        <v>60</v>
      </c>
      <c r="AH21" s="4">
        <v>10</v>
      </c>
      <c r="AI21" s="4">
        <f t="shared" si="3"/>
        <v>1.5</v>
      </c>
      <c r="AJ21" s="12">
        <f t="shared" si="4"/>
        <v>0.93319279873114191</v>
      </c>
      <c r="AO21" s="11">
        <v>15</v>
      </c>
      <c r="AP21" s="4">
        <v>16</v>
      </c>
      <c r="AQ21" s="12">
        <v>94</v>
      </c>
      <c r="AR21" s="1"/>
      <c r="BB21" s="1">
        <v>15</v>
      </c>
      <c r="BC21" s="1">
        <v>16</v>
      </c>
      <c r="BD21" s="1">
        <v>94</v>
      </c>
      <c r="BE21">
        <f t="shared" si="5"/>
        <v>3.5833333333333335</v>
      </c>
      <c r="BF21">
        <f t="shared" si="6"/>
        <v>3.5833333333333335</v>
      </c>
      <c r="BG21">
        <f t="shared" si="7"/>
        <v>4.3</v>
      </c>
    </row>
    <row r="22" spans="5:59" x14ac:dyDescent="0.25">
      <c r="E22" s="27">
        <v>16</v>
      </c>
      <c r="F22" s="17">
        <v>4</v>
      </c>
      <c r="G22" s="18">
        <v>5</v>
      </c>
      <c r="H22" s="28">
        <v>16.792962111432793</v>
      </c>
      <c r="AE22" s="11">
        <v>16</v>
      </c>
      <c r="AF22" s="4">
        <v>54</v>
      </c>
      <c r="AG22" s="4">
        <v>60</v>
      </c>
      <c r="AH22" s="4">
        <v>10</v>
      </c>
      <c r="AI22" s="4">
        <f t="shared" si="3"/>
        <v>-0.6</v>
      </c>
      <c r="AJ22" s="12">
        <f t="shared" si="4"/>
        <v>0.27425311775007355</v>
      </c>
      <c r="AO22" s="11">
        <v>16</v>
      </c>
      <c r="AP22" s="4">
        <v>17</v>
      </c>
      <c r="AQ22" s="12">
        <v>96</v>
      </c>
      <c r="AR22" s="1"/>
      <c r="BB22" s="1">
        <v>16</v>
      </c>
      <c r="BC22" s="1">
        <v>17</v>
      </c>
      <c r="BD22" s="1">
        <v>96</v>
      </c>
      <c r="BE22">
        <f t="shared" si="5"/>
        <v>2</v>
      </c>
      <c r="BF22">
        <f t="shared" si="6"/>
        <v>2</v>
      </c>
      <c r="BG22">
        <f t="shared" si="7"/>
        <v>2.5</v>
      </c>
    </row>
    <row r="23" spans="5:59" x14ac:dyDescent="0.25">
      <c r="E23" s="27">
        <v>17</v>
      </c>
      <c r="F23" s="17">
        <v>5</v>
      </c>
      <c r="G23" s="18">
        <v>1</v>
      </c>
      <c r="H23" s="28">
        <v>19.445427542180301</v>
      </c>
      <c r="AE23" s="11">
        <v>17</v>
      </c>
      <c r="AF23" s="4">
        <v>69</v>
      </c>
      <c r="AG23" s="4">
        <v>60</v>
      </c>
      <c r="AH23" s="4">
        <v>10</v>
      </c>
      <c r="AI23" s="4">
        <f t="shared" si="3"/>
        <v>0.9</v>
      </c>
      <c r="AJ23" s="12">
        <f t="shared" si="4"/>
        <v>0.81593987465324047</v>
      </c>
      <c r="AO23" s="11">
        <v>17</v>
      </c>
      <c r="AP23" s="4">
        <v>18</v>
      </c>
      <c r="AQ23" s="12">
        <v>98</v>
      </c>
      <c r="AR23" s="1"/>
      <c r="BB23" s="1">
        <v>17</v>
      </c>
      <c r="BC23" s="1">
        <v>18</v>
      </c>
      <c r="BD23" s="1">
        <v>98</v>
      </c>
      <c r="BE23">
        <f t="shared" si="5"/>
        <v>0.875</v>
      </c>
      <c r="BF23">
        <f t="shared" si="6"/>
        <v>0.875</v>
      </c>
      <c r="BG23">
        <f t="shared" si="7"/>
        <v>1.1666666666666667</v>
      </c>
    </row>
    <row r="24" spans="5:59" x14ac:dyDescent="0.25">
      <c r="E24" s="27">
        <v>18</v>
      </c>
      <c r="F24" s="17">
        <v>6</v>
      </c>
      <c r="G24" s="18">
        <v>6</v>
      </c>
      <c r="H24" s="28">
        <v>13.353490234668234</v>
      </c>
      <c r="AE24" s="11">
        <v>18</v>
      </c>
      <c r="AF24" s="4">
        <v>61</v>
      </c>
      <c r="AG24" s="4">
        <v>60</v>
      </c>
      <c r="AH24" s="4">
        <v>10</v>
      </c>
      <c r="AI24" s="4">
        <f t="shared" si="3"/>
        <v>0.1</v>
      </c>
      <c r="AJ24" s="12">
        <f t="shared" si="4"/>
        <v>0.53982783727702899</v>
      </c>
      <c r="AO24" s="11">
        <v>18</v>
      </c>
      <c r="AP24" s="4">
        <v>19</v>
      </c>
      <c r="AQ24" s="12">
        <v>99</v>
      </c>
      <c r="AR24" s="1"/>
      <c r="BB24" s="1">
        <v>18</v>
      </c>
      <c r="BC24" s="1">
        <v>19</v>
      </c>
      <c r="BD24" s="1">
        <v>99</v>
      </c>
      <c r="BE24">
        <f t="shared" si="5"/>
        <v>0.33333333333333331</v>
      </c>
      <c r="BF24">
        <f t="shared" si="6"/>
        <v>0.33333333333333331</v>
      </c>
      <c r="BG24">
        <f t="shared" si="7"/>
        <v>0.5</v>
      </c>
    </row>
    <row r="25" spans="5:59" x14ac:dyDescent="0.25">
      <c r="E25" s="27">
        <v>19</v>
      </c>
      <c r="F25" s="17">
        <v>1</v>
      </c>
      <c r="G25" s="18">
        <v>3</v>
      </c>
      <c r="H25" s="28">
        <v>17.38228456945463</v>
      </c>
      <c r="AE25" s="11">
        <v>19</v>
      </c>
      <c r="AF25" s="4">
        <v>57</v>
      </c>
      <c r="AG25" s="4">
        <v>60</v>
      </c>
      <c r="AH25" s="4">
        <v>10</v>
      </c>
      <c r="AI25" s="4">
        <f t="shared" si="3"/>
        <v>-0.3</v>
      </c>
      <c r="AJ25" s="12">
        <f t="shared" si="4"/>
        <v>0.38208857781104733</v>
      </c>
      <c r="AO25" s="11">
        <v>19</v>
      </c>
      <c r="AP25" s="4">
        <v>20</v>
      </c>
      <c r="AQ25" s="12">
        <v>100</v>
      </c>
      <c r="AR25" s="1"/>
      <c r="BB25" s="1">
        <v>19</v>
      </c>
      <c r="BC25" s="1">
        <v>20</v>
      </c>
      <c r="BD25" s="1">
        <v>100</v>
      </c>
      <c r="BE25">
        <f t="shared" si="5"/>
        <v>0</v>
      </c>
      <c r="BF25">
        <f t="shared" si="6"/>
        <v>0</v>
      </c>
      <c r="BG25">
        <f t="shared" si="7"/>
        <v>0</v>
      </c>
    </row>
    <row r="26" spans="5:59" ht="15.75" thickBot="1" x14ac:dyDescent="0.3">
      <c r="E26" s="29">
        <v>20</v>
      </c>
      <c r="F26" s="30">
        <v>2</v>
      </c>
      <c r="G26" s="31">
        <v>4</v>
      </c>
      <c r="H26" s="32">
        <v>14.994567508032254</v>
      </c>
      <c r="AE26" s="13">
        <v>20</v>
      </c>
      <c r="AF26" s="14">
        <v>80</v>
      </c>
      <c r="AG26" s="14">
        <v>60</v>
      </c>
      <c r="AH26" s="14">
        <v>10</v>
      </c>
      <c r="AI26" s="14">
        <f t="shared" si="3"/>
        <v>2</v>
      </c>
      <c r="AJ26" s="15">
        <f t="shared" si="4"/>
        <v>0.97724986805182079</v>
      </c>
      <c r="AO26" s="13">
        <v>20</v>
      </c>
      <c r="AP26" s="14">
        <v>21</v>
      </c>
      <c r="AQ26" s="15">
        <v>100</v>
      </c>
      <c r="AR26" s="1"/>
      <c r="BB26" s="1">
        <v>20</v>
      </c>
      <c r="BC26" s="1">
        <v>21</v>
      </c>
      <c r="BD26" s="1">
        <v>100</v>
      </c>
      <c r="BE26">
        <f t="shared" si="5"/>
        <v>0</v>
      </c>
      <c r="BF26">
        <f t="shared" si="6"/>
        <v>0</v>
      </c>
      <c r="BG26" t="e">
        <f t="shared" si="7"/>
        <v>#DIV/0!</v>
      </c>
    </row>
    <row r="27" spans="5:59" ht="15.75" thickBot="1" x14ac:dyDescent="0.3"/>
    <row r="28" spans="5:59" ht="15.75" thickBot="1" x14ac:dyDescent="0.3">
      <c r="G28" s="40" t="s">
        <v>39</v>
      </c>
      <c r="H28" s="60"/>
      <c r="AE28" s="61" t="s">
        <v>44</v>
      </c>
      <c r="AF28" s="48"/>
      <c r="AO28" s="40" t="s">
        <v>46</v>
      </c>
      <c r="AP28" s="55"/>
      <c r="AQ28" s="34"/>
      <c r="BC28" t="s">
        <v>50</v>
      </c>
    </row>
    <row r="29" spans="5:59" ht="15.75" thickBot="1" x14ac:dyDescent="0.3">
      <c r="G29" s="40" t="s">
        <v>42</v>
      </c>
      <c r="H29" s="60"/>
      <c r="AE29" s="40" t="s">
        <v>45</v>
      </c>
      <c r="AF29" s="55"/>
      <c r="AG29" s="55"/>
      <c r="AH29" s="55"/>
      <c r="AI29" s="34"/>
      <c r="AO29" s="40" t="s">
        <v>48</v>
      </c>
      <c r="AP29" s="6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A16D5-B6A8-44BB-A398-C00945F627EF}">
  <dimension ref="B1:AQ49"/>
  <sheetViews>
    <sheetView tabSelected="1" topLeftCell="I1" zoomScale="85" zoomScaleNormal="85" workbookViewId="0">
      <selection activeCell="AB5" sqref="AB5"/>
    </sheetView>
  </sheetViews>
  <sheetFormatPr defaultRowHeight="15" x14ac:dyDescent="0.25"/>
  <cols>
    <col min="7" max="7" width="16.42578125" customWidth="1"/>
    <col min="12" max="12" width="12.85546875" customWidth="1"/>
    <col min="16" max="16" width="8.85546875" customWidth="1"/>
    <col min="17" max="17" width="15.42578125" customWidth="1"/>
    <col min="20" max="20" width="13.85546875" customWidth="1"/>
  </cols>
  <sheetData>
    <row r="1" spans="2:29" ht="15.75" thickBot="1" x14ac:dyDescent="0.3">
      <c r="E1" s="70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2"/>
    </row>
    <row r="2" spans="2:29" ht="19.5" thickBot="1" x14ac:dyDescent="0.35">
      <c r="B2" s="64" t="s">
        <v>55</v>
      </c>
      <c r="C2" s="66"/>
      <c r="D2" s="34"/>
      <c r="E2" s="73"/>
      <c r="F2" s="74"/>
      <c r="G2" s="79" t="s">
        <v>56</v>
      </c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51"/>
      <c r="AB2" s="40" t="s">
        <v>108</v>
      </c>
      <c r="AC2" s="34"/>
    </row>
    <row r="3" spans="2:29" ht="15.75" thickBot="1" x14ac:dyDescent="0.3">
      <c r="E3" s="6" t="s">
        <v>4</v>
      </c>
      <c r="F3" s="7" t="s">
        <v>81</v>
      </c>
      <c r="G3" s="7" t="s">
        <v>80</v>
      </c>
      <c r="H3" s="7" t="s">
        <v>62</v>
      </c>
      <c r="I3" s="8" t="s">
        <v>63</v>
      </c>
      <c r="J3" s="74"/>
      <c r="K3" s="33" t="s">
        <v>64</v>
      </c>
      <c r="L3" s="55"/>
      <c r="M3" s="55"/>
      <c r="N3" s="55"/>
      <c r="O3" s="34"/>
      <c r="P3" s="74"/>
      <c r="Q3" s="33" t="s">
        <v>74</v>
      </c>
      <c r="R3" s="55"/>
      <c r="S3" s="55"/>
      <c r="T3" s="34"/>
      <c r="U3" s="74"/>
      <c r="V3" s="33" t="s">
        <v>76</v>
      </c>
      <c r="W3" s="55"/>
      <c r="X3" s="55"/>
      <c r="Y3" s="34"/>
      <c r="Z3" s="51"/>
    </row>
    <row r="4" spans="2:29" x14ac:dyDescent="0.25">
      <c r="B4" t="s">
        <v>57</v>
      </c>
      <c r="E4" s="9">
        <v>1</v>
      </c>
      <c r="F4" s="5" t="s">
        <v>82</v>
      </c>
      <c r="G4" s="5">
        <v>18</v>
      </c>
      <c r="H4" s="5">
        <v>72</v>
      </c>
      <c r="I4" s="10">
        <v>68</v>
      </c>
      <c r="J4" s="74"/>
      <c r="K4" s="36"/>
      <c r="L4" s="36"/>
      <c r="M4" s="36"/>
      <c r="N4" s="36"/>
      <c r="O4" s="36"/>
      <c r="P4" s="74"/>
      <c r="Q4" s="74"/>
      <c r="R4" s="74"/>
      <c r="S4" s="74"/>
      <c r="T4" s="74"/>
      <c r="U4" s="74"/>
      <c r="V4" s="74"/>
      <c r="W4" s="74"/>
      <c r="X4" s="74"/>
      <c r="Y4" s="74"/>
      <c r="Z4" s="51"/>
    </row>
    <row r="5" spans="2:29" x14ac:dyDescent="0.25">
      <c r="B5" t="s">
        <v>58</v>
      </c>
      <c r="E5" s="11">
        <v>2</v>
      </c>
      <c r="F5" s="4" t="s">
        <v>83</v>
      </c>
      <c r="G5" s="4">
        <v>19</v>
      </c>
      <c r="H5" s="4">
        <v>75</v>
      </c>
      <c r="I5" s="12">
        <v>70</v>
      </c>
      <c r="J5" s="74"/>
      <c r="K5" s="83"/>
      <c r="L5" s="83">
        <v>72</v>
      </c>
      <c r="M5" s="83">
        <v>68</v>
      </c>
      <c r="N5" s="35"/>
      <c r="O5" s="35"/>
      <c r="P5" s="74"/>
      <c r="Q5" s="83"/>
      <c r="R5" s="83">
        <v>72</v>
      </c>
      <c r="S5" s="83">
        <v>68</v>
      </c>
      <c r="T5" s="74"/>
      <c r="U5" s="74"/>
      <c r="V5" s="83"/>
      <c r="W5" s="83">
        <v>72</v>
      </c>
      <c r="X5" s="83">
        <v>68</v>
      </c>
      <c r="Y5" s="74"/>
      <c r="Z5" s="51"/>
    </row>
    <row r="6" spans="2:29" x14ac:dyDescent="0.25">
      <c r="B6" t="s">
        <v>59</v>
      </c>
      <c r="E6" s="11">
        <v>3</v>
      </c>
      <c r="F6" s="4" t="s">
        <v>83</v>
      </c>
      <c r="G6" s="4">
        <v>20</v>
      </c>
      <c r="H6" s="4">
        <v>78</v>
      </c>
      <c r="I6" s="12">
        <v>72</v>
      </c>
      <c r="J6" s="74"/>
      <c r="K6" s="84" t="s">
        <v>17</v>
      </c>
      <c r="L6" s="84">
        <v>77.555555555555557</v>
      </c>
      <c r="M6" s="84">
        <v>73.555555555555557</v>
      </c>
      <c r="N6" s="35"/>
      <c r="O6" s="35"/>
      <c r="P6" s="74"/>
      <c r="Q6" s="84" t="s">
        <v>17</v>
      </c>
      <c r="R6" s="84">
        <v>77.555555555555557</v>
      </c>
      <c r="S6" s="84">
        <v>73.555555555555557</v>
      </c>
      <c r="T6" s="74"/>
      <c r="U6" s="74"/>
      <c r="V6" s="84" t="s">
        <v>17</v>
      </c>
      <c r="W6" s="84">
        <v>77.555555555555557</v>
      </c>
      <c r="X6" s="84">
        <v>73.555555555555557</v>
      </c>
      <c r="Y6" s="74"/>
      <c r="Z6" s="51"/>
    </row>
    <row r="7" spans="2:29" x14ac:dyDescent="0.25">
      <c r="B7" t="s">
        <v>60</v>
      </c>
      <c r="E7" s="11">
        <v>4</v>
      </c>
      <c r="F7" s="4" t="s">
        <v>83</v>
      </c>
      <c r="G7" s="4">
        <v>18</v>
      </c>
      <c r="H7" s="4">
        <v>80</v>
      </c>
      <c r="I7" s="12">
        <v>74</v>
      </c>
      <c r="J7" s="74"/>
      <c r="K7" s="84" t="s">
        <v>65</v>
      </c>
      <c r="L7" s="84">
        <v>5.2777777777777786</v>
      </c>
      <c r="M7" s="84">
        <v>5.2777777777777786</v>
      </c>
      <c r="N7" s="35"/>
      <c r="O7" s="35"/>
      <c r="P7" s="74"/>
      <c r="Q7" s="84" t="s">
        <v>65</v>
      </c>
      <c r="R7" s="84">
        <v>5.2777777777777786</v>
      </c>
      <c r="S7" s="84">
        <v>5.2777777777777786</v>
      </c>
      <c r="T7" s="74"/>
      <c r="U7" s="74"/>
      <c r="V7" s="84" t="s">
        <v>65</v>
      </c>
      <c r="W7" s="84">
        <v>5.2777777777777786</v>
      </c>
      <c r="X7" s="84">
        <v>5.2777777777777786</v>
      </c>
      <c r="Y7" s="74"/>
      <c r="Z7" s="51"/>
    </row>
    <row r="8" spans="2:29" x14ac:dyDescent="0.25">
      <c r="B8" t="s">
        <v>61</v>
      </c>
      <c r="E8" s="11">
        <v>5</v>
      </c>
      <c r="F8" s="4" t="s">
        <v>82</v>
      </c>
      <c r="G8" s="4">
        <v>21</v>
      </c>
      <c r="H8" s="4">
        <v>76</v>
      </c>
      <c r="I8" s="12">
        <v>73</v>
      </c>
      <c r="J8" s="74"/>
      <c r="K8" s="84" t="s">
        <v>66</v>
      </c>
      <c r="L8" s="84">
        <v>9</v>
      </c>
      <c r="M8" s="84">
        <v>9</v>
      </c>
      <c r="N8" s="35"/>
      <c r="O8" s="35"/>
      <c r="P8" s="74"/>
      <c r="Q8" s="84" t="s">
        <v>66</v>
      </c>
      <c r="R8" s="84">
        <v>9</v>
      </c>
      <c r="S8" s="84">
        <v>9</v>
      </c>
      <c r="T8" s="74"/>
      <c r="U8" s="74"/>
      <c r="V8" s="84" t="s">
        <v>66</v>
      </c>
      <c r="W8" s="84">
        <v>9</v>
      </c>
      <c r="X8" s="84">
        <v>9</v>
      </c>
      <c r="Y8" s="74"/>
      <c r="Z8" s="51"/>
    </row>
    <row r="9" spans="2:29" x14ac:dyDescent="0.25">
      <c r="E9" s="11">
        <v>6</v>
      </c>
      <c r="F9" s="4" t="s">
        <v>82</v>
      </c>
      <c r="G9" s="4">
        <v>19</v>
      </c>
      <c r="H9" s="4">
        <v>74</v>
      </c>
      <c r="I9" s="12">
        <v>71</v>
      </c>
      <c r="J9" s="74"/>
      <c r="K9" s="84" t="s">
        <v>67</v>
      </c>
      <c r="L9" s="84">
        <v>5</v>
      </c>
      <c r="M9" s="84"/>
      <c r="N9" s="35"/>
      <c r="O9" s="35"/>
      <c r="P9" s="74"/>
      <c r="Q9" s="84" t="s">
        <v>75</v>
      </c>
      <c r="R9" s="84">
        <v>5.2777777777777786</v>
      </c>
      <c r="S9" s="84"/>
      <c r="T9" s="74"/>
      <c r="U9" s="74"/>
      <c r="V9" s="84" t="s">
        <v>77</v>
      </c>
      <c r="W9" s="84">
        <v>0.81052631578947365</v>
      </c>
      <c r="X9" s="84"/>
      <c r="Y9" s="74"/>
      <c r="Z9" s="51"/>
    </row>
    <row r="10" spans="2:29" x14ac:dyDescent="0.25">
      <c r="E10" s="11">
        <v>7</v>
      </c>
      <c r="F10" s="4" t="s">
        <v>83</v>
      </c>
      <c r="G10" s="4">
        <v>20</v>
      </c>
      <c r="H10" s="4">
        <v>79</v>
      </c>
      <c r="I10" s="12">
        <v>75</v>
      </c>
      <c r="J10" s="74"/>
      <c r="K10" s="84" t="s">
        <v>68</v>
      </c>
      <c r="L10" s="84">
        <v>16</v>
      </c>
      <c r="M10" s="84"/>
      <c r="N10" s="35"/>
      <c r="O10" s="35"/>
      <c r="P10" s="74"/>
      <c r="Q10" s="84" t="s">
        <v>67</v>
      </c>
      <c r="R10" s="84">
        <v>0</v>
      </c>
      <c r="S10" s="84"/>
      <c r="T10" s="74"/>
      <c r="U10" s="74"/>
      <c r="V10" s="84" t="s">
        <v>67</v>
      </c>
      <c r="W10" s="84">
        <v>5</v>
      </c>
      <c r="X10" s="84"/>
      <c r="Y10" s="74"/>
      <c r="Z10" s="51"/>
    </row>
    <row r="11" spans="2:29" x14ac:dyDescent="0.25">
      <c r="E11" s="11">
        <v>8</v>
      </c>
      <c r="F11" s="4" t="s">
        <v>82</v>
      </c>
      <c r="G11" s="4">
        <v>22</v>
      </c>
      <c r="H11" s="4">
        <v>81</v>
      </c>
      <c r="I11" s="12">
        <v>77</v>
      </c>
      <c r="J11" s="74"/>
      <c r="K11" s="84" t="s">
        <v>69</v>
      </c>
      <c r="L11" s="84">
        <v>-0.92338051687663858</v>
      </c>
      <c r="M11" s="84"/>
      <c r="N11" s="35"/>
      <c r="O11" s="35"/>
      <c r="P11" s="74"/>
      <c r="Q11" s="84" t="s">
        <v>68</v>
      </c>
      <c r="R11" s="84">
        <v>16</v>
      </c>
      <c r="S11" s="84"/>
      <c r="T11" s="74"/>
      <c r="U11" s="74"/>
      <c r="V11" s="84" t="s">
        <v>68</v>
      </c>
      <c r="W11" s="84">
        <v>8</v>
      </c>
      <c r="X11" s="84"/>
      <c r="Y11" s="74"/>
      <c r="Z11" s="51"/>
    </row>
    <row r="12" spans="2:29" x14ac:dyDescent="0.25">
      <c r="E12" s="11">
        <v>9</v>
      </c>
      <c r="F12" s="4" t="s">
        <v>82</v>
      </c>
      <c r="G12" s="4">
        <v>18</v>
      </c>
      <c r="H12" s="4">
        <v>77</v>
      </c>
      <c r="I12" s="12">
        <v>74</v>
      </c>
      <c r="J12" s="74"/>
      <c r="K12" s="84" t="s">
        <v>70</v>
      </c>
      <c r="L12" s="84">
        <v>0.18476262595383725</v>
      </c>
      <c r="M12" s="84"/>
      <c r="N12" s="35"/>
      <c r="O12" s="35"/>
      <c r="P12" s="74"/>
      <c r="Q12" s="84" t="s">
        <v>69</v>
      </c>
      <c r="R12" s="84">
        <v>3.6935220675065543</v>
      </c>
      <c r="S12" s="84"/>
      <c r="T12" s="74"/>
      <c r="U12" s="74"/>
      <c r="V12" s="84" t="s">
        <v>69</v>
      </c>
      <c r="W12" s="84">
        <v>-2.1213203435596424</v>
      </c>
      <c r="X12" s="84"/>
      <c r="Y12" s="74"/>
      <c r="Z12" s="51"/>
    </row>
    <row r="13" spans="2:29" ht="15.75" thickBot="1" x14ac:dyDescent="0.3">
      <c r="E13" s="13">
        <v>10</v>
      </c>
      <c r="F13" s="14" t="s">
        <v>82</v>
      </c>
      <c r="G13" s="14">
        <v>21</v>
      </c>
      <c r="H13" s="14">
        <v>78</v>
      </c>
      <c r="I13" s="15">
        <v>76</v>
      </c>
      <c r="J13" s="74"/>
      <c r="K13" s="84" t="s">
        <v>71</v>
      </c>
      <c r="L13" s="84">
        <v>1.7458836762762506</v>
      </c>
      <c r="M13" s="84"/>
      <c r="N13" s="35"/>
      <c r="O13" s="35"/>
      <c r="P13" s="74"/>
      <c r="Q13" s="84" t="s">
        <v>70</v>
      </c>
      <c r="R13" s="84">
        <v>9.845609190472233E-4</v>
      </c>
      <c r="S13" s="84"/>
      <c r="T13" s="74"/>
      <c r="U13" s="74"/>
      <c r="V13" s="84" t="s">
        <v>70</v>
      </c>
      <c r="W13" s="84">
        <v>3.3343999999999992E-2</v>
      </c>
      <c r="X13" s="84"/>
      <c r="Y13" s="74"/>
      <c r="Z13" s="51"/>
    </row>
    <row r="14" spans="2:29" x14ac:dyDescent="0.25">
      <c r="E14" s="73"/>
      <c r="F14" s="74"/>
      <c r="G14" s="74"/>
      <c r="H14" s="74"/>
      <c r="I14" s="74"/>
      <c r="J14" s="74"/>
      <c r="K14" s="84" t="s">
        <v>72</v>
      </c>
      <c r="L14" s="84">
        <v>0.36952525190767449</v>
      </c>
      <c r="M14" s="84"/>
      <c r="N14" s="35"/>
      <c r="O14" s="35"/>
      <c r="P14" s="74"/>
      <c r="Q14" s="84" t="s">
        <v>71</v>
      </c>
      <c r="R14" s="84">
        <v>1.7458836762762506</v>
      </c>
      <c r="S14" s="84"/>
      <c r="T14" s="74"/>
      <c r="U14" s="74"/>
      <c r="V14" s="84" t="s">
        <v>71</v>
      </c>
      <c r="W14" s="84">
        <v>1.8595480375308981</v>
      </c>
      <c r="X14" s="84"/>
      <c r="Y14" s="74"/>
      <c r="Z14" s="51"/>
    </row>
    <row r="15" spans="2:29" x14ac:dyDescent="0.25">
      <c r="E15" s="73"/>
      <c r="F15" s="74"/>
      <c r="G15" s="74"/>
      <c r="H15" s="74"/>
      <c r="I15" s="74"/>
      <c r="J15" s="74"/>
      <c r="K15" s="84" t="s">
        <v>73</v>
      </c>
      <c r="L15" s="84">
        <v>2.119905299221255</v>
      </c>
      <c r="M15" s="84"/>
      <c r="N15" s="35"/>
      <c r="O15" s="35"/>
      <c r="P15" s="74"/>
      <c r="Q15" s="84" t="s">
        <v>72</v>
      </c>
      <c r="R15" s="84">
        <v>1.9691218380944466E-3</v>
      </c>
      <c r="S15" s="84"/>
      <c r="T15" s="74"/>
      <c r="U15" s="74"/>
      <c r="V15" s="84" t="s">
        <v>72</v>
      </c>
      <c r="W15" s="84">
        <v>6.6687999999999983E-2</v>
      </c>
      <c r="X15" s="84"/>
      <c r="Y15" s="74"/>
      <c r="Z15" s="51"/>
    </row>
    <row r="16" spans="2:29" ht="15.75" thickBot="1" x14ac:dyDescent="0.3">
      <c r="E16" s="73"/>
      <c r="F16" s="74"/>
      <c r="G16" s="74"/>
      <c r="H16" s="74"/>
      <c r="I16" s="74"/>
      <c r="J16" s="74"/>
      <c r="K16" s="78"/>
      <c r="L16" s="78"/>
      <c r="M16" s="78"/>
      <c r="N16" s="78"/>
      <c r="O16" s="78"/>
      <c r="P16" s="78"/>
      <c r="Q16" s="95" t="s">
        <v>73</v>
      </c>
      <c r="R16" s="95">
        <v>2.119905299221255</v>
      </c>
      <c r="S16" s="95"/>
      <c r="T16" s="78"/>
      <c r="U16" s="78"/>
      <c r="V16" s="95" t="s">
        <v>73</v>
      </c>
      <c r="W16" s="95">
        <v>2.3060041352041671</v>
      </c>
      <c r="X16" s="95"/>
      <c r="Y16" s="78"/>
      <c r="Z16" s="54"/>
    </row>
    <row r="17" spans="2:43" ht="15.75" thickBot="1" x14ac:dyDescent="0.3">
      <c r="B17" s="56" t="s">
        <v>79</v>
      </c>
      <c r="C17" s="71"/>
      <c r="D17" s="71"/>
      <c r="E17" s="71"/>
      <c r="F17" s="71"/>
      <c r="G17" s="71"/>
      <c r="H17" s="71"/>
      <c r="I17" s="71"/>
      <c r="J17" s="72"/>
    </row>
    <row r="18" spans="2:43" ht="15.75" thickBot="1" x14ac:dyDescent="0.3">
      <c r="B18" s="73"/>
      <c r="C18" s="74"/>
      <c r="D18" s="74"/>
      <c r="E18" s="74"/>
      <c r="F18" s="74"/>
      <c r="G18" s="74"/>
      <c r="H18" s="74"/>
      <c r="I18" s="74"/>
      <c r="J18" s="51"/>
    </row>
    <row r="19" spans="2:43" ht="15.75" thickBot="1" x14ac:dyDescent="0.3">
      <c r="B19" s="85" t="s">
        <v>4</v>
      </c>
      <c r="C19" s="86" t="s">
        <v>81</v>
      </c>
      <c r="D19" s="87" t="s">
        <v>80</v>
      </c>
      <c r="E19" s="88" t="s">
        <v>78</v>
      </c>
      <c r="F19" s="74"/>
      <c r="G19" s="74"/>
      <c r="H19" s="74"/>
      <c r="I19" s="74"/>
      <c r="J19" s="51"/>
      <c r="L19" s="100" t="s">
        <v>91</v>
      </c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33" t="s">
        <v>91</v>
      </c>
      <c r="Z19" s="34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2"/>
    </row>
    <row r="20" spans="2:43" ht="15.75" thickBot="1" x14ac:dyDescent="0.3">
      <c r="B20" s="9">
        <v>1</v>
      </c>
      <c r="C20" s="19" t="s">
        <v>82</v>
      </c>
      <c r="D20" s="5">
        <v>18</v>
      </c>
      <c r="E20" s="10">
        <v>72</v>
      </c>
      <c r="F20" s="74"/>
      <c r="G20" s="40" t="s">
        <v>84</v>
      </c>
      <c r="H20" s="55"/>
      <c r="I20" s="34"/>
      <c r="J20" s="51"/>
      <c r="L20" s="6" t="s">
        <v>4</v>
      </c>
      <c r="M20" s="7" t="s">
        <v>62</v>
      </c>
      <c r="N20" s="7" t="s">
        <v>63</v>
      </c>
      <c r="O20" s="8" t="s">
        <v>92</v>
      </c>
      <c r="P20" s="74"/>
      <c r="Q20" s="35" t="s">
        <v>93</v>
      </c>
      <c r="R20" s="35"/>
      <c r="S20" s="35"/>
      <c r="T20" s="35"/>
      <c r="U20" s="35"/>
      <c r="V20" s="35"/>
      <c r="W20" s="35"/>
      <c r="X20" s="74"/>
      <c r="Y20" s="16" t="s">
        <v>62</v>
      </c>
      <c r="Z20" s="16" t="s">
        <v>63</v>
      </c>
      <c r="AA20" s="16" t="s">
        <v>92</v>
      </c>
      <c r="AB20" s="74"/>
      <c r="AC20" s="74" t="s">
        <v>112</v>
      </c>
      <c r="AD20" s="74"/>
      <c r="AE20" s="74"/>
      <c r="AF20" s="74"/>
      <c r="AG20" s="74"/>
      <c r="AH20" s="74"/>
      <c r="AI20" s="74"/>
      <c r="AJ20" s="74"/>
      <c r="AK20" s="70" t="s">
        <v>117</v>
      </c>
      <c r="AL20" s="71"/>
      <c r="AM20" s="71"/>
      <c r="AN20" s="71"/>
      <c r="AO20" s="71"/>
      <c r="AP20" s="71"/>
      <c r="AQ20" s="72"/>
    </row>
    <row r="21" spans="2:43" ht="15.75" thickBot="1" x14ac:dyDescent="0.3">
      <c r="B21" s="11">
        <v>2</v>
      </c>
      <c r="C21" s="17" t="s">
        <v>83</v>
      </c>
      <c r="D21" s="4">
        <v>19</v>
      </c>
      <c r="E21" s="12">
        <v>68</v>
      </c>
      <c r="F21" s="74"/>
      <c r="G21" s="74"/>
      <c r="H21" s="74"/>
      <c r="I21" s="74"/>
      <c r="J21" s="51"/>
      <c r="L21" s="9">
        <v>1</v>
      </c>
      <c r="M21" s="5">
        <v>72</v>
      </c>
      <c r="N21" s="5">
        <v>68</v>
      </c>
      <c r="O21" s="10">
        <v>75</v>
      </c>
      <c r="P21" s="74"/>
      <c r="Q21" s="35"/>
      <c r="R21" s="35"/>
      <c r="S21" s="35"/>
      <c r="T21" s="35"/>
      <c r="U21" s="35"/>
      <c r="V21" s="35"/>
      <c r="W21" s="35"/>
      <c r="X21" s="74"/>
      <c r="Y21" s="101">
        <v>72</v>
      </c>
      <c r="Z21" s="101">
        <v>68</v>
      </c>
      <c r="AA21" s="101">
        <v>75</v>
      </c>
      <c r="AB21" s="74"/>
      <c r="AC21" s="74"/>
      <c r="AD21" s="74"/>
      <c r="AE21" s="74"/>
      <c r="AF21" s="74"/>
      <c r="AG21" s="74"/>
      <c r="AH21" s="74"/>
      <c r="AI21" s="74"/>
      <c r="AJ21" s="74"/>
      <c r="AK21" s="73"/>
      <c r="AL21" s="74"/>
      <c r="AM21" s="74"/>
      <c r="AN21" s="74"/>
      <c r="AO21" s="74"/>
      <c r="AP21" s="74"/>
      <c r="AQ21" s="51"/>
    </row>
    <row r="22" spans="2:43" x14ac:dyDescent="0.25">
      <c r="B22" s="11">
        <v>3</v>
      </c>
      <c r="C22" s="17" t="s">
        <v>82</v>
      </c>
      <c r="D22" s="4">
        <v>20</v>
      </c>
      <c r="E22" s="12">
        <v>75</v>
      </c>
      <c r="F22" s="74"/>
      <c r="G22" s="89"/>
      <c r="H22" s="90">
        <v>18</v>
      </c>
      <c r="I22" s="91">
        <v>72</v>
      </c>
      <c r="J22" s="51"/>
      <c r="L22" s="11">
        <v>2</v>
      </c>
      <c r="M22" s="4">
        <v>75</v>
      </c>
      <c r="N22" s="4">
        <v>70</v>
      </c>
      <c r="O22" s="12">
        <v>77</v>
      </c>
      <c r="P22" s="74"/>
      <c r="Q22" s="35" t="s">
        <v>94</v>
      </c>
      <c r="R22" s="35"/>
      <c r="S22" s="35"/>
      <c r="T22" s="35"/>
      <c r="U22" s="35"/>
      <c r="V22" s="35"/>
      <c r="W22" s="35"/>
      <c r="X22" s="74"/>
      <c r="Y22" s="101">
        <v>75</v>
      </c>
      <c r="Z22" s="101">
        <v>70</v>
      </c>
      <c r="AA22" s="101">
        <v>77</v>
      </c>
      <c r="AB22" s="74"/>
      <c r="AC22" s="74" t="s">
        <v>94</v>
      </c>
      <c r="AD22" s="74" t="s">
        <v>63</v>
      </c>
      <c r="AE22" s="74" t="s">
        <v>92</v>
      </c>
      <c r="AF22" s="74" t="s">
        <v>107</v>
      </c>
      <c r="AG22" s="74"/>
      <c r="AH22" s="74"/>
      <c r="AI22" s="74"/>
      <c r="AJ22" s="74"/>
      <c r="AK22" s="75" t="s">
        <v>94</v>
      </c>
      <c r="AL22" s="69" t="s">
        <v>96</v>
      </c>
      <c r="AM22" s="69" t="s">
        <v>97</v>
      </c>
      <c r="AN22" s="69" t="s">
        <v>98</v>
      </c>
      <c r="AO22" s="69" t="s">
        <v>65</v>
      </c>
      <c r="AP22" s="74"/>
      <c r="AQ22" s="51"/>
    </row>
    <row r="23" spans="2:43" ht="15.75" thickBot="1" x14ac:dyDescent="0.3">
      <c r="B23" s="11">
        <v>4</v>
      </c>
      <c r="C23" s="17" t="s">
        <v>83</v>
      </c>
      <c r="D23" s="4">
        <v>18</v>
      </c>
      <c r="E23" s="12">
        <v>70</v>
      </c>
      <c r="F23" s="74"/>
      <c r="G23" s="92" t="s">
        <v>17</v>
      </c>
      <c r="H23" s="84">
        <v>19.777777777777779</v>
      </c>
      <c r="I23" s="93">
        <v>72</v>
      </c>
      <c r="J23" s="51"/>
      <c r="L23" s="11">
        <v>3</v>
      </c>
      <c r="M23" s="4">
        <v>78</v>
      </c>
      <c r="N23" s="4">
        <v>72</v>
      </c>
      <c r="O23" s="12">
        <v>80</v>
      </c>
      <c r="P23" s="74"/>
      <c r="Q23" s="83" t="s">
        <v>95</v>
      </c>
      <c r="R23" s="83" t="s">
        <v>96</v>
      </c>
      <c r="S23" s="83" t="s">
        <v>97</v>
      </c>
      <c r="T23" s="83" t="s">
        <v>98</v>
      </c>
      <c r="U23" s="83" t="s">
        <v>65</v>
      </c>
      <c r="V23" s="35"/>
      <c r="W23" s="35"/>
      <c r="X23" s="74"/>
      <c r="Y23" s="101">
        <v>78</v>
      </c>
      <c r="Z23" s="101">
        <v>72</v>
      </c>
      <c r="AA23" s="101">
        <v>80</v>
      </c>
      <c r="AB23" s="74"/>
      <c r="AC23" s="98">
        <v>72</v>
      </c>
      <c r="AD23" s="98"/>
      <c r="AE23" s="98"/>
      <c r="AF23" s="98"/>
      <c r="AG23" s="74"/>
      <c r="AH23" s="74"/>
      <c r="AI23" s="74"/>
      <c r="AJ23" s="74"/>
      <c r="AK23" s="76">
        <v>72</v>
      </c>
      <c r="AL23" s="67">
        <v>2</v>
      </c>
      <c r="AM23" s="67">
        <v>143</v>
      </c>
      <c r="AN23" s="67">
        <v>71.5</v>
      </c>
      <c r="AO23" s="67">
        <v>24.5</v>
      </c>
      <c r="AP23" s="74"/>
      <c r="AQ23" s="51"/>
    </row>
    <row r="24" spans="2:43" x14ac:dyDescent="0.25">
      <c r="B24" s="11">
        <v>5</v>
      </c>
      <c r="C24" s="17" t="s">
        <v>82</v>
      </c>
      <c r="D24" s="4">
        <v>21</v>
      </c>
      <c r="E24" s="12">
        <v>74</v>
      </c>
      <c r="F24" s="74"/>
      <c r="G24" s="92" t="s">
        <v>85</v>
      </c>
      <c r="H24" s="84">
        <v>100</v>
      </c>
      <c r="I24" s="93">
        <v>100</v>
      </c>
      <c r="J24" s="51"/>
      <c r="L24" s="11">
        <v>4</v>
      </c>
      <c r="M24" s="4">
        <v>80</v>
      </c>
      <c r="N24" s="4">
        <v>74</v>
      </c>
      <c r="O24" s="12">
        <v>82</v>
      </c>
      <c r="P24" s="74"/>
      <c r="Q24" s="84">
        <v>72</v>
      </c>
      <c r="R24" s="84">
        <v>9</v>
      </c>
      <c r="S24" s="84">
        <v>698</v>
      </c>
      <c r="T24" s="84">
        <v>77.555555555555557</v>
      </c>
      <c r="U24" s="84">
        <v>5.2777777777777786</v>
      </c>
      <c r="V24" s="35"/>
      <c r="W24" s="35"/>
      <c r="X24" s="74"/>
      <c r="Y24" s="101">
        <v>80</v>
      </c>
      <c r="Z24" s="101">
        <v>74</v>
      </c>
      <c r="AA24" s="101">
        <v>82</v>
      </c>
      <c r="AB24" s="74"/>
      <c r="AC24" s="67" t="s">
        <v>96</v>
      </c>
      <c r="AD24" s="67">
        <v>5</v>
      </c>
      <c r="AE24" s="67">
        <v>5</v>
      </c>
      <c r="AF24" s="67">
        <v>10</v>
      </c>
      <c r="AG24" s="74"/>
      <c r="AH24" s="74"/>
      <c r="AI24" s="74"/>
      <c r="AJ24" s="74"/>
      <c r="AK24" s="76">
        <v>75</v>
      </c>
      <c r="AL24" s="67">
        <v>2</v>
      </c>
      <c r="AM24" s="67">
        <v>147</v>
      </c>
      <c r="AN24" s="67">
        <v>73.5</v>
      </c>
      <c r="AO24" s="67">
        <v>24.5</v>
      </c>
      <c r="AP24" s="74"/>
      <c r="AQ24" s="51"/>
    </row>
    <row r="25" spans="2:43" x14ac:dyDescent="0.25">
      <c r="B25" s="11">
        <v>6</v>
      </c>
      <c r="C25" s="17" t="s">
        <v>83</v>
      </c>
      <c r="D25" s="4">
        <v>19</v>
      </c>
      <c r="E25" s="12">
        <v>69</v>
      </c>
      <c r="F25" s="74"/>
      <c r="G25" s="92" t="s">
        <v>66</v>
      </c>
      <c r="H25" s="84">
        <v>9</v>
      </c>
      <c r="I25" s="93">
        <v>9</v>
      </c>
      <c r="J25" s="51"/>
      <c r="L25" s="11">
        <v>5</v>
      </c>
      <c r="M25" s="4">
        <v>76</v>
      </c>
      <c r="N25" s="4">
        <v>73</v>
      </c>
      <c r="O25" s="12">
        <v>79</v>
      </c>
      <c r="P25" s="74"/>
      <c r="Q25" s="84">
        <v>68</v>
      </c>
      <c r="R25" s="84">
        <v>9</v>
      </c>
      <c r="S25" s="84">
        <v>662</v>
      </c>
      <c r="T25" s="84">
        <v>73.555555555555557</v>
      </c>
      <c r="U25" s="84">
        <v>5.2777777777777786</v>
      </c>
      <c r="V25" s="35"/>
      <c r="W25" s="35"/>
      <c r="X25" s="74"/>
      <c r="Y25" s="101">
        <v>76</v>
      </c>
      <c r="Z25" s="101">
        <v>73</v>
      </c>
      <c r="AA25" s="101">
        <v>79</v>
      </c>
      <c r="AB25" s="74"/>
      <c r="AC25" s="67" t="s">
        <v>97</v>
      </c>
      <c r="AD25" s="67">
        <v>357</v>
      </c>
      <c r="AE25" s="67">
        <v>393</v>
      </c>
      <c r="AF25" s="67">
        <v>750</v>
      </c>
      <c r="AG25" s="74"/>
      <c r="AH25" s="74"/>
      <c r="AI25" s="74"/>
      <c r="AJ25" s="74"/>
      <c r="AK25" s="76">
        <v>78</v>
      </c>
      <c r="AL25" s="67">
        <v>2</v>
      </c>
      <c r="AM25" s="67">
        <v>152</v>
      </c>
      <c r="AN25" s="67">
        <v>76</v>
      </c>
      <c r="AO25" s="67">
        <v>32</v>
      </c>
      <c r="AP25" s="74"/>
      <c r="AQ25" s="51"/>
    </row>
    <row r="26" spans="2:43" x14ac:dyDescent="0.25">
      <c r="B26" s="11">
        <v>7</v>
      </c>
      <c r="C26" s="17" t="s">
        <v>82</v>
      </c>
      <c r="D26" s="4">
        <v>20</v>
      </c>
      <c r="E26" s="12">
        <v>71</v>
      </c>
      <c r="F26" s="74"/>
      <c r="G26" s="92" t="s">
        <v>67</v>
      </c>
      <c r="H26" s="84">
        <v>0</v>
      </c>
      <c r="I26" s="93"/>
      <c r="J26" s="51"/>
      <c r="L26" s="11">
        <v>6</v>
      </c>
      <c r="M26" s="4">
        <v>74</v>
      </c>
      <c r="N26" s="4">
        <v>71</v>
      </c>
      <c r="O26" s="12">
        <v>78</v>
      </c>
      <c r="P26" s="74"/>
      <c r="Q26" s="84">
        <v>75</v>
      </c>
      <c r="R26" s="84">
        <v>9</v>
      </c>
      <c r="S26" s="84">
        <v>723</v>
      </c>
      <c r="T26" s="84">
        <v>80.333333333333329</v>
      </c>
      <c r="U26" s="84">
        <v>4.7499999999999991</v>
      </c>
      <c r="V26" s="35"/>
      <c r="W26" s="35"/>
      <c r="X26" s="74"/>
      <c r="Y26" s="101">
        <v>74</v>
      </c>
      <c r="Z26" s="101">
        <v>71</v>
      </c>
      <c r="AA26" s="101">
        <v>78</v>
      </c>
      <c r="AB26" s="74"/>
      <c r="AC26" s="67" t="s">
        <v>98</v>
      </c>
      <c r="AD26" s="67">
        <v>71.400000000000006</v>
      </c>
      <c r="AE26" s="67">
        <v>78.599999999999994</v>
      </c>
      <c r="AF26" s="67">
        <v>75</v>
      </c>
      <c r="AG26" s="74"/>
      <c r="AH26" s="74"/>
      <c r="AI26" s="74"/>
      <c r="AJ26" s="74"/>
      <c r="AK26" s="76">
        <v>80</v>
      </c>
      <c r="AL26" s="67">
        <v>2</v>
      </c>
      <c r="AM26" s="67">
        <v>156</v>
      </c>
      <c r="AN26" s="67">
        <v>78</v>
      </c>
      <c r="AO26" s="67">
        <v>32</v>
      </c>
      <c r="AP26" s="74"/>
      <c r="AQ26" s="51"/>
    </row>
    <row r="27" spans="2:43" x14ac:dyDescent="0.25">
      <c r="B27" s="11">
        <v>8</v>
      </c>
      <c r="C27" s="17" t="s">
        <v>83</v>
      </c>
      <c r="D27" s="4">
        <v>22</v>
      </c>
      <c r="E27" s="12">
        <v>73</v>
      </c>
      <c r="F27" s="74"/>
      <c r="G27" s="92" t="s">
        <v>86</v>
      </c>
      <c r="H27" s="84">
        <v>-11.078006238589245</v>
      </c>
      <c r="I27" s="93"/>
      <c r="J27" s="51"/>
      <c r="L27" s="11">
        <v>7</v>
      </c>
      <c r="M27" s="4">
        <v>79</v>
      </c>
      <c r="N27" s="4">
        <v>75</v>
      </c>
      <c r="O27" s="12">
        <v>81</v>
      </c>
      <c r="P27" s="74"/>
      <c r="Q27" s="35"/>
      <c r="R27" s="35"/>
      <c r="S27" s="35"/>
      <c r="T27" s="35"/>
      <c r="U27" s="35"/>
      <c r="V27" s="35"/>
      <c r="W27" s="35"/>
      <c r="X27" s="74"/>
      <c r="Y27" s="101">
        <v>79</v>
      </c>
      <c r="Z27" s="101">
        <v>75</v>
      </c>
      <c r="AA27" s="101">
        <v>81</v>
      </c>
      <c r="AB27" s="74"/>
      <c r="AC27" s="67" t="s">
        <v>65</v>
      </c>
      <c r="AD27" s="67">
        <v>5.7999999999999989</v>
      </c>
      <c r="AE27" s="67">
        <v>7.2999999999999989</v>
      </c>
      <c r="AF27" s="67">
        <v>20.222222222222221</v>
      </c>
      <c r="AG27" s="74"/>
      <c r="AH27" s="74"/>
      <c r="AI27" s="74"/>
      <c r="AJ27" s="74"/>
      <c r="AK27" s="76">
        <v>76</v>
      </c>
      <c r="AL27" s="67">
        <v>2</v>
      </c>
      <c r="AM27" s="67">
        <v>152</v>
      </c>
      <c r="AN27" s="67">
        <v>76</v>
      </c>
      <c r="AO27" s="67">
        <v>18</v>
      </c>
      <c r="AP27" s="74"/>
      <c r="AQ27" s="51"/>
    </row>
    <row r="28" spans="2:43" x14ac:dyDescent="0.25">
      <c r="B28" s="11">
        <v>9</v>
      </c>
      <c r="C28" s="17" t="s">
        <v>82</v>
      </c>
      <c r="D28" s="4">
        <v>18</v>
      </c>
      <c r="E28" s="12">
        <v>76</v>
      </c>
      <c r="F28" s="74"/>
      <c r="G28" s="92" t="s">
        <v>87</v>
      </c>
      <c r="H28" s="84">
        <v>0</v>
      </c>
      <c r="I28" s="93"/>
      <c r="J28" s="51"/>
      <c r="L28" s="11">
        <v>8</v>
      </c>
      <c r="M28" s="4">
        <v>81</v>
      </c>
      <c r="N28" s="4">
        <v>77</v>
      </c>
      <c r="O28" s="12">
        <v>84</v>
      </c>
      <c r="P28" s="74"/>
      <c r="Q28" s="35"/>
      <c r="R28" s="35"/>
      <c r="S28" s="35"/>
      <c r="T28" s="35"/>
      <c r="U28" s="35"/>
      <c r="V28" s="35"/>
      <c r="W28" s="35"/>
      <c r="X28" s="74"/>
      <c r="Y28" s="101">
        <v>81</v>
      </c>
      <c r="Z28" s="101">
        <v>77</v>
      </c>
      <c r="AA28" s="101">
        <v>84</v>
      </c>
      <c r="AB28" s="74"/>
      <c r="AC28" s="67"/>
      <c r="AD28" s="67"/>
      <c r="AE28" s="67"/>
      <c r="AF28" s="67"/>
      <c r="AG28" s="74"/>
      <c r="AH28" s="74"/>
      <c r="AI28" s="74"/>
      <c r="AJ28" s="74"/>
      <c r="AK28" s="76">
        <v>74</v>
      </c>
      <c r="AL28" s="67">
        <v>2</v>
      </c>
      <c r="AM28" s="67">
        <v>149</v>
      </c>
      <c r="AN28" s="67">
        <v>74.5</v>
      </c>
      <c r="AO28" s="67">
        <v>24.5</v>
      </c>
      <c r="AP28" s="74"/>
      <c r="AQ28" s="51"/>
    </row>
    <row r="29" spans="2:43" ht="15.75" thickBot="1" x14ac:dyDescent="0.3">
      <c r="B29" s="13">
        <v>10</v>
      </c>
      <c r="C29" s="30" t="s">
        <v>83</v>
      </c>
      <c r="D29" s="14">
        <v>21</v>
      </c>
      <c r="E29" s="15">
        <v>72</v>
      </c>
      <c r="F29" s="74"/>
      <c r="G29" s="92" t="s">
        <v>88</v>
      </c>
      <c r="H29" s="84">
        <v>1.6448536269514715</v>
      </c>
      <c r="I29" s="93"/>
      <c r="J29" s="51"/>
      <c r="L29" s="11">
        <v>9</v>
      </c>
      <c r="M29" s="4">
        <v>77</v>
      </c>
      <c r="N29" s="4">
        <v>74</v>
      </c>
      <c r="O29" s="12">
        <v>80</v>
      </c>
      <c r="P29" s="74"/>
      <c r="Q29" s="35" t="s">
        <v>99</v>
      </c>
      <c r="R29" s="35"/>
      <c r="S29" s="35"/>
      <c r="T29" s="35"/>
      <c r="U29" s="35"/>
      <c r="V29" s="35"/>
      <c r="W29" s="35"/>
      <c r="X29" s="74"/>
      <c r="Y29" s="101">
        <v>77</v>
      </c>
      <c r="Z29" s="101">
        <v>74</v>
      </c>
      <c r="AA29" s="101">
        <v>80</v>
      </c>
      <c r="AB29" s="74"/>
      <c r="AC29" s="98">
        <v>74</v>
      </c>
      <c r="AD29" s="98"/>
      <c r="AE29" s="98"/>
      <c r="AF29" s="98"/>
      <c r="AG29" s="74"/>
      <c r="AH29" s="74"/>
      <c r="AI29" s="74"/>
      <c r="AJ29" s="74"/>
      <c r="AK29" s="76">
        <v>79</v>
      </c>
      <c r="AL29" s="67">
        <v>2</v>
      </c>
      <c r="AM29" s="67">
        <v>156</v>
      </c>
      <c r="AN29" s="67">
        <v>78</v>
      </c>
      <c r="AO29" s="67">
        <v>18</v>
      </c>
      <c r="AP29" s="74"/>
      <c r="AQ29" s="51"/>
    </row>
    <row r="30" spans="2:43" ht="15.75" thickBot="1" x14ac:dyDescent="0.3">
      <c r="B30" s="73"/>
      <c r="C30" s="74"/>
      <c r="D30" s="74"/>
      <c r="E30" s="74"/>
      <c r="F30" s="74"/>
      <c r="G30" s="92" t="s">
        <v>89</v>
      </c>
      <c r="H30" s="84">
        <v>0</v>
      </c>
      <c r="I30" s="93"/>
      <c r="J30" s="51"/>
      <c r="L30" s="13">
        <v>10</v>
      </c>
      <c r="M30" s="14">
        <v>78</v>
      </c>
      <c r="N30" s="14">
        <v>76</v>
      </c>
      <c r="O30" s="15">
        <v>82</v>
      </c>
      <c r="P30" s="74"/>
      <c r="Q30" s="83" t="s">
        <v>100</v>
      </c>
      <c r="R30" s="83" t="s">
        <v>101</v>
      </c>
      <c r="S30" s="83" t="s">
        <v>68</v>
      </c>
      <c r="T30" s="83" t="s">
        <v>102</v>
      </c>
      <c r="U30" s="83" t="s">
        <v>83</v>
      </c>
      <c r="V30" s="83" t="s">
        <v>103</v>
      </c>
      <c r="W30" s="83" t="s">
        <v>104</v>
      </c>
      <c r="X30" s="74"/>
      <c r="Y30" s="101">
        <v>78</v>
      </c>
      <c r="Z30" s="101">
        <v>76</v>
      </c>
      <c r="AA30" s="101">
        <v>82</v>
      </c>
      <c r="AB30" s="74"/>
      <c r="AC30" s="67" t="s">
        <v>96</v>
      </c>
      <c r="AD30" s="67">
        <v>5</v>
      </c>
      <c r="AE30" s="67">
        <v>5</v>
      </c>
      <c r="AF30" s="67">
        <v>10</v>
      </c>
      <c r="AG30" s="74"/>
      <c r="AH30" s="74"/>
      <c r="AI30" s="74"/>
      <c r="AJ30" s="74"/>
      <c r="AK30" s="76">
        <v>81</v>
      </c>
      <c r="AL30" s="67">
        <v>2</v>
      </c>
      <c r="AM30" s="67">
        <v>161</v>
      </c>
      <c r="AN30" s="67">
        <v>80.5</v>
      </c>
      <c r="AO30" s="67">
        <v>24.5</v>
      </c>
      <c r="AP30" s="74"/>
      <c r="AQ30" s="51"/>
    </row>
    <row r="31" spans="2:43" ht="15.75" thickBot="1" x14ac:dyDescent="0.3">
      <c r="B31" s="73"/>
      <c r="C31" s="74"/>
      <c r="D31" s="74"/>
      <c r="E31" s="74"/>
      <c r="F31" s="74"/>
      <c r="G31" s="94" t="s">
        <v>90</v>
      </c>
      <c r="H31" s="95">
        <v>1.9599639845400536</v>
      </c>
      <c r="I31" s="96"/>
      <c r="J31" s="51"/>
      <c r="L31" s="73"/>
      <c r="M31" s="74"/>
      <c r="N31" s="74"/>
      <c r="O31" s="74"/>
      <c r="P31" s="74"/>
      <c r="Q31" s="84" t="s">
        <v>105</v>
      </c>
      <c r="R31" s="84">
        <v>208.96296296296282</v>
      </c>
      <c r="S31" s="84">
        <v>2</v>
      </c>
      <c r="T31" s="84">
        <v>104.48148148148141</v>
      </c>
      <c r="U31" s="84">
        <v>20.479128856624303</v>
      </c>
      <c r="V31" s="84">
        <v>6.470271219692067E-6</v>
      </c>
      <c r="W31" s="84">
        <v>3.4028261053501945</v>
      </c>
      <c r="X31" s="74"/>
      <c r="Y31" s="74"/>
      <c r="Z31" s="74"/>
      <c r="AA31" s="74"/>
      <c r="AB31" s="74"/>
      <c r="AC31" s="67" t="s">
        <v>97</v>
      </c>
      <c r="AD31" s="67">
        <v>373</v>
      </c>
      <c r="AE31" s="67">
        <v>405</v>
      </c>
      <c r="AF31" s="67">
        <v>778</v>
      </c>
      <c r="AG31" s="74"/>
      <c r="AH31" s="74"/>
      <c r="AI31" s="74"/>
      <c r="AJ31" s="74"/>
      <c r="AK31" s="76">
        <v>77</v>
      </c>
      <c r="AL31" s="67">
        <v>2</v>
      </c>
      <c r="AM31" s="67">
        <v>154</v>
      </c>
      <c r="AN31" s="67">
        <v>77</v>
      </c>
      <c r="AO31" s="67">
        <v>18</v>
      </c>
      <c r="AP31" s="74"/>
      <c r="AQ31" s="51"/>
    </row>
    <row r="32" spans="2:43" ht="15.75" thickBot="1" x14ac:dyDescent="0.3">
      <c r="B32" s="97"/>
      <c r="C32" s="78"/>
      <c r="D32" s="78"/>
      <c r="E32" s="78"/>
      <c r="F32" s="78"/>
      <c r="G32" s="78"/>
      <c r="H32" s="78"/>
      <c r="I32" s="78"/>
      <c r="J32" s="54"/>
      <c r="L32" s="73"/>
      <c r="M32" s="74"/>
      <c r="N32" s="74"/>
      <c r="O32" s="74"/>
      <c r="P32" s="74"/>
      <c r="Q32" s="84" t="s">
        <v>106</v>
      </c>
      <c r="R32" s="84">
        <v>122.44444444444446</v>
      </c>
      <c r="S32" s="84">
        <v>24</v>
      </c>
      <c r="T32" s="84">
        <v>5.1018518518518521</v>
      </c>
      <c r="U32" s="84"/>
      <c r="V32" s="84"/>
      <c r="W32" s="84"/>
      <c r="X32" s="74"/>
      <c r="Y32" s="74"/>
      <c r="Z32" s="74"/>
      <c r="AA32" s="74"/>
      <c r="AB32" s="74"/>
      <c r="AC32" s="67" t="s">
        <v>98</v>
      </c>
      <c r="AD32" s="67">
        <v>74.599999999999994</v>
      </c>
      <c r="AE32" s="67">
        <v>81</v>
      </c>
      <c r="AF32" s="67">
        <v>77.8</v>
      </c>
      <c r="AG32" s="74"/>
      <c r="AH32" s="74"/>
      <c r="AI32" s="74"/>
      <c r="AJ32" s="74"/>
      <c r="AK32" s="76">
        <v>78</v>
      </c>
      <c r="AL32" s="67">
        <v>2</v>
      </c>
      <c r="AM32" s="67">
        <v>158</v>
      </c>
      <c r="AN32" s="67">
        <v>79</v>
      </c>
      <c r="AO32" s="67">
        <v>18</v>
      </c>
      <c r="AP32" s="74"/>
      <c r="AQ32" s="51"/>
    </row>
    <row r="33" spans="2:43" x14ac:dyDescent="0.25">
      <c r="L33" s="73"/>
      <c r="M33" s="74"/>
      <c r="N33" s="74"/>
      <c r="O33" s="74"/>
      <c r="P33" s="74"/>
      <c r="Q33" s="84"/>
      <c r="R33" s="84"/>
      <c r="S33" s="84"/>
      <c r="T33" s="84"/>
      <c r="U33" s="84"/>
      <c r="V33" s="84"/>
      <c r="W33" s="84"/>
      <c r="X33" s="74"/>
      <c r="Y33" s="74"/>
      <c r="Z33" s="74"/>
      <c r="AA33" s="74"/>
      <c r="AB33" s="74"/>
      <c r="AC33" s="67" t="s">
        <v>65</v>
      </c>
      <c r="AD33" s="67">
        <v>5.2999999999999989</v>
      </c>
      <c r="AE33" s="67">
        <v>5</v>
      </c>
      <c r="AF33" s="67">
        <v>15.955555555555557</v>
      </c>
      <c r="AG33" s="74"/>
      <c r="AH33" s="74"/>
      <c r="AI33" s="74"/>
      <c r="AJ33" s="74"/>
      <c r="AK33" s="76"/>
      <c r="AL33" s="67"/>
      <c r="AM33" s="67"/>
      <c r="AN33" s="67"/>
      <c r="AO33" s="67"/>
      <c r="AP33" s="74"/>
      <c r="AQ33" s="51"/>
    </row>
    <row r="34" spans="2:43" x14ac:dyDescent="0.25">
      <c r="L34" s="73"/>
      <c r="M34" s="74"/>
      <c r="N34" s="74"/>
      <c r="O34" s="74"/>
      <c r="P34" s="74"/>
      <c r="Q34" s="84" t="s">
        <v>107</v>
      </c>
      <c r="R34" s="84">
        <v>331.40740740740728</v>
      </c>
      <c r="S34" s="84">
        <v>26</v>
      </c>
      <c r="T34" s="84"/>
      <c r="U34" s="84"/>
      <c r="V34" s="84"/>
      <c r="W34" s="84"/>
      <c r="X34" s="74"/>
      <c r="Y34" s="74"/>
      <c r="Z34" s="74"/>
      <c r="AA34" s="74"/>
      <c r="AB34" s="74"/>
      <c r="AC34" s="67"/>
      <c r="AD34" s="67"/>
      <c r="AE34" s="67"/>
      <c r="AF34" s="67"/>
      <c r="AG34" s="74"/>
      <c r="AH34" s="74"/>
      <c r="AI34" s="74"/>
      <c r="AJ34" s="74"/>
      <c r="AK34" s="76" t="s">
        <v>63</v>
      </c>
      <c r="AL34" s="67">
        <v>10</v>
      </c>
      <c r="AM34" s="67">
        <v>730</v>
      </c>
      <c r="AN34" s="67">
        <v>73</v>
      </c>
      <c r="AO34" s="67">
        <v>7.7777777777777777</v>
      </c>
      <c r="AP34" s="74"/>
      <c r="AQ34" s="51"/>
    </row>
    <row r="35" spans="2:43" ht="15.75" thickBot="1" x14ac:dyDescent="0.3">
      <c r="L35" s="73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98" t="s">
        <v>107</v>
      </c>
      <c r="AD35" s="98"/>
      <c r="AE35" s="98"/>
      <c r="AF35" s="98"/>
      <c r="AG35" s="74"/>
      <c r="AH35" s="74"/>
      <c r="AI35" s="74"/>
      <c r="AJ35" s="74"/>
      <c r="AK35" s="77" t="s">
        <v>92</v>
      </c>
      <c r="AL35" s="68">
        <v>10</v>
      </c>
      <c r="AM35" s="68">
        <v>798</v>
      </c>
      <c r="AN35" s="68">
        <v>79.8</v>
      </c>
      <c r="AO35" s="68">
        <v>7.0666666666666664</v>
      </c>
      <c r="AP35" s="74"/>
      <c r="AQ35" s="51"/>
    </row>
    <row r="36" spans="2:43" ht="15.75" thickBot="1" x14ac:dyDescent="0.3">
      <c r="L36" s="73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67" t="s">
        <v>96</v>
      </c>
      <c r="AD36" s="67">
        <v>10</v>
      </c>
      <c r="AE36" s="67">
        <v>10</v>
      </c>
      <c r="AF36" s="67"/>
      <c r="AG36" s="74"/>
      <c r="AH36" s="74"/>
      <c r="AI36" s="74"/>
      <c r="AJ36" s="74"/>
      <c r="AK36" s="73"/>
      <c r="AL36" s="74"/>
      <c r="AM36" s="74"/>
      <c r="AN36" s="74"/>
      <c r="AO36" s="74"/>
      <c r="AP36" s="74"/>
      <c r="AQ36" s="51"/>
    </row>
    <row r="37" spans="2:43" ht="15.75" thickBot="1" x14ac:dyDescent="0.3">
      <c r="B37" s="40" t="s">
        <v>109</v>
      </c>
      <c r="C37" s="34"/>
      <c r="D37" s="71"/>
      <c r="E37" s="71"/>
      <c r="F37" s="71"/>
      <c r="G37" s="71"/>
      <c r="H37" s="72"/>
      <c r="L37" s="102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67" t="s">
        <v>97</v>
      </c>
      <c r="AD37" s="67">
        <v>730</v>
      </c>
      <c r="AE37" s="67">
        <v>798</v>
      </c>
      <c r="AF37" s="67"/>
      <c r="AG37" s="74"/>
      <c r="AH37" s="74"/>
      <c r="AI37" s="74"/>
      <c r="AJ37" s="74"/>
      <c r="AK37" s="73"/>
      <c r="AL37" s="74"/>
      <c r="AM37" s="74"/>
      <c r="AN37" s="74"/>
      <c r="AO37" s="74"/>
      <c r="AP37" s="74"/>
      <c r="AQ37" s="51"/>
    </row>
    <row r="38" spans="2:43" ht="15.75" thickBot="1" x14ac:dyDescent="0.3">
      <c r="B38" s="73"/>
      <c r="C38" s="74"/>
      <c r="D38" s="74"/>
      <c r="E38" s="74"/>
      <c r="F38" s="74"/>
      <c r="G38" s="74"/>
      <c r="H38" s="51"/>
      <c r="L38" s="73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67" t="s">
        <v>98</v>
      </c>
      <c r="AD38" s="67">
        <v>73</v>
      </c>
      <c r="AE38" s="67">
        <v>79.8</v>
      </c>
      <c r="AF38" s="67"/>
      <c r="AG38" s="74"/>
      <c r="AH38" s="74"/>
      <c r="AI38" s="74"/>
      <c r="AJ38" s="74"/>
      <c r="AK38" s="73" t="s">
        <v>99</v>
      </c>
      <c r="AL38" s="74"/>
      <c r="AM38" s="74"/>
      <c r="AN38" s="74"/>
      <c r="AO38" s="74"/>
      <c r="AP38" s="74"/>
      <c r="AQ38" s="51"/>
    </row>
    <row r="39" spans="2:43" ht="45.75" thickBot="1" x14ac:dyDescent="0.3">
      <c r="B39" s="6" t="s">
        <v>4</v>
      </c>
      <c r="C39" s="7" t="s">
        <v>24</v>
      </c>
      <c r="D39" s="8" t="s">
        <v>25</v>
      </c>
      <c r="E39" s="74"/>
      <c r="F39" s="74"/>
      <c r="G39" s="74"/>
      <c r="H39" s="51"/>
      <c r="L39" s="103"/>
      <c r="M39" s="104"/>
      <c r="N39" s="10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67" t="s">
        <v>65</v>
      </c>
      <c r="AD39" s="67">
        <v>7.7777777777777777</v>
      </c>
      <c r="AE39" s="67">
        <v>7.0666666666666664</v>
      </c>
      <c r="AF39" s="67"/>
      <c r="AG39" s="74"/>
      <c r="AH39" s="74"/>
      <c r="AI39" s="74"/>
      <c r="AJ39" s="74"/>
      <c r="AK39" s="75" t="s">
        <v>100</v>
      </c>
      <c r="AL39" s="69" t="s">
        <v>101</v>
      </c>
      <c r="AM39" s="69" t="s">
        <v>68</v>
      </c>
      <c r="AN39" s="69" t="s">
        <v>102</v>
      </c>
      <c r="AO39" s="69" t="s">
        <v>83</v>
      </c>
      <c r="AP39" s="69" t="s">
        <v>103</v>
      </c>
      <c r="AQ39" s="80" t="s">
        <v>104</v>
      </c>
    </row>
    <row r="40" spans="2:43" x14ac:dyDescent="0.25">
      <c r="B40" s="9">
        <v>1</v>
      </c>
      <c r="C40" s="5">
        <v>2</v>
      </c>
      <c r="D40" s="10">
        <v>45</v>
      </c>
      <c r="E40" s="74"/>
      <c r="F40" s="83"/>
      <c r="G40" s="83" t="s">
        <v>110</v>
      </c>
      <c r="H40" s="105" t="s">
        <v>111</v>
      </c>
      <c r="L40" s="49"/>
      <c r="M40" s="50"/>
      <c r="N40" s="50"/>
      <c r="O40" s="74"/>
      <c r="P40" s="99"/>
      <c r="Q40" s="99"/>
      <c r="R40" s="99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67"/>
      <c r="AD40" s="67"/>
      <c r="AE40" s="67"/>
      <c r="AF40" s="67"/>
      <c r="AG40" s="74"/>
      <c r="AH40" s="74"/>
      <c r="AI40" s="74"/>
      <c r="AJ40" s="74"/>
      <c r="AK40" s="76" t="s">
        <v>118</v>
      </c>
      <c r="AL40" s="67">
        <v>130.80000000000007</v>
      </c>
      <c r="AM40" s="67">
        <v>9</v>
      </c>
      <c r="AN40" s="67">
        <v>14.53333333333334</v>
      </c>
      <c r="AO40" s="67">
        <v>46.714285714286497</v>
      </c>
      <c r="AP40" s="67">
        <v>1.7411274763287736E-6</v>
      </c>
      <c r="AQ40" s="81">
        <v>3.17889310445827</v>
      </c>
    </row>
    <row r="41" spans="2:43" x14ac:dyDescent="0.25">
      <c r="B41" s="11">
        <v>2</v>
      </c>
      <c r="C41" s="4">
        <v>3</v>
      </c>
      <c r="D41" s="12">
        <v>48</v>
      </c>
      <c r="E41" s="74"/>
      <c r="F41" s="84" t="s">
        <v>110</v>
      </c>
      <c r="G41" s="84">
        <v>1</v>
      </c>
      <c r="H41" s="93"/>
      <c r="L41" s="49"/>
      <c r="M41" s="50"/>
      <c r="N41" s="50"/>
      <c r="O41" s="74"/>
      <c r="P41" s="67"/>
      <c r="Q41" s="67"/>
      <c r="R41" s="67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6" t="s">
        <v>114</v>
      </c>
      <c r="AL41" s="67">
        <v>231.20000000000007</v>
      </c>
      <c r="AM41" s="67">
        <v>1</v>
      </c>
      <c r="AN41" s="67">
        <v>231.20000000000007</v>
      </c>
      <c r="AO41" s="67">
        <v>743.14285714286939</v>
      </c>
      <c r="AP41" s="67">
        <v>5.8298349153928161E-10</v>
      </c>
      <c r="AQ41" s="81">
        <v>5.1173550291992269</v>
      </c>
    </row>
    <row r="42" spans="2:43" ht="15.75" thickBot="1" x14ac:dyDescent="0.3">
      <c r="B42" s="11">
        <v>3</v>
      </c>
      <c r="C42" s="4">
        <v>4</v>
      </c>
      <c r="D42" s="12">
        <v>52</v>
      </c>
      <c r="E42" s="74"/>
      <c r="F42" s="84" t="s">
        <v>111</v>
      </c>
      <c r="G42" s="84">
        <v>0.99906011429614894</v>
      </c>
      <c r="H42" s="93">
        <v>1</v>
      </c>
      <c r="L42" s="49"/>
      <c r="M42" s="50"/>
      <c r="N42" s="50"/>
      <c r="O42" s="74"/>
      <c r="P42" s="67"/>
      <c r="Q42" s="67"/>
      <c r="R42" s="67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 t="s">
        <v>99</v>
      </c>
      <c r="AD42" s="74"/>
      <c r="AE42" s="74"/>
      <c r="AF42" s="74"/>
      <c r="AG42" s="74"/>
      <c r="AH42" s="74"/>
      <c r="AI42" s="74"/>
      <c r="AJ42" s="74"/>
      <c r="AK42" s="76" t="s">
        <v>119</v>
      </c>
      <c r="AL42" s="67">
        <v>2.7999999999999545</v>
      </c>
      <c r="AM42" s="67">
        <v>9</v>
      </c>
      <c r="AN42" s="67">
        <v>0.31111111111110606</v>
      </c>
      <c r="AO42" s="67"/>
      <c r="AP42" s="67"/>
      <c r="AQ42" s="81"/>
    </row>
    <row r="43" spans="2:43" x14ac:dyDescent="0.25">
      <c r="B43" s="11">
        <v>4</v>
      </c>
      <c r="C43" s="4">
        <v>5</v>
      </c>
      <c r="D43" s="12">
        <v>55</v>
      </c>
      <c r="E43" s="74"/>
      <c r="F43" s="74"/>
      <c r="G43" s="74"/>
      <c r="H43" s="51"/>
      <c r="L43" s="49"/>
      <c r="M43" s="50"/>
      <c r="N43" s="50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69" t="s">
        <v>100</v>
      </c>
      <c r="AD43" s="69" t="s">
        <v>101</v>
      </c>
      <c r="AE43" s="69" t="s">
        <v>68</v>
      </c>
      <c r="AF43" s="69" t="s">
        <v>102</v>
      </c>
      <c r="AG43" s="69" t="s">
        <v>83</v>
      </c>
      <c r="AH43" s="69" t="s">
        <v>103</v>
      </c>
      <c r="AI43" s="69" t="s">
        <v>104</v>
      </c>
      <c r="AJ43" s="74"/>
      <c r="AK43" s="76"/>
      <c r="AL43" s="67"/>
      <c r="AM43" s="67"/>
      <c r="AN43" s="67"/>
      <c r="AO43" s="67"/>
      <c r="AP43" s="67"/>
      <c r="AQ43" s="81"/>
    </row>
    <row r="44" spans="2:43" ht="15.75" thickBot="1" x14ac:dyDescent="0.3">
      <c r="B44" s="11">
        <v>5</v>
      </c>
      <c r="C44" s="4">
        <v>6</v>
      </c>
      <c r="D44" s="12">
        <v>60</v>
      </c>
      <c r="E44" s="74"/>
      <c r="F44" s="74"/>
      <c r="G44" s="74"/>
      <c r="H44" s="51"/>
      <c r="L44" s="49"/>
      <c r="M44" s="50"/>
      <c r="N44" s="50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67" t="s">
        <v>113</v>
      </c>
      <c r="AD44" s="67">
        <v>39.200000000000045</v>
      </c>
      <c r="AE44" s="67">
        <v>1</v>
      </c>
      <c r="AF44" s="67">
        <v>39.200000000000045</v>
      </c>
      <c r="AG44" s="67">
        <v>6.700854700854709</v>
      </c>
      <c r="AH44" s="67">
        <v>1.9793599229549642E-2</v>
      </c>
      <c r="AI44" s="67">
        <v>4.4939984776663584</v>
      </c>
      <c r="AJ44" s="74"/>
      <c r="AK44" s="77" t="s">
        <v>107</v>
      </c>
      <c r="AL44" s="68">
        <v>364.80000000000007</v>
      </c>
      <c r="AM44" s="68">
        <v>19</v>
      </c>
      <c r="AN44" s="68"/>
      <c r="AO44" s="68"/>
      <c r="AP44" s="68"/>
      <c r="AQ44" s="82"/>
    </row>
    <row r="45" spans="2:43" x14ac:dyDescent="0.25">
      <c r="B45" s="11">
        <v>6</v>
      </c>
      <c r="C45" s="4">
        <v>7</v>
      </c>
      <c r="D45" s="12">
        <v>64</v>
      </c>
      <c r="E45" s="74"/>
      <c r="F45" s="74"/>
      <c r="G45" s="74"/>
      <c r="H45" s="51"/>
      <c r="L45" s="49"/>
      <c r="M45" s="50"/>
      <c r="N45" s="50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67" t="s">
        <v>114</v>
      </c>
      <c r="AD45" s="67">
        <v>231.20000000000007</v>
      </c>
      <c r="AE45" s="67">
        <v>1</v>
      </c>
      <c r="AF45" s="67">
        <v>231.20000000000007</v>
      </c>
      <c r="AG45" s="67">
        <v>39.521367521367537</v>
      </c>
      <c r="AH45" s="67">
        <v>1.0835984338019711E-5</v>
      </c>
      <c r="AI45" s="67">
        <v>4.4939984776663584</v>
      </c>
      <c r="AJ45" s="74"/>
      <c r="AK45" s="74"/>
      <c r="AL45" s="74"/>
      <c r="AM45" s="74"/>
      <c r="AN45" s="74"/>
      <c r="AO45" s="74"/>
      <c r="AP45" s="74"/>
      <c r="AQ45" s="51"/>
    </row>
    <row r="46" spans="2:43" x14ac:dyDescent="0.25">
      <c r="B46" s="11">
        <v>7</v>
      </c>
      <c r="C46" s="4">
        <v>8</v>
      </c>
      <c r="D46" s="12">
        <v>68</v>
      </c>
      <c r="E46" s="74"/>
      <c r="F46" s="74"/>
      <c r="G46" s="74"/>
      <c r="H46" s="51"/>
      <c r="L46" s="49"/>
      <c r="M46" s="50"/>
      <c r="N46" s="50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67" t="s">
        <v>115</v>
      </c>
      <c r="AD46" s="67">
        <v>0.79999999999995453</v>
      </c>
      <c r="AE46" s="67">
        <v>1</v>
      </c>
      <c r="AF46" s="67">
        <v>0.79999999999995453</v>
      </c>
      <c r="AG46" s="67">
        <v>0.13675213675212899</v>
      </c>
      <c r="AH46" s="67">
        <v>0.71638049769373824</v>
      </c>
      <c r="AI46" s="67">
        <v>4.4939984776663584</v>
      </c>
      <c r="AJ46" s="74"/>
      <c r="AK46" s="74"/>
      <c r="AL46" s="74"/>
      <c r="AM46" s="74"/>
      <c r="AN46" s="74"/>
      <c r="AO46" s="74"/>
      <c r="AP46" s="74"/>
      <c r="AQ46" s="51"/>
    </row>
    <row r="47" spans="2:43" x14ac:dyDescent="0.25">
      <c r="B47" s="11">
        <v>8</v>
      </c>
      <c r="C47" s="4">
        <v>9</v>
      </c>
      <c r="D47" s="12">
        <v>72</v>
      </c>
      <c r="E47" s="74"/>
      <c r="F47" s="74"/>
      <c r="G47" s="74"/>
      <c r="H47" s="51"/>
      <c r="L47" s="49"/>
      <c r="M47" s="50"/>
      <c r="N47" s="50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67" t="s">
        <v>116</v>
      </c>
      <c r="AD47" s="67">
        <v>93.6</v>
      </c>
      <c r="AE47" s="67">
        <v>16</v>
      </c>
      <c r="AF47" s="67">
        <v>5.85</v>
      </c>
      <c r="AG47" s="67"/>
      <c r="AH47" s="67"/>
      <c r="AI47" s="67"/>
      <c r="AJ47" s="74"/>
      <c r="AK47" s="74"/>
      <c r="AL47" s="74"/>
      <c r="AM47" s="74"/>
      <c r="AN47" s="74"/>
      <c r="AO47" s="74"/>
      <c r="AP47" s="74"/>
      <c r="AQ47" s="51"/>
    </row>
    <row r="48" spans="2:43" x14ac:dyDescent="0.25">
      <c r="B48" s="11">
        <v>9</v>
      </c>
      <c r="C48" s="4">
        <v>10</v>
      </c>
      <c r="D48" s="12">
        <v>75</v>
      </c>
      <c r="E48" s="74"/>
      <c r="F48" s="74"/>
      <c r="G48" s="74"/>
      <c r="H48" s="51"/>
      <c r="L48" s="49"/>
      <c r="M48" s="50"/>
      <c r="N48" s="50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67"/>
      <c r="AD48" s="67"/>
      <c r="AE48" s="67"/>
      <c r="AF48" s="67"/>
      <c r="AG48" s="67"/>
      <c r="AH48" s="67"/>
      <c r="AI48" s="67"/>
      <c r="AJ48" s="74"/>
      <c r="AK48" s="74"/>
      <c r="AL48" s="74"/>
      <c r="AM48" s="74"/>
      <c r="AN48" s="74"/>
      <c r="AO48" s="74"/>
      <c r="AP48" s="74"/>
      <c r="AQ48" s="51"/>
    </row>
    <row r="49" spans="2:43" ht="15.75" thickBot="1" x14ac:dyDescent="0.3">
      <c r="B49" s="13">
        <v>10</v>
      </c>
      <c r="C49" s="14">
        <v>11</v>
      </c>
      <c r="D49" s="15">
        <v>80</v>
      </c>
      <c r="E49" s="78"/>
      <c r="F49" s="78"/>
      <c r="G49" s="78"/>
      <c r="H49" s="54"/>
      <c r="L49" s="52"/>
      <c r="M49" s="53"/>
      <c r="N49" s="53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68" t="s">
        <v>107</v>
      </c>
      <c r="AD49" s="68">
        <v>364.80000000000007</v>
      </c>
      <c r="AE49" s="68">
        <v>19</v>
      </c>
      <c r="AF49" s="68"/>
      <c r="AG49" s="68"/>
      <c r="AH49" s="68"/>
      <c r="AI49" s="68"/>
      <c r="AJ49" s="78"/>
      <c r="AK49" s="78"/>
      <c r="AL49" s="78"/>
      <c r="AM49" s="78"/>
      <c r="AN49" s="78"/>
      <c r="AO49" s="78"/>
      <c r="AP49" s="78"/>
      <c r="AQ49" s="5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Probability Distributions</vt:lpstr>
      <vt:lpstr>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23691A32E1@mits.com</dc:creator>
  <cp:lastModifiedBy>23691A32E1@mits.com</cp:lastModifiedBy>
  <dcterms:created xsi:type="dcterms:W3CDTF">2026-06-30T08:48:34Z</dcterms:created>
  <dcterms:modified xsi:type="dcterms:W3CDTF">2026-06-30T11:24:46Z</dcterms:modified>
</cp:coreProperties>
</file>