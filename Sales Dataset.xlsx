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\DATASETS\"/>
    </mc:Choice>
  </mc:AlternateContent>
  <xr:revisionPtr revIDLastSave="0" documentId="13_ncr:1_{1B505CCE-E60D-4365-973B-9AAEACE2951E}" xr6:coauthVersionLast="47" xr6:coauthVersionMax="47" xr10:uidLastSave="{00000000-0000-0000-0000-000000000000}"/>
  <bookViews>
    <workbookView xWindow="-120" yWindow="-120" windowWidth="29040" windowHeight="15720" xr2:uid="{799FD020-BA8F-47A8-BA7A-8EEA87869D09}"/>
  </bookViews>
  <sheets>
    <sheet name="Sales Dataset" sheetId="1" r:id="rId1"/>
  </sheets>
  <definedNames>
    <definedName name="_xlnm._FilterDatabase" localSheetId="0" hidden="1">'Sales Dataset'!$V$3:$V$32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1" i="1" l="1"/>
  <c r="W14" i="1"/>
  <c r="W8" i="1"/>
  <c r="W5" i="1"/>
  <c r="AA47" i="1"/>
  <c r="AA45" i="1"/>
  <c r="AA43" i="1"/>
  <c r="Z72" i="1"/>
  <c r="Z70" i="1"/>
  <c r="Z68" i="1"/>
  <c r="Z61" i="1"/>
  <c r="Z59" i="1"/>
  <c r="Z57" i="1"/>
  <c r="Z49" i="1"/>
  <c r="Z43" i="1"/>
  <c r="Z41" i="1"/>
  <c r="Z40" i="1"/>
  <c r="Z46" i="1"/>
  <c r="Z37" i="1"/>
  <c r="AA37" i="1"/>
  <c r="U36" i="1" a="1"/>
  <c r="U36" i="1" s="1"/>
  <c r="R42" i="1"/>
  <c r="P42" i="1"/>
  <c r="R39" i="1"/>
  <c r="P39" i="1"/>
  <c r="BM7" i="1"/>
  <c r="BN7" i="1"/>
  <c r="BO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" i="1"/>
  <c r="BN9" i="1"/>
  <c r="BN10" i="1"/>
  <c r="BN8" i="1"/>
  <c r="BM10" i="1"/>
  <c r="BM9" i="1"/>
  <c r="BM8" i="1"/>
  <c r="BA5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" i="1"/>
  <c r="AX3" i="1"/>
  <c r="BA8" i="1"/>
  <c r="BA7" i="1"/>
  <c r="BA6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V8" i="1"/>
  <c r="V29" i="1"/>
  <c r="V25" i="1"/>
  <c r="V5" i="1"/>
  <c r="V26" i="1"/>
  <c r="V15" i="1"/>
  <c r="V3" i="1"/>
  <c r="V9" i="1"/>
  <c r="V24" i="1"/>
  <c r="V17" i="1"/>
  <c r="V16" i="1"/>
  <c r="V7" i="1"/>
  <c r="V6" i="1"/>
  <c r="V31" i="1"/>
  <c r="V28" i="1"/>
  <c r="V27" i="1"/>
  <c r="V12" i="1"/>
  <c r="V13" i="1"/>
  <c r="V11" i="1"/>
  <c r="V21" i="1"/>
  <c r="V22" i="1"/>
  <c r="V19" i="1"/>
  <c r="V23" i="1"/>
  <c r="V20" i="1"/>
  <c r="V10" i="1"/>
  <c r="V30" i="1"/>
  <c r="V32" i="1"/>
  <c r="V4" i="1"/>
  <c r="V18" i="1"/>
  <c r="V14" i="1"/>
  <c r="N21" i="1"/>
  <c r="N20" i="1"/>
  <c r="M21" i="1"/>
  <c r="M20" i="1"/>
  <c r="N18" i="1" a="1"/>
  <c r="N18" i="1" s="1"/>
  <c r="N17" i="1" a="1"/>
  <c r="N17" i="1" s="1"/>
  <c r="N16" i="1" a="1"/>
  <c r="N16" i="1" s="1"/>
  <c r="M16" i="1" a="1"/>
  <c r="M16" i="1" s="1"/>
  <c r="O13" i="1"/>
  <c r="O12" i="1"/>
  <c r="N13" i="1"/>
  <c r="N12" i="1"/>
  <c r="M13" i="1"/>
  <c r="M12" i="1"/>
  <c r="O8" i="1"/>
  <c r="O7" i="1"/>
  <c r="N8" i="1"/>
  <c r="N7" i="1"/>
  <c r="M8" i="1"/>
  <c r="M7" i="1"/>
  <c r="O4" i="1"/>
  <c r="O3" i="1"/>
  <c r="O2" i="1"/>
  <c r="N2" i="1"/>
  <c r="M2" i="1"/>
  <c r="BA9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<sst xmlns="http://schemas.openxmlformats.org/spreadsheetml/2006/main" count="10388" uniqueCount="1567">
  <si>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</si>
  <si>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</si>
  <si>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</si>
  <si>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</si>
  <si>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</si>
  <si>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</si>
  <si>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</si>
  <si>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</si>
  <si>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</si>
  <si>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</si>
  <si>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</si>
  <si>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</si>
  <si>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</si>
  <si>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</si>
  <si>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</si>
  <si>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</si>
  <si>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</si>
  <si>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</si>
  <si>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</si>
  <si>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</si>
  <si>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</si>
  <si>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</si>
  <si>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</si>
  <si>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</si>
  <si>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</si>
  <si>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</si>
  <si>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</si>
  <si>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</si>
  <si>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</si>
  <si>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</si>
  <si>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</si>
  <si>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</si>
  <si>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</si>
  <si>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</si>
  <si>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</si>
  <si>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</si>
  <si>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</si>
  <si>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</si>
  <si>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</si>
  <si>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</si>
  <si>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</si>
  <si>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</si>
  <si>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</si>
  <si>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</si>
  <si>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</si>
  <si>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</si>
  <si>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</si>
  <si>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</si>
  <si>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</si>
  <si>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</si>
  <si>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</si>
  <si>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</si>
  <si>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</si>
  <si>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</si>
  <si>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</si>
  <si>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</si>
  <si>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</si>
  <si>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</si>
  <si>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</si>
  <si>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</si>
  <si>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</si>
  <si>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</si>
  <si>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</si>
  <si>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</si>
  <si>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</si>
  <si>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</si>
  <si>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</si>
  <si>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</si>
  <si>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</si>
  <si>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</si>
  <si>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</si>
  <si>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</si>
  <si>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</si>
  <si>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</si>
  <si>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</si>
  <si>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</si>
  <si>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</si>
  <si>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</si>
  <si>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</si>
  <si>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</si>
  <si>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</si>
  <si>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</si>
  <si>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</si>
  <si>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</si>
  <si>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</si>
  <si>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</si>
  <si>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</si>
  <si>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</si>
  <si>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</si>
  <si>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</si>
  <si>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</si>
  <si>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</si>
  <si>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</si>
  <si>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</si>
  <si>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</si>
  <si>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</si>
  <si>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</si>
  <si>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</si>
  <si>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</si>
  <si>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</si>
  <si>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</si>
  <si>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</si>
  <si>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</si>
  <si>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</si>
  <si>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</si>
  <si>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</si>
  <si>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</si>
  <si>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</si>
  <si>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</si>
  <si>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</si>
  <si>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</si>
  <si>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</si>
  <si>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</si>
  <si>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</si>
  <si>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</si>
  <si>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</si>
  <si>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</si>
  <si>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</si>
  <si>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</si>
  <si>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</si>
  <si>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</si>
  <si>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</si>
  <si>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</si>
  <si>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</si>
  <si>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</si>
  <si>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</si>
  <si>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</si>
  <si>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</si>
  <si>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</si>
  <si>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</si>
  <si>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</si>
  <si>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</si>
  <si>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</si>
  <si>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</si>
  <si>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</si>
  <si>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</si>
  <si>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</si>
  <si>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</si>
  <si>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</si>
  <si>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</si>
  <si>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</si>
  <si>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</si>
  <si>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</si>
  <si>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</si>
  <si>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</si>
  <si>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</si>
  <si>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</si>
  <si>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</si>
  <si>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</si>
  <si>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</si>
  <si>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</si>
  <si>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</si>
  <si>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</si>
  <si>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</si>
  <si>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</si>
  <si>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</si>
  <si>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</si>
  <si>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</si>
  <si>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</si>
  <si>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</si>
  <si>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</si>
  <si>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</si>
  <si>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</si>
  <si>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</si>
  <si>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</si>
  <si>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</si>
  <si>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</si>
  <si>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</si>
  <si>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</si>
  <si>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</si>
  <si>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</si>
  <si>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</si>
  <si>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</si>
  <si>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</si>
  <si>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</si>
  <si>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</si>
  <si>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</si>
  <si>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</si>
  <si>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</si>
  <si>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</si>
  <si>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</si>
  <si>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</si>
  <si>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</si>
  <si>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</si>
  <si>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</si>
  <si>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</si>
  <si>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</si>
  <si>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</si>
  <si>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</si>
  <si>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</si>
  <si>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</si>
  <si>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</si>
  <si>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</si>
  <si>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</si>
  <si>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</si>
  <si>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</si>
  <si>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</si>
  <si>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</si>
  <si>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</si>
  <si>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</si>
  <si>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</si>
  <si>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</si>
  <si>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</si>
  <si>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</si>
  <si>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</si>
  <si>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</si>
  <si>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</si>
  <si>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</si>
  <si>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</si>
  <si>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</si>
  <si>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</si>
  <si>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</si>
  <si>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</si>
  <si>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</si>
  <si>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</si>
  <si>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</si>
  <si>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</si>
  <si>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</si>
  <si>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</si>
  <si>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</si>
  <si>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</si>
  <si>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</si>
  <si>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</si>
  <si>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</si>
  <si>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</si>
  <si>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</si>
  <si>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</si>
  <si>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</si>
  <si>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</si>
  <si>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</si>
  <si>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</si>
  <si>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</si>
  <si>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</si>
  <si>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</si>
  <si>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</si>
  <si>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</si>
  <si>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</si>
  <si>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</si>
  <si>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</si>
  <si>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</si>
  <si>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</si>
  <si>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</si>
  <si>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</si>
  <si>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</si>
  <si>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</si>
  <si>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</si>
  <si>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</si>
  <si>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</si>
  <si>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</si>
  <si>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</si>
  <si>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</si>
  <si>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</si>
  <si>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</si>
  <si>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</si>
  <si>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</si>
  <si>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</si>
  <si>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</si>
  <si>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</si>
  <si>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</si>
  <si>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</si>
  <si>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</si>
  <si>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</si>
  <si>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</si>
  <si>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</si>
  <si>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</si>
  <si>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</si>
  <si>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</si>
  <si>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</si>
  <si>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</si>
  <si>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</si>
  <si>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</si>
  <si>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</si>
  <si>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</si>
  <si>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</si>
  <si>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</si>
  <si>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</si>
  <si>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</si>
  <si>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</si>
  <si>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</si>
  <si>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</si>
  <si>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</si>
  <si>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</si>
  <si>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</si>
  <si>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</si>
  <si>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</si>
  <si>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</si>
  <si>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</si>
  <si>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</si>
  <si>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</si>
  <si>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</si>
  <si>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</si>
  <si>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</si>
  <si>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</si>
  <si>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</si>
  <si>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</si>
  <si>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</si>
  <si>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</si>
  <si>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</si>
  <si>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</si>
  <si>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</si>
  <si>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</si>
  <si>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</si>
  <si>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</si>
  <si>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</si>
  <si>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</si>
  <si>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</si>
  <si>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</si>
  <si>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</si>
  <si>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</si>
  <si>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</si>
  <si>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</si>
  <si>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</si>
  <si>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</si>
  <si>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</si>
  <si>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</si>
  <si>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</si>
  <si>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</si>
  <si>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</si>
  <si>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</si>
  <si>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</si>
  <si>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</si>
  <si>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</si>
  <si>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</si>
  <si>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</si>
  <si>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</si>
  <si>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</si>
  <si>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</si>
  <si>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</si>
  <si>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</si>
  <si>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</si>
  <si>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</si>
  <si>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</si>
  <si>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</si>
  <si>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</si>
  <si>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</si>
  <si>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</si>
  <si>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</si>
  <si>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</si>
  <si>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</si>
  <si>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</si>
  <si>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</si>
  <si>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</si>
  <si>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</si>
  <si>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</si>
  <si>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</si>
  <si>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</si>
  <si>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</si>
  <si>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</si>
  <si>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</si>
  <si>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</si>
  <si>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</si>
  <si>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</si>
  <si>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</si>
  <si>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</si>
  <si>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</si>
  <si>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</si>
  <si>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</si>
  <si>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</si>
  <si>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</si>
  <si>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</si>
  <si>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</si>
  <si>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</si>
  <si>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</si>
  <si>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</si>
  <si>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</si>
  <si>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</si>
  <si>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</si>
  <si>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</si>
  <si>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</si>
  <si>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</si>
  <si>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</si>
  <si>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</si>
  <si>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</si>
  <si>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</si>
  <si>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</si>
  <si>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</si>
  <si>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</si>
  <si>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</si>
  <si>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</si>
  <si>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</si>
  <si>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</si>
  <si>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</si>
  <si>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</si>
  <si>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</si>
  <si>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</si>
  <si>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</si>
  <si>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</si>
  <si>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</si>
  <si>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</si>
  <si>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</si>
  <si>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</si>
  <si>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</si>
  <si>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</si>
  <si>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</si>
  <si>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</si>
  <si>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</si>
  <si>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</si>
  <si>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</si>
  <si>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</si>
  <si>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</si>
  <si>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</si>
  <si>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</si>
  <si>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</si>
  <si>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</si>
  <si>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</si>
  <si>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</si>
  <si>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</si>
  <si>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</si>
  <si>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</si>
  <si>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</si>
  <si>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</si>
  <si>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</si>
  <si>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</si>
  <si>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</si>
  <si>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</si>
  <si>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</si>
  <si>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</si>
  <si>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</si>
  <si>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</si>
  <si>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</si>
  <si>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</si>
  <si>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</si>
  <si>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</si>
  <si>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</si>
  <si>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</si>
  <si>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</si>
  <si>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</si>
  <si>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</si>
  <si>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</si>
  <si>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</si>
  <si>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</si>
  <si>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</si>
  <si>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</si>
  <si>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</si>
  <si>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</si>
  <si>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</si>
  <si>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</si>
  <si>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</si>
  <si>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</si>
  <si>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</si>
  <si>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</si>
  <si>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</si>
  <si>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</si>
  <si>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</si>
  <si>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</si>
  <si>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</si>
  <si>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</si>
  <si>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</si>
  <si>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</si>
  <si>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</si>
  <si>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</si>
  <si>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</si>
  <si>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</si>
  <si>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</si>
  <si>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</si>
  <si>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</si>
  <si>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</si>
  <si>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</si>
  <si>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</si>
  <si>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</si>
  <si>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</si>
  <si>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</si>
  <si>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</si>
  <si>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</si>
  <si>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</si>
  <si>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</si>
  <si>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</si>
  <si>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</si>
  <si>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</si>
  <si>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</si>
  <si>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</si>
  <si>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</si>
  <si>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</si>
  <si>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</si>
  <si>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</si>
  <si>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</si>
  <si>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</si>
  <si>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</si>
  <si>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</si>
  <si>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</si>
  <si>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</si>
  <si>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</si>
  <si>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</si>
  <si>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</si>
  <si>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</si>
  <si>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</si>
  <si>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</si>
  <si>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</si>
  <si>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</si>
  <si>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</si>
  <si>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</si>
  <si>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</si>
  <si>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</si>
  <si>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</si>
  <si>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</si>
  <si>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</si>
  <si>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</si>
  <si>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</si>
  <si>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</si>
  <si>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</si>
  <si>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</si>
  <si>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</si>
  <si>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</si>
  <si>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</si>
  <si>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</si>
  <si>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</si>
  <si>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</si>
  <si>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</si>
  <si>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</si>
  <si>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</si>
  <si>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</si>
  <si>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</si>
  <si>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</si>
  <si>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</si>
  <si>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</si>
  <si>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</si>
  <si>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</si>
  <si>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</si>
  <si>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</si>
  <si>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</si>
  <si>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</si>
  <si>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</si>
  <si>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</si>
  <si>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</si>
  <si>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</si>
  <si>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</si>
  <si>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</si>
  <si>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</si>
  <si>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</si>
  <si>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</si>
  <si>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</si>
  <si>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</si>
  <si>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</si>
  <si>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</si>
  <si>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</si>
  <si>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</si>
  <si>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</si>
  <si>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</si>
  <si>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</si>
  <si>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</si>
  <si>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</si>
  <si>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</si>
  <si>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</si>
  <si>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</si>
  <si>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</si>
  <si>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</si>
  <si>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</si>
  <si>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</si>
  <si>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</si>
  <si>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</si>
  <si>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</si>
  <si>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</si>
  <si>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</si>
  <si>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</si>
  <si>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</si>
  <si>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</si>
  <si>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</si>
  <si>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</si>
  <si>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</si>
  <si>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</si>
  <si>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</si>
  <si>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</si>
  <si>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</si>
  <si>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</si>
  <si>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</si>
  <si>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</si>
  <si>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</si>
  <si>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</si>
  <si>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</si>
  <si>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</si>
  <si>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</si>
  <si>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</si>
  <si>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</si>
  <si>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</si>
  <si>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</si>
  <si>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</si>
  <si>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</si>
  <si>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</si>
  <si>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</si>
  <si>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</si>
  <si>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</si>
  <si>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</si>
  <si>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</si>
  <si>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</si>
  <si>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</si>
  <si>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</si>
  <si>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</si>
  <si>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</si>
  <si>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</si>
  <si>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</si>
  <si>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</si>
  <si>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</si>
  <si>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</si>
  <si>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</si>
  <si>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</si>
  <si>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</si>
  <si>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</si>
  <si>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</si>
  <si>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</si>
  <si>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</si>
  <si>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</si>
  <si>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</si>
  <si>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</si>
  <si>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</si>
  <si>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</si>
  <si>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</si>
  <si>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</si>
  <si>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</si>
  <si>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</si>
  <si>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</si>
  <si>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</si>
  <si>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</si>
  <si>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</si>
  <si>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</si>
  <si>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</si>
  <si>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</si>
  <si>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</si>
  <si>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</si>
  <si>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</si>
  <si>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</si>
  <si>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</si>
  <si>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</si>
  <si>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</si>
  <si>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</si>
  <si>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</si>
  <si>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</si>
  <si>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</si>
  <si>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</si>
  <si>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</si>
  <si>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</si>
  <si>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</si>
  <si>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</si>
  <si>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</si>
  <si>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</si>
  <si>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</si>
  <si>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</si>
  <si>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</si>
  <si>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</si>
  <si>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</si>
  <si>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</si>
  <si>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</si>
  <si>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</si>
  <si>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</si>
  <si>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</si>
  <si>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</si>
  <si>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</si>
  <si>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</si>
  <si>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</si>
  <si>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</si>
  <si>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</si>
  <si>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</si>
  <si>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</si>
  <si>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</si>
  <si>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</si>
  <si>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</si>
  <si>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</si>
  <si>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</si>
  <si>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</si>
  <si>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</si>
  <si>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</si>
  <si>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</si>
  <si>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</si>
  <si>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</si>
  <si>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</si>
  <si>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</si>
  <si>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</si>
  <si>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</si>
  <si>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</si>
  <si>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</si>
  <si>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</si>
  <si>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</si>
  <si>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</si>
  <si>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</si>
  <si>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</si>
  <si>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</si>
  <si>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</si>
  <si>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</si>
  <si>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</si>
  <si>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</si>
  <si>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</si>
  <si>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</si>
  <si>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</si>
  <si>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</si>
  <si>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</si>
  <si>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</si>
  <si>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</si>
  <si>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</si>
  <si>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</si>
  <si>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</si>
  <si>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</si>
  <si>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</si>
  <si>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</si>
  <si>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</si>
  <si>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</si>
  <si>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</si>
  <si>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</si>
  <si>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</si>
  <si>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</si>
  <si>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</si>
  <si>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</si>
  <si>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</si>
  <si>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</si>
  <si>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</si>
  <si>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</si>
  <si>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</si>
  <si>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</si>
  <si>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</si>
  <si>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</si>
  <si>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</si>
  <si>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</si>
  <si>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</si>
  <si>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</si>
  <si>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</si>
  <si>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</si>
  <si>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</si>
  <si>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</si>
  <si>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</si>
  <si>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</si>
  <si>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</si>
  <si>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</si>
  <si>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</si>
  <si>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</si>
  <si>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</si>
  <si>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</si>
  <si>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</si>
  <si>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</si>
  <si>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</si>
  <si>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</si>
  <si>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</si>
  <si>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</si>
  <si>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</si>
  <si>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</si>
  <si>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</si>
  <si>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</si>
  <si>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</si>
  <si>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</si>
  <si>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</si>
  <si>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</si>
  <si>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</si>
  <si>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</si>
  <si>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</si>
  <si>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</si>
  <si>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</si>
  <si>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</si>
  <si>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</si>
  <si>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</si>
  <si>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</si>
  <si>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</si>
  <si>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</si>
  <si>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</si>
  <si>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</si>
  <si>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</si>
  <si>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</si>
  <si>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</si>
  <si>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</si>
  <si>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</si>
  <si>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</si>
  <si>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</si>
  <si>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</si>
  <si>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</si>
  <si>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</si>
  <si>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</si>
  <si>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</si>
  <si>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</si>
  <si>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</si>
  <si>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</si>
  <si>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</si>
  <si>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</si>
  <si>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</si>
  <si>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</si>
  <si>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</si>
  <si>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</si>
  <si>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</si>
  <si>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</si>
  <si>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</si>
  <si>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</si>
  <si>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</si>
  <si>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</si>
  <si>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</si>
  <si>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</si>
  <si>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</si>
  <si>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</si>
  <si>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</si>
  <si>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</si>
  <si>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</si>
  <si>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</si>
  <si>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</si>
  <si>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</si>
  <si>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</si>
  <si>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</si>
  <si>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</si>
  <si>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</si>
  <si>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</si>
  <si>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</si>
  <si>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</si>
  <si>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</si>
  <si>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</si>
  <si>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</si>
  <si>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</si>
  <si>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</si>
  <si>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</si>
  <si>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</si>
  <si>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</si>
  <si>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</si>
  <si>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</si>
  <si>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</si>
  <si>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</si>
  <si>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</si>
  <si>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</si>
  <si>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</si>
  <si>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</si>
  <si>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</si>
  <si>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</si>
  <si>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</si>
  <si>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</si>
  <si>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</si>
  <si>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</si>
  <si>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</si>
  <si>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</si>
  <si>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</si>
  <si>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</si>
  <si>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</si>
  <si>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</si>
  <si>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</si>
  <si>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</si>
  <si>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</si>
  <si>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</si>
  <si>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</si>
  <si>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</si>
  <si>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</si>
  <si>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</si>
  <si>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</si>
  <si>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</si>
  <si>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</si>
  <si>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</si>
  <si>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</si>
  <si>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</si>
  <si>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</si>
  <si>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</si>
  <si>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</si>
  <si>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</si>
  <si>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</si>
  <si>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</si>
  <si>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</si>
  <si>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</si>
  <si>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</si>
  <si>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</si>
  <si>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</si>
  <si>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</si>
  <si>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</si>
  <si>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</si>
  <si>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</si>
  <si>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</si>
  <si>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</si>
  <si>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</si>
  <si>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</si>
  <si>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</si>
  <si>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</si>
  <si>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</si>
  <si>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</si>
  <si>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</si>
  <si>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</si>
  <si>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</si>
  <si>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</si>
  <si>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</si>
  <si>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</si>
  <si>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</si>
  <si>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</si>
  <si>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</si>
  <si>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</si>
  <si>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</si>
  <si>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</si>
  <si>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</si>
  <si>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</si>
  <si>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</si>
  <si>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</si>
  <si>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</si>
  <si>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</si>
  <si>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</si>
  <si>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</si>
  <si>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</si>
  <si>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</si>
  <si>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</si>
  <si>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</si>
  <si>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</si>
  <si>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</si>
  <si>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</si>
  <si>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</si>
  <si>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</si>
  <si>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</si>
  <si>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</si>
  <si>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</si>
  <si>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</si>
  <si>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</si>
  <si>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</si>
  <si>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</si>
  <si>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</si>
  <si>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</si>
  <si>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</si>
  <si>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</si>
  <si>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</si>
  <si>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</si>
  <si>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</si>
  <si>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</si>
  <si>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</si>
  <si>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</si>
  <si>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</si>
  <si>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</si>
  <si>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</si>
  <si>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</si>
  <si>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</si>
  <si>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</si>
  <si>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</si>
  <si>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</si>
  <si>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</si>
  <si>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</si>
  <si>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</si>
  <si>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</si>
  <si>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</si>
  <si>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</si>
  <si>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</si>
  <si>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</si>
  <si>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</si>
  <si>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</si>
  <si>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</si>
  <si>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</si>
  <si>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</si>
  <si>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</si>
  <si>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</si>
  <si>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</si>
  <si>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</si>
  <si>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</si>
  <si>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</si>
  <si>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</si>
  <si>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</si>
  <si>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</si>
  <si>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</si>
  <si>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</si>
  <si>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</si>
  <si>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</si>
  <si>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</si>
  <si>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</si>
  <si>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</si>
  <si>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</si>
  <si>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</si>
  <si>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</si>
  <si>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</si>
  <si>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</si>
  <si>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</si>
  <si>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</si>
  <si>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</si>
  <si>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</si>
  <si>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</si>
  <si>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</si>
  <si>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</si>
  <si>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</si>
  <si>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</si>
  <si>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</si>
  <si>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</si>
  <si>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</si>
  <si>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</si>
  <si>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</si>
  <si>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</si>
  <si>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</si>
  <si>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</si>
  <si>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</si>
  <si>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</si>
  <si>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</si>
  <si>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</si>
  <si>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</si>
  <si>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</si>
  <si>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</si>
  <si>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</si>
  <si>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</si>
  <si>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</si>
  <si>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</si>
  <si>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</si>
  <si>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</si>
  <si>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</si>
  <si>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</si>
  <si>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</si>
  <si>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</si>
  <si>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</si>
  <si>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</si>
  <si>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</si>
  <si>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</si>
  <si>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</si>
  <si>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</si>
  <si>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</si>
  <si>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</si>
  <si>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</si>
  <si>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</si>
  <si>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</si>
  <si>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</si>
  <si>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</si>
  <si>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</si>
  <si>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</si>
  <si>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</si>
  <si>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</si>
  <si>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</si>
  <si>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</si>
  <si>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</si>
  <si>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</si>
  <si>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</si>
  <si>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</si>
  <si>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</si>
  <si>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</si>
  <si>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</si>
  <si>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</si>
  <si>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</si>
  <si>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</si>
  <si>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</si>
  <si>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</si>
  <si>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</si>
  <si>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</si>
  <si>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</si>
  <si>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</si>
  <si>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</si>
  <si>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</si>
  <si>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</si>
  <si>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</si>
  <si>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</si>
  <si>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</si>
  <si>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</si>
  <si>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</si>
  <si>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</si>
  <si>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</si>
  <si>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</si>
  <si>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</si>
  <si>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</si>
  <si>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</si>
  <si>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</si>
  <si>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</si>
  <si>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</si>
  <si>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</si>
  <si>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</si>
  <si>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</si>
  <si>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</si>
  <si>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</si>
  <si>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</si>
  <si>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</si>
  <si>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</si>
  <si>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</si>
  <si>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</si>
  <si>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</si>
  <si>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</si>
  <si>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</si>
  <si>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</si>
  <si>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</si>
  <si>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</si>
  <si>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</si>
  <si>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</si>
  <si>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</si>
  <si>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</si>
  <si>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</si>
  <si>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</si>
  <si>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</si>
  <si>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</si>
  <si>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</si>
  <si>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</si>
  <si>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</si>
  <si>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</si>
  <si>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</si>
  <si>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</si>
  <si>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</si>
  <si>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</si>
  <si>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</si>
  <si>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</si>
  <si>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</si>
  <si>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</si>
  <si>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</si>
  <si>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</si>
  <si>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</si>
  <si>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</si>
  <si>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</si>
  <si>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</si>
  <si>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</si>
  <si>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</si>
  <si>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</si>
  <si>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</si>
  <si>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</si>
  <si>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</si>
  <si>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</si>
  <si>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</si>
  <si>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</si>
  <si>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</si>
  <si>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</si>
  <si>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</si>
  <si>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</si>
  <si>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</si>
  <si>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</si>
  <si>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</si>
  <si>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</si>
  <si>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</si>
  <si>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</si>
  <si>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</si>
  <si>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</si>
  <si>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</si>
  <si>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</si>
  <si>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</si>
  <si>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</si>
  <si>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</si>
  <si>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</si>
  <si>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</si>
  <si>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</si>
  <si>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</si>
  <si>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</si>
  <si>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</si>
  <si>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</si>
  <si>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</si>
  <si>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</si>
  <si>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</si>
  <si>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</si>
  <si>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</si>
  <si>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</si>
  <si>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</si>
  <si>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</si>
  <si>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</si>
  <si>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</si>
  <si>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</si>
  <si>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</si>
  <si>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</si>
  <si>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</si>
  <si>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</si>
  <si>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</si>
  <si>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</si>
  <si>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</si>
  <si>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</si>
  <si>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</si>
  <si>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</si>
  <si>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</si>
  <si>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</si>
  <si>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</si>
  <si>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</si>
  <si>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</si>
  <si>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</si>
  <si>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</si>
  <si>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</si>
  <si>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</si>
  <si>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</si>
  <si>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</si>
  <si>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</si>
  <si>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</si>
  <si>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</si>
  <si>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</si>
  <si>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</si>
  <si>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</si>
  <si>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</si>
  <si>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</si>
  <si>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</si>
  <si>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</si>
  <si>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</si>
  <si>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</si>
  <si>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</si>
  <si>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</si>
  <si>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</si>
  <si>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</si>
  <si>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</si>
  <si>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</si>
  <si>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</si>
  <si>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</si>
  <si>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</si>
  <si>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</si>
  <si>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</si>
  <si>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</si>
  <si>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</si>
  <si>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</si>
  <si>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</si>
  <si>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</si>
  <si>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</si>
  <si>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</si>
  <si>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</si>
  <si>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</si>
  <si>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</si>
  <si>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</si>
  <si>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</si>
  <si>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</si>
  <si>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</si>
  <si>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</si>
  <si>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</si>
  <si>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</si>
  <si>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</si>
  <si>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</si>
  <si>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</si>
  <si>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</si>
  <si>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</si>
  <si>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</si>
  <si>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</si>
  <si>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</si>
  <si>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</si>
  <si>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</si>
  <si>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</si>
  <si>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</si>
  <si>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</si>
  <si>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</si>
  <si>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</si>
  <si>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</si>
  <si>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</si>
  <si>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</si>
  <si>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</si>
  <si>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</si>
  <si>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</si>
  <si>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</si>
  <si>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</si>
  <si>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</si>
  <si>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</si>
  <si>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</si>
  <si>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</si>
  <si>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</si>
  <si>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</si>
  <si>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</si>
  <si>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</si>
  <si>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</si>
  <si>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</si>
  <si>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</si>
  <si>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</si>
  <si>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</si>
  <si>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</si>
  <si>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</si>
  <si>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</si>
  <si>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</si>
  <si>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</si>
  <si>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</si>
  <si>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</si>
  <si>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</si>
  <si>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</si>
  <si>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</si>
  <si>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</si>
  <si>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</si>
  <si>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</si>
  <si>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</si>
  <si>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</si>
  <si>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</si>
  <si>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</si>
  <si>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</si>
  <si>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</si>
  <si>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</si>
  <si>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</si>
  <si>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</si>
  <si>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</si>
  <si>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</si>
  <si>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</si>
  <si>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</si>
  <si>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</si>
  <si>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</si>
  <si>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</si>
  <si>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</si>
  <si>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</si>
  <si>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</si>
  <si>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</si>
  <si>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</si>
  <si>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</si>
  <si>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</si>
  <si>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</si>
  <si>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</si>
  <si>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</si>
  <si>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</si>
  <si>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</si>
  <si>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</si>
  <si>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</si>
  <si>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</si>
  <si>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</si>
  <si>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</si>
  <si>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</si>
  <si>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</si>
  <si>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</si>
  <si>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</si>
  <si>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</si>
  <si>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</si>
  <si>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</si>
  <si>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</si>
  <si>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</si>
  <si>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</si>
  <si>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</si>
  <si>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</si>
  <si>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</si>
  <si>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</si>
  <si>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</si>
  <si>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</si>
  <si>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</si>
  <si>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</si>
  <si>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</si>
  <si>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</si>
  <si>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</si>
  <si>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</si>
  <si>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</si>
  <si>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</si>
  <si>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</si>
  <si>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</si>
  <si>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</si>
  <si>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</si>
  <si>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</si>
  <si>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</si>
  <si>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</si>
  <si>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</si>
  <si>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</si>
  <si>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</si>
  <si>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</si>
  <si>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</si>
  <si>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</si>
  <si>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</si>
  <si>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</si>
  <si>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</si>
  <si>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</si>
  <si>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</si>
  <si>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</si>
  <si>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</si>
  <si>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</si>
  <si>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</si>
  <si>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</si>
  <si>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</si>
  <si>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</si>
  <si>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</si>
  <si>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</si>
  <si>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</si>
  <si>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</si>
  <si>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</si>
  <si>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</si>
  <si>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</si>
  <si>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</si>
  <si>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</si>
  <si>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</si>
  <si>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</si>
  <si>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</si>
  <si>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</si>
  <si>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</si>
  <si>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</si>
  <si>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</si>
  <si>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</si>
  <si>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</si>
  <si>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</si>
  <si>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</si>
  <si>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</si>
  <si>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</si>
  <si>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</si>
  <si>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</si>
  <si>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</si>
  <si>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</si>
  <si>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</si>
  <si>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</si>
  <si>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</si>
  <si>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</si>
  <si>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</si>
  <si>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</si>
  <si>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</si>
  <si>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</si>
  <si>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</si>
  <si>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</si>
  <si>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</si>
  <si>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</si>
  <si>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</si>
  <si>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</si>
  <si>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</si>
  <si>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</si>
  <si>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</si>
  <si>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</si>
  <si>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</si>
  <si>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</si>
  <si>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</si>
  <si>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</si>
  <si>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</si>
  <si>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</si>
  <si>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</si>
  <si>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</si>
  <si>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</si>
  <si>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</si>
  <si>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</si>
  <si>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</si>
  <si>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</si>
  <si>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</si>
  <si>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</si>
  <si>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</si>
  <si>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</si>
  <si>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</si>
  <si>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</si>
  <si>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</si>
  <si>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</si>
  <si>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</si>
  <si>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</si>
  <si>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</si>
  <si>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</si>
  <si>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</si>
  <si>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</si>
  <si>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</si>
  <si>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</si>
  <si>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</si>
  <si>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</si>
  <si>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</si>
  <si>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</si>
  <si>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</si>
  <si>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</si>
  <si>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</si>
  <si>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</si>
  <si>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</si>
  <si>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</si>
  <si>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</si>
  <si>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</si>
  <si>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</si>
  <si>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</si>
  <si>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</si>
  <si>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</si>
  <si>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</si>
  <si>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</si>
  <si>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</si>
  <si>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</si>
  <si>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</si>
  <si>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</si>
  <si>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</si>
  <si>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</si>
  <si>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</si>
  <si>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</si>
  <si>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</si>
  <si>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</si>
  <si>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</si>
  <si>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</si>
  <si>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</si>
  <si>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</si>
  <si>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</si>
  <si>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</si>
  <si>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</si>
  <si>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</si>
  <si>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</si>
  <si>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</si>
  <si>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</si>
  <si>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</si>
  <si>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</si>
  <si>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</si>
  <si>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</si>
  <si>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</si>
  <si>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</si>
  <si>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</si>
  <si>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</si>
  <si>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</si>
  <si>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</si>
  <si>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</si>
  <si>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</si>
  <si>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</si>
  <si>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</si>
  <si>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</si>
  <si>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</si>
  <si>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</si>
  <si>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</si>
  <si>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</si>
  <si>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</si>
  <si>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</si>
  <si>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</si>
  <si>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</si>
  <si>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</si>
  <si>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</si>
  <si>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</si>
  <si>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</si>
  <si>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</si>
  <si>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</si>
  <si>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</si>
  <si>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</si>
  <si>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</si>
  <si>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</si>
  <si>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</si>
  <si>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</si>
  <si>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</si>
  <si>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</si>
  <si>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</si>
  <si>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</si>
  <si>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</si>
  <si>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</si>
  <si>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</si>
  <si>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STD DEV POPULATION</t>
  </si>
  <si>
    <t>RANGE</t>
  </si>
  <si>
    <t>VARIANCE POPULATION</t>
  </si>
  <si>
    <t>VARIANCE SAMPLE</t>
  </si>
  <si>
    <t>MEAN DEVIATION</t>
  </si>
  <si>
    <t xml:space="preserve">MEAN </t>
  </si>
  <si>
    <t>MEDIAN</t>
  </si>
  <si>
    <t>MODE.MUL</t>
  </si>
  <si>
    <t>MODE SINGLE</t>
  </si>
  <si>
    <t>MODE MULTIPLE</t>
  </si>
  <si>
    <t>INTERQUARTILE</t>
  </si>
  <si>
    <t>ID</t>
  </si>
  <si>
    <t>Age</t>
  </si>
  <si>
    <t>Gender</t>
  </si>
  <si>
    <t>Department</t>
  </si>
  <si>
    <t>Salary</t>
  </si>
  <si>
    <t>Male</t>
  </si>
  <si>
    <t>Sales</t>
  </si>
  <si>
    <t>Female</t>
  </si>
  <si>
    <t>HR</t>
  </si>
  <si>
    <t>IT</t>
  </si>
  <si>
    <t>Finance</t>
  </si>
  <si>
    <t>PROBABILITY SAMPLING</t>
  </si>
  <si>
    <t>GENDER</t>
  </si>
  <si>
    <t>TOTAL</t>
  </si>
  <si>
    <t>RANDOM</t>
  </si>
  <si>
    <t xml:space="preserve">RANDOM </t>
  </si>
  <si>
    <t>Name</t>
  </si>
  <si>
    <t>Rahul</t>
  </si>
  <si>
    <t>Priya</t>
  </si>
  <si>
    <t>Arjun</t>
  </si>
  <si>
    <t>Sneha</t>
  </si>
  <si>
    <t>Kiran</t>
  </si>
  <si>
    <t>Anjali</t>
  </si>
  <si>
    <t>Rohit</t>
  </si>
  <si>
    <t>Pooja</t>
  </si>
  <si>
    <t>Vikram</t>
  </si>
  <si>
    <t>Divya</t>
  </si>
  <si>
    <t>Naveen</t>
  </si>
  <si>
    <t>Kavya</t>
  </si>
  <si>
    <t>Sandeep</t>
  </si>
  <si>
    <t>Meghana</t>
  </si>
  <si>
    <t>Harsha</t>
  </si>
  <si>
    <t>Nisha</t>
  </si>
  <si>
    <t>Akash</t>
  </si>
  <si>
    <t>Swathi</t>
  </si>
  <si>
    <t>Manoj</t>
  </si>
  <si>
    <t>Aishwarya</t>
  </si>
  <si>
    <t>Teja</t>
  </si>
  <si>
    <t>Deepika</t>
  </si>
  <si>
    <t>Varun</t>
  </si>
  <si>
    <t>Bhavana</t>
  </si>
  <si>
    <t>Rakesh</t>
  </si>
  <si>
    <t>Shreya</t>
  </si>
  <si>
    <t>Praveen</t>
  </si>
  <si>
    <t>Neha</t>
  </si>
  <si>
    <t>Surya</t>
  </si>
  <si>
    <t>Rekha</t>
  </si>
  <si>
    <t>SYSTEMAIC</t>
  </si>
  <si>
    <t>DEPARTMENT</t>
  </si>
  <si>
    <t>FINANCE</t>
  </si>
  <si>
    <t>SALES</t>
  </si>
  <si>
    <t>STRATIFIED</t>
  </si>
  <si>
    <t>CLUSTERING</t>
  </si>
  <si>
    <t>Rand</t>
  </si>
  <si>
    <t>Systematic</t>
  </si>
  <si>
    <t>PICK SAMPLES</t>
  </si>
  <si>
    <t>COUNT</t>
  </si>
  <si>
    <t>TRIAL NO</t>
  </si>
  <si>
    <t>RESULT</t>
  </si>
  <si>
    <t>Tail</t>
  </si>
  <si>
    <t>Head</t>
  </si>
  <si>
    <t>COUNT OF HEADS</t>
  </si>
  <si>
    <t>COUNT OF TAILS</t>
  </si>
  <si>
    <t>Probability of Head</t>
  </si>
  <si>
    <t>Probability of Tail</t>
  </si>
  <si>
    <t>PROBABILITY</t>
  </si>
  <si>
    <t>TRIAL</t>
  </si>
  <si>
    <t>ROLL</t>
  </si>
  <si>
    <t>COUNT OF GETTING 6</t>
  </si>
  <si>
    <t>PROBABILITY OF GETTING 6</t>
  </si>
  <si>
    <t>COUNT OF 2s</t>
  </si>
  <si>
    <t>COUNT OF 4s</t>
  </si>
  <si>
    <t>EXPERIMENTAL PROBABLITY(Addition Rule)</t>
  </si>
  <si>
    <t>report</t>
  </si>
  <si>
    <t>Yes</t>
  </si>
  <si>
    <t>No</t>
  </si>
  <si>
    <t>P(A∪B)=P(A)+P(B)−P(A∩B)</t>
  </si>
  <si>
    <t>P(A)</t>
  </si>
  <si>
    <t>P(A∩B)</t>
  </si>
  <si>
    <t>TOSS</t>
  </si>
  <si>
    <t>INDEPENDENT EVENT</t>
  </si>
  <si>
    <t>P(A) COUNT OF MALE</t>
  </si>
  <si>
    <t>P(B) COUNT OF FEMALE</t>
  </si>
  <si>
    <t>P(A) COUNT OF HEAD</t>
  </si>
  <si>
    <t>P(B) COUNT OF 6</t>
  </si>
  <si>
    <t>EMPLOYEE SALARY&lt;=45000</t>
  </si>
  <si>
    <t>COUNT ROLLS</t>
  </si>
  <si>
    <t>CALCULATE CUMMALATIVE PROBABILITY</t>
  </si>
  <si>
    <t>COUNT OF SALARY&lt;=45000</t>
  </si>
  <si>
    <t>COUNT OF SALARY&gt;=45000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</si>
</sst>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/>
    <xf numFmtId="0" fontId="0" fillId="0" borderId="10" xfId="0" applyBorder="1"/>
    <xf numFmtId="0" fontId="0" fillId="0" borderId="12" xfId="0" applyBorder="1"/>
    <xf numFmtId="0" fontId="16" fillId="0" borderId="14" xfId="0" applyFont="1" applyBorder="1"/>
    <xf numFmtId="0" fontId="16" fillId="0" borderId="15" xfId="0" applyFont="1" applyBorder="1"/>
    <xf numFmtId="0" fontId="0" fillId="0" borderId="17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16" fillId="0" borderId="23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0" xfId="0" applyFont="1" applyBorder="1" applyAlignment="1">
      <alignment vertical="center" wrapText="1"/>
    </xf>
    <xf numFmtId="0" fontId="0" fillId="0" borderId="12" xfId="0" applyFont="1" applyBorder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vertical="center" wrapText="1"/>
    </xf>
    <xf numFmtId="0" fontId="0" fillId="0" borderId="18" xfId="0" applyFont="1" applyBorder="1" applyAlignment="1">
      <alignment vertical="center" wrapText="1"/>
    </xf>
    <xf numFmtId="0" fontId="0" fillId="0" borderId="20" xfId="0" applyFont="1" applyBorder="1" applyAlignment="1">
      <alignment vertical="center" wrapText="1"/>
    </xf>
    <xf numFmtId="0" fontId="0" fillId="0" borderId="21" xfId="0" applyFont="1" applyBorder="1" applyAlignment="1">
      <alignment vertical="center" wrapText="1"/>
    </xf>
    <xf numFmtId="0" fontId="16" fillId="33" borderId="11" xfId="0" applyFont="1" applyFill="1" applyBorder="1"/>
    <xf numFmtId="0" fontId="16" fillId="0" borderId="27" xfId="0" applyFont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/>
    <xf numFmtId="0" fontId="16" fillId="0" borderId="11" xfId="0" applyFont="1" applyBorder="1"/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0" borderId="30" xfId="0" applyBorder="1" applyAlignment="1"/>
    <xf numFmtId="0" fontId="0" fillId="0" borderId="31" xfId="0" applyBorder="1"/>
    <xf numFmtId="0" fontId="0" fillId="0" borderId="0" xfId="0" applyBorder="1" applyAlignment="1"/>
    <xf numFmtId="0" fontId="0" fillId="0" borderId="0" xfId="0" applyBorder="1"/>
    <xf numFmtId="0" fontId="0" fillId="0" borderId="30" xfId="0" applyBorder="1"/>
    <xf numFmtId="0" fontId="0" fillId="0" borderId="32" xfId="0" applyBorder="1"/>
    <xf numFmtId="0" fontId="0" fillId="0" borderId="36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D799-B518-42AE-8F21-AC5DB4D2B2CA}">
  <dimension ref="A1:BO1195"/>
  <sheetViews>
    <sheetView tabSelected="1" topLeftCell="O1" zoomScaleNormal="100" workbookViewId="0">
      <selection activeCell="Y12" sqref="Y12"/>
    </sheetView>
  </sheetViews>
  <sheetFormatPr defaultRowHeight="15" x14ac:dyDescent="0.25"/>
  <cols>
    <col min="1" max="1" width="14.28515625" customWidth="1"/>
    <col min="2" max="2" width="12.28515625" customWidth="1"/>
    <col min="3" max="3" width="12.42578125" customWidth="1"/>
    <col min="4" max="4" width="13.28515625" customWidth="1"/>
    <col min="5" max="5" width="21.28515625" customWidth="1"/>
    <col min="6" max="6" width="21.7109375" customWidth="1"/>
    <col min="7" max="7" width="16.140625" customWidth="1"/>
    <col min="8" max="8" width="16.85546875" customWidth="1"/>
    <col min="9" max="9" width="22.42578125" customWidth="1"/>
    <col min="10" max="10" width="17.140625" customWidth="1"/>
    <col min="11" max="11" width="15.5703125" customWidth="1"/>
    <col min="12" max="12" width="14" customWidth="1"/>
    <col min="13" max="13" width="25.28515625" customWidth="1"/>
    <col min="14" max="14" width="24.85546875" customWidth="1"/>
    <col min="15" max="15" width="20.85546875" customWidth="1"/>
    <col min="20" max="20" width="14.7109375" customWidth="1"/>
    <col min="23" max="23" width="38.140625" customWidth="1"/>
    <col min="24" max="24" width="22.85546875" customWidth="1"/>
    <col min="26" max="26" width="43.28515625" customWidth="1"/>
    <col min="27" max="27" width="36" customWidth="1"/>
    <col min="28" max="28" width="20.5703125" customWidth="1"/>
    <col min="29" max="29" width="12.85546875" customWidth="1"/>
    <col min="32" max="32" width="15.5703125" customWidth="1"/>
    <col min="43" max="43" width="14.85546875" customWidth="1"/>
    <col min="46" max="46" width="15.42578125" customWidth="1"/>
    <col min="50" max="51" width="17.5703125" customWidth="1"/>
    <col min="52" max="52" width="14.42578125" customWidth="1"/>
    <col min="55" max="55" width="16.42578125" customWidth="1"/>
    <col min="57" max="57" width="12.42578125" customWidth="1"/>
    <col min="60" max="60" width="17.85546875" customWidth="1"/>
    <col min="63" max="63" width="17.7109375" customWidth="1"/>
    <col min="64" max="64" width="13.140625" customWidth="1"/>
    <col min="66" max="66" width="13.42578125" customWidth="1"/>
    <col min="67" max="67" width="14" customWidth="1"/>
  </cols>
  <sheetData>
    <row r="1" spans="1:67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1466</v>
      </c>
      <c r="N1" t="s">
        <v>1466</v>
      </c>
      <c r="O1" t="s">
        <v>1467</v>
      </c>
      <c r="Q1" t="s">
        <v>1488</v>
      </c>
    </row>
    <row r="2" spans="1:67" ht="19.5" customHeight="1" thickBot="1" x14ac:dyDescent="0.3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  <c r="M2">
        <f>_xlfn.STDEV.P(B2:B1195)</f>
        <v>2803.7471187153351</v>
      </c>
      <c r="N2">
        <f>_xlfn.STDEV.S(B2:B1195)</f>
        <v>2804.9219551878932</v>
      </c>
      <c r="O2">
        <f>MAX(B2)-MIN(C2)</f>
        <v>8451</v>
      </c>
      <c r="Q2" s="2" t="s">
        <v>1477</v>
      </c>
      <c r="R2" s="2" t="s">
        <v>1478</v>
      </c>
      <c r="S2" s="2" t="s">
        <v>1479</v>
      </c>
      <c r="T2" s="2" t="s">
        <v>1480</v>
      </c>
      <c r="U2" s="2" t="s">
        <v>1481</v>
      </c>
      <c r="V2" s="2" t="s">
        <v>1492</v>
      </c>
      <c r="W2" s="2" t="s">
        <v>1562</v>
      </c>
      <c r="X2" s="2"/>
      <c r="Y2" s="2"/>
      <c r="Z2" s="2"/>
      <c r="AP2" s="2" t="s">
        <v>1477</v>
      </c>
      <c r="AQ2" s="2" t="s">
        <v>1493</v>
      </c>
      <c r="AR2" s="2" t="s">
        <v>1478</v>
      </c>
      <c r="AS2" s="2" t="s">
        <v>1479</v>
      </c>
      <c r="AT2" s="2" t="s">
        <v>1480</v>
      </c>
      <c r="AU2" s="2" t="s">
        <v>1481</v>
      </c>
      <c r="AV2" s="2" t="s">
        <v>1491</v>
      </c>
      <c r="AX2" s="2" t="s">
        <v>1524</v>
      </c>
      <c r="AY2" s="2" t="s">
        <v>1528</v>
      </c>
      <c r="AZ2" s="2"/>
      <c r="BA2" s="2"/>
      <c r="BD2" s="19" t="s">
        <v>1477</v>
      </c>
      <c r="BE2" s="20" t="s">
        <v>1493</v>
      </c>
      <c r="BF2" s="20" t="s">
        <v>1478</v>
      </c>
      <c r="BG2" s="20" t="s">
        <v>1479</v>
      </c>
      <c r="BH2" s="20" t="s">
        <v>1480</v>
      </c>
      <c r="BI2" s="20" t="s">
        <v>1481</v>
      </c>
      <c r="BJ2" s="20" t="s">
        <v>1530</v>
      </c>
      <c r="BK2" s="21" t="s">
        <v>1531</v>
      </c>
      <c r="BO2" s="27" t="s">
        <v>1529</v>
      </c>
    </row>
    <row r="3" spans="1:67" x14ac:dyDescent="0.25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  <c r="O3">
        <f>MAX(B3)-MIN(C3)</f>
        <v>8451</v>
      </c>
      <c r="Q3" s="3">
        <v>1</v>
      </c>
      <c r="R3" s="3">
        <v>22</v>
      </c>
      <c r="S3" s="3" t="s">
        <v>1482</v>
      </c>
      <c r="T3" s="3" t="s">
        <v>1483</v>
      </c>
      <c r="U3" s="3">
        <v>25000</v>
      </c>
      <c r="V3">
        <f t="shared" ref="V3:V32" ca="1" si="0">RAND()</f>
        <v>0.234305845479168</v>
      </c>
      <c r="AI3" s="2"/>
      <c r="AJ3" s="2"/>
      <c r="AP3" s="3">
        <v>201</v>
      </c>
      <c r="AQ3" s="3" t="s">
        <v>1494</v>
      </c>
      <c r="AR3" s="3">
        <v>22</v>
      </c>
      <c r="AS3" s="3" t="s">
        <v>1482</v>
      </c>
      <c r="AT3" s="3" t="s">
        <v>1487</v>
      </c>
      <c r="AU3" s="3">
        <v>25000</v>
      </c>
      <c r="AV3">
        <v>8.826516553569097E-2</v>
      </c>
      <c r="AX3" t="str">
        <f>IF(MOD(AP3-4,10)=0,"SELECTED","NOT SELECTED")</f>
        <v>NOT SELECTED</v>
      </c>
      <c r="BD3" s="22">
        <v>201</v>
      </c>
      <c r="BE3" s="18" t="s">
        <v>1494</v>
      </c>
      <c r="BF3" s="18">
        <v>22</v>
      </c>
      <c r="BG3" s="18" t="s">
        <v>1482</v>
      </c>
      <c r="BH3" s="18" t="s">
        <v>1487</v>
      </c>
      <c r="BI3" s="18">
        <v>25000</v>
      </c>
      <c r="BJ3" s="6">
        <v>0.53531563013571037</v>
      </c>
      <c r="BK3" s="9" t="str">
        <f>IF(MOD(BD3-4,10)=0,"SELECTED","NOT SELECTED")</f>
        <v>NOT SELECTED</v>
      </c>
      <c r="BO3" s="28">
        <f>INT(BD3-1)/6+1</f>
        <v>34.333333333333336</v>
      </c>
    </row>
    <row r="4" spans="1:67" ht="15.75" thickBot="1" x14ac:dyDescent="0.3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  <c r="O4">
        <f>MAX(B2:B1195)-MIN(C2:C1195)</f>
        <v>9942</v>
      </c>
      <c r="Q4" s="3">
        <v>10</v>
      </c>
      <c r="R4" s="3">
        <v>30</v>
      </c>
      <c r="S4" s="3" t="s">
        <v>1484</v>
      </c>
      <c r="T4" s="3" t="s">
        <v>1485</v>
      </c>
      <c r="U4" s="3">
        <v>24000</v>
      </c>
      <c r="V4">
        <f t="shared" ca="1" si="0"/>
        <v>0.36490139297941748</v>
      </c>
      <c r="W4" t="s">
        <v>1565</v>
      </c>
      <c r="AF4" s="3"/>
      <c r="AI4" s="3"/>
      <c r="AJ4" s="3"/>
      <c r="AP4" s="3">
        <v>202</v>
      </c>
      <c r="AQ4" s="3" t="s">
        <v>1495</v>
      </c>
      <c r="AR4" s="3">
        <v>25</v>
      </c>
      <c r="AS4" s="3" t="s">
        <v>1484</v>
      </c>
      <c r="AT4" s="3" t="s">
        <v>1487</v>
      </c>
      <c r="AU4" s="3">
        <v>28000</v>
      </c>
      <c r="AV4">
        <v>4.653696350607861E-3</v>
      </c>
      <c r="AX4" t="str">
        <f t="shared" ref="AX4:AX32" si="1">IF(MOD(AP4-4,10)=0,"SELECTED","NOT SELECTED")</f>
        <v>NOT SELECTED</v>
      </c>
      <c r="AZ4" t="s">
        <v>1525</v>
      </c>
      <c r="BD4" s="23">
        <v>202</v>
      </c>
      <c r="BE4" s="17" t="s">
        <v>1495</v>
      </c>
      <c r="BF4" s="17">
        <v>25</v>
      </c>
      <c r="BG4" s="17" t="s">
        <v>1484</v>
      </c>
      <c r="BH4" s="17" t="s">
        <v>1487</v>
      </c>
      <c r="BI4" s="17">
        <v>28000</v>
      </c>
      <c r="BJ4" s="5">
        <v>0.51913182982157557</v>
      </c>
      <c r="BK4" s="10" t="str">
        <f t="shared" ref="BK4:BK32" si="2">IF(MOD(BD4-4,10)=0,"SELECTED","NOT SELECTED")</f>
        <v>NOT SELECTED</v>
      </c>
      <c r="BO4" s="28">
        <f t="shared" ref="BO4:BO32" si="3">INT(BD4-1)/6+1</f>
        <v>34.5</v>
      </c>
    </row>
    <row r="5" spans="1:67" ht="15.75" thickBot="1" x14ac:dyDescent="0.3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  <c r="Q5" s="3">
        <v>5</v>
      </c>
      <c r="R5" s="3">
        <v>24</v>
      </c>
      <c r="S5" s="3" t="s">
        <v>1482</v>
      </c>
      <c r="T5" s="3" t="s">
        <v>1483</v>
      </c>
      <c r="U5" s="3">
        <v>25500</v>
      </c>
      <c r="V5">
        <f t="shared" ca="1" si="0"/>
        <v>0.78633392239259825</v>
      </c>
      <c r="W5">
        <f>COUNTIF(U3:U32,"&lt;=45000")</f>
        <v>24</v>
      </c>
      <c r="AF5" s="3"/>
      <c r="AI5" s="3"/>
      <c r="AJ5" s="3"/>
      <c r="AP5" s="3">
        <v>203</v>
      </c>
      <c r="AQ5" s="3" t="s">
        <v>1496</v>
      </c>
      <c r="AR5" s="3">
        <v>28</v>
      </c>
      <c r="AS5" s="3" t="s">
        <v>1482</v>
      </c>
      <c r="AT5" s="3" t="s">
        <v>1487</v>
      </c>
      <c r="AU5" s="3">
        <v>35000</v>
      </c>
      <c r="AV5">
        <v>2.7256289531362388E-2</v>
      </c>
      <c r="AX5" t="str">
        <f t="shared" si="1"/>
        <v>NOT SELECTED</v>
      </c>
      <c r="AZ5" t="s">
        <v>1526</v>
      </c>
      <c r="BA5">
        <f>COUNTIF(AT3:AT32,"Finance")</f>
        <v>7</v>
      </c>
      <c r="BD5" s="23">
        <v>203</v>
      </c>
      <c r="BE5" s="17" t="s">
        <v>1496</v>
      </c>
      <c r="BF5" s="17">
        <v>28</v>
      </c>
      <c r="BG5" s="17" t="s">
        <v>1482</v>
      </c>
      <c r="BH5" s="17" t="s">
        <v>1487</v>
      </c>
      <c r="BI5" s="17">
        <v>35000</v>
      </c>
      <c r="BJ5" s="5">
        <v>0.76441505980525348</v>
      </c>
      <c r="BK5" s="10" t="str">
        <f t="shared" si="2"/>
        <v>NOT SELECTED</v>
      </c>
      <c r="BL5" s="26" t="s">
        <v>1528</v>
      </c>
      <c r="BO5" s="28">
        <f t="shared" si="3"/>
        <v>34.666666666666664</v>
      </c>
    </row>
    <row r="6" spans="1:67" ht="15.75" thickBot="1" x14ac:dyDescent="0.3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  <c r="M6" t="s">
        <v>1468</v>
      </c>
      <c r="N6" t="s">
        <v>1469</v>
      </c>
      <c r="O6" t="s">
        <v>1470</v>
      </c>
      <c r="Q6" s="3">
        <v>23</v>
      </c>
      <c r="R6" s="3">
        <v>26</v>
      </c>
      <c r="S6" s="3" t="s">
        <v>1482</v>
      </c>
      <c r="T6" s="3" t="s">
        <v>1486</v>
      </c>
      <c r="U6" s="3">
        <v>26000</v>
      </c>
      <c r="V6">
        <f t="shared" ca="1" si="0"/>
        <v>0.63625487199874076</v>
      </c>
      <c r="AF6" s="3"/>
      <c r="AI6" s="3"/>
      <c r="AJ6" s="3"/>
      <c r="AP6" s="3">
        <v>204</v>
      </c>
      <c r="AQ6" s="3" t="s">
        <v>1497</v>
      </c>
      <c r="AR6" s="3">
        <v>31</v>
      </c>
      <c r="AS6" s="3" t="s">
        <v>1484</v>
      </c>
      <c r="AT6" s="3" t="s">
        <v>1487</v>
      </c>
      <c r="AU6" s="3">
        <v>42000</v>
      </c>
      <c r="AV6">
        <v>0.15255874202283093</v>
      </c>
      <c r="AX6" t="str">
        <f t="shared" si="1"/>
        <v>SELECTED</v>
      </c>
      <c r="AZ6" t="s">
        <v>1485</v>
      </c>
      <c r="BA6">
        <f>COUNTIF(AT3:AT32,"HR")</f>
        <v>8</v>
      </c>
      <c r="BD6" s="23">
        <v>204</v>
      </c>
      <c r="BE6" s="17" t="s">
        <v>1497</v>
      </c>
      <c r="BF6" s="17">
        <v>31</v>
      </c>
      <c r="BG6" s="17" t="s">
        <v>1484</v>
      </c>
      <c r="BH6" s="17" t="s">
        <v>1487</v>
      </c>
      <c r="BI6" s="17">
        <v>42000</v>
      </c>
      <c r="BJ6" s="5">
        <v>0.41072796590159544</v>
      </c>
      <c r="BK6" s="10" t="str">
        <f t="shared" si="2"/>
        <v>SELECTED</v>
      </c>
      <c r="BL6" s="13" t="s">
        <v>1525</v>
      </c>
      <c r="BM6" s="7" t="s">
        <v>1533</v>
      </c>
      <c r="BN6" s="8" t="s">
        <v>1532</v>
      </c>
      <c r="BO6" s="28">
        <f t="shared" si="3"/>
        <v>34.833333333333336</v>
      </c>
    </row>
    <row r="7" spans="1:67" x14ac:dyDescent="0.25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  <c r="M7">
        <f>_xlfn.VAR.P(C2:C1195)</f>
        <v>1248860.5686199002</v>
      </c>
      <c r="N7">
        <f>_xlfn.VAR.S(B2:B1195)</f>
        <v>7867587.1746950746</v>
      </c>
      <c r="O7">
        <f>AVEDEV(B2:B1195)</f>
        <v>2420.2144684898481</v>
      </c>
      <c r="Q7" s="3">
        <v>16</v>
      </c>
      <c r="R7" s="3">
        <v>36</v>
      </c>
      <c r="S7" s="3" t="s">
        <v>1484</v>
      </c>
      <c r="T7" s="3" t="s">
        <v>1487</v>
      </c>
      <c r="U7" s="3">
        <v>26500</v>
      </c>
      <c r="V7">
        <f t="shared" ca="1" si="0"/>
        <v>0.59895388613692802</v>
      </c>
      <c r="W7" t="s">
        <v>1566</v>
      </c>
      <c r="AF7" s="3"/>
      <c r="AI7" s="3"/>
      <c r="AJ7" s="3"/>
      <c r="AP7" s="3">
        <v>205</v>
      </c>
      <c r="AQ7" s="3" t="s">
        <v>1498</v>
      </c>
      <c r="AR7" s="3">
        <v>24</v>
      </c>
      <c r="AS7" s="3" t="s">
        <v>1482</v>
      </c>
      <c r="AT7" s="3" t="s">
        <v>1487</v>
      </c>
      <c r="AU7" s="3">
        <v>27000</v>
      </c>
      <c r="AV7">
        <v>0.18929307609985102</v>
      </c>
      <c r="AX7" t="str">
        <f t="shared" si="1"/>
        <v>NOT SELECTED</v>
      </c>
      <c r="AZ7" t="s">
        <v>1486</v>
      </c>
      <c r="BA7">
        <f>COUNTIF(AT3:AT32,"IT")</f>
        <v>7</v>
      </c>
      <c r="BD7" s="23">
        <v>205</v>
      </c>
      <c r="BE7" s="17" t="s">
        <v>1498</v>
      </c>
      <c r="BF7" s="17">
        <v>24</v>
      </c>
      <c r="BG7" s="17" t="s">
        <v>1482</v>
      </c>
      <c r="BH7" s="17" t="s">
        <v>1487</v>
      </c>
      <c r="BI7" s="17">
        <v>27000</v>
      </c>
      <c r="BJ7" s="5">
        <v>0.92836337579410444</v>
      </c>
      <c r="BK7" s="10" t="str">
        <f t="shared" si="2"/>
        <v>NOT SELECTED</v>
      </c>
      <c r="BL7" s="14" t="s">
        <v>1526</v>
      </c>
      <c r="BM7" s="6">
        <f>COUNTIF(BH3:BH32,"Finance")</f>
        <v>5</v>
      </c>
      <c r="BN7" s="9">
        <f>(5/30)*6</f>
        <v>1</v>
      </c>
      <c r="BO7" s="28">
        <f t="shared" si="3"/>
        <v>35</v>
      </c>
    </row>
    <row r="8" spans="1:67" x14ac:dyDescent="0.25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  <c r="M8">
        <f>_xlfn.VAR.P(B2:B1195)</f>
        <v>7860997.9057045421</v>
      </c>
      <c r="N8">
        <f>_xlfn.VAR.S(C2:C1195)</f>
        <v>1249907.3922314844</v>
      </c>
      <c r="O8">
        <f>AVEDEV(C2:C1195)</f>
        <v>915.85524355445386</v>
      </c>
      <c r="Q8" s="3">
        <v>19</v>
      </c>
      <c r="R8" s="3">
        <v>33</v>
      </c>
      <c r="S8" s="3" t="s">
        <v>1482</v>
      </c>
      <c r="T8" s="3" t="s">
        <v>1486</v>
      </c>
      <c r="U8" s="3">
        <v>27000</v>
      </c>
      <c r="V8">
        <f t="shared" ca="1" si="0"/>
        <v>0.39818979096272467</v>
      </c>
      <c r="W8">
        <f>COUNTIF(U3:U32,"&gt;=45000")</f>
        <v>6</v>
      </c>
      <c r="AF8" s="3"/>
      <c r="AI8" s="3"/>
      <c r="AJ8" s="3"/>
      <c r="AP8" s="3">
        <v>206</v>
      </c>
      <c r="AQ8" s="3" t="s">
        <v>1499</v>
      </c>
      <c r="AR8" s="3">
        <v>29</v>
      </c>
      <c r="AS8" s="3" t="s">
        <v>1484</v>
      </c>
      <c r="AT8" s="3" t="s">
        <v>1487</v>
      </c>
      <c r="AU8" s="3">
        <v>30000</v>
      </c>
      <c r="AV8">
        <v>0.20877786789368535</v>
      </c>
      <c r="AX8" t="str">
        <f t="shared" si="1"/>
        <v>NOT SELECTED</v>
      </c>
      <c r="AZ8" t="s">
        <v>1527</v>
      </c>
      <c r="BA8">
        <f>COUNTIF(AT3:AT32,"Sales")</f>
        <v>8</v>
      </c>
      <c r="BD8" s="23">
        <v>206</v>
      </c>
      <c r="BE8" s="17" t="s">
        <v>1499</v>
      </c>
      <c r="BF8" s="17">
        <v>29</v>
      </c>
      <c r="BG8" s="17" t="s">
        <v>1484</v>
      </c>
      <c r="BH8" s="17" t="s">
        <v>1485</v>
      </c>
      <c r="BI8" s="17">
        <v>30000</v>
      </c>
      <c r="BJ8" s="5">
        <v>0.90756646341441327</v>
      </c>
      <c r="BK8" s="10" t="str">
        <f t="shared" si="2"/>
        <v>NOT SELECTED</v>
      </c>
      <c r="BL8" s="15" t="s">
        <v>1485</v>
      </c>
      <c r="BM8" s="5">
        <f>COUNTIF(BH3:BH32,"HR")</f>
        <v>7</v>
      </c>
      <c r="BN8" s="10">
        <f>(7/30)*5</f>
        <v>1.1666666666666667</v>
      </c>
      <c r="BO8" s="28">
        <f t="shared" si="3"/>
        <v>35.166666666666664</v>
      </c>
    </row>
    <row r="9" spans="1:67" x14ac:dyDescent="0.25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  <c r="Q9" s="3">
        <v>3</v>
      </c>
      <c r="R9" s="3">
        <v>28</v>
      </c>
      <c r="S9" s="3" t="s">
        <v>1482</v>
      </c>
      <c r="T9" s="3" t="s">
        <v>1486</v>
      </c>
      <c r="U9" s="3">
        <v>27500</v>
      </c>
      <c r="V9">
        <f t="shared" ca="1" si="0"/>
        <v>7.5099699070250714E-2</v>
      </c>
      <c r="AP9" s="3">
        <v>207</v>
      </c>
      <c r="AQ9" s="3" t="s">
        <v>1500</v>
      </c>
      <c r="AR9" s="3">
        <v>35</v>
      </c>
      <c r="AS9" s="3" t="s">
        <v>1482</v>
      </c>
      <c r="AT9" s="3" t="s">
        <v>1487</v>
      </c>
      <c r="AU9" s="3">
        <v>50000</v>
      </c>
      <c r="AV9">
        <v>0.23414341024448959</v>
      </c>
      <c r="AX9" t="str">
        <f t="shared" si="1"/>
        <v>NOT SELECTED</v>
      </c>
      <c r="AZ9" t="s">
        <v>1490</v>
      </c>
      <c r="BA9">
        <f>SUM(BA5:BA8)</f>
        <v>30</v>
      </c>
      <c r="BD9" s="23">
        <v>207</v>
      </c>
      <c r="BE9" s="17" t="s">
        <v>1500</v>
      </c>
      <c r="BF9" s="17">
        <v>35</v>
      </c>
      <c r="BG9" s="17" t="s">
        <v>1482</v>
      </c>
      <c r="BH9" s="17" t="s">
        <v>1485</v>
      </c>
      <c r="BI9" s="17">
        <v>50000</v>
      </c>
      <c r="BJ9" s="5">
        <v>0.24682039975806203</v>
      </c>
      <c r="BK9" s="10" t="str">
        <f t="shared" si="2"/>
        <v>NOT SELECTED</v>
      </c>
      <c r="BL9" s="15" t="s">
        <v>1486</v>
      </c>
      <c r="BM9" s="5">
        <f>COUNTIF(BH3:BH32,"IT")</f>
        <v>8</v>
      </c>
      <c r="BN9" s="10">
        <f>(8/30)*8</f>
        <v>2.1333333333333333</v>
      </c>
      <c r="BO9" s="28">
        <f t="shared" si="3"/>
        <v>35.333333333333336</v>
      </c>
    </row>
    <row r="10" spans="1:67" ht="15.75" thickBot="1" x14ac:dyDescent="0.3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  <c r="Q10" s="3">
        <v>26</v>
      </c>
      <c r="R10" s="3">
        <v>30</v>
      </c>
      <c r="S10" s="3" t="s">
        <v>1484</v>
      </c>
      <c r="T10" s="3" t="s">
        <v>1485</v>
      </c>
      <c r="U10" s="3">
        <v>28000</v>
      </c>
      <c r="V10">
        <f t="shared" ca="1" si="0"/>
        <v>6.6703851835958616E-4</v>
      </c>
      <c r="W10" t="s">
        <v>1490</v>
      </c>
      <c r="AP10" s="3">
        <v>208</v>
      </c>
      <c r="AQ10" s="3" t="s">
        <v>1501</v>
      </c>
      <c r="AR10" s="3">
        <v>27</v>
      </c>
      <c r="AS10" s="3" t="s">
        <v>1484</v>
      </c>
      <c r="AT10" s="3" t="s">
        <v>1485</v>
      </c>
      <c r="AU10" s="3">
        <v>38000</v>
      </c>
      <c r="AV10">
        <v>0.24509368009007559</v>
      </c>
      <c r="AX10" t="str">
        <f t="shared" si="1"/>
        <v>NOT SELECTED</v>
      </c>
      <c r="BD10" s="23">
        <v>208</v>
      </c>
      <c r="BE10" s="17" t="s">
        <v>1501</v>
      </c>
      <c r="BF10" s="17">
        <v>27</v>
      </c>
      <c r="BG10" s="17" t="s">
        <v>1484</v>
      </c>
      <c r="BH10" s="17" t="s">
        <v>1485</v>
      </c>
      <c r="BI10" s="17">
        <v>38000</v>
      </c>
      <c r="BJ10" s="5">
        <v>0.16521012141969627</v>
      </c>
      <c r="BK10" s="10" t="str">
        <f t="shared" si="2"/>
        <v>NOT SELECTED</v>
      </c>
      <c r="BL10" s="16" t="s">
        <v>1527</v>
      </c>
      <c r="BM10" s="11">
        <f>COUNTIF(BH3:BH32,"SALES")</f>
        <v>10</v>
      </c>
      <c r="BN10" s="12">
        <f>(10/30)*3</f>
        <v>1</v>
      </c>
      <c r="BO10" s="28">
        <f t="shared" si="3"/>
        <v>35.5</v>
      </c>
    </row>
    <row r="11" spans="1:67" x14ac:dyDescent="0.25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  <c r="M11" t="s">
        <v>1471</v>
      </c>
      <c r="N11" t="s">
        <v>1474</v>
      </c>
      <c r="O11" t="s">
        <v>1472</v>
      </c>
      <c r="Q11" s="3">
        <v>24</v>
      </c>
      <c r="R11" s="3">
        <v>35</v>
      </c>
      <c r="S11" s="3" t="s">
        <v>1484</v>
      </c>
      <c r="T11" s="3" t="s">
        <v>1487</v>
      </c>
      <c r="U11" s="3">
        <v>29000</v>
      </c>
      <c r="V11">
        <f t="shared" ca="1" si="0"/>
        <v>0.55988001695249667</v>
      </c>
      <c r="W11">
        <v>30</v>
      </c>
      <c r="Y11">
        <f>12/50</f>
        <v>0.24</v>
      </c>
      <c r="AP11" s="3">
        <v>209</v>
      </c>
      <c r="AQ11" s="3" t="s">
        <v>1502</v>
      </c>
      <c r="AR11" s="3">
        <v>23</v>
      </c>
      <c r="AS11" s="3" t="s">
        <v>1482</v>
      </c>
      <c r="AT11" s="3" t="s">
        <v>1485</v>
      </c>
      <c r="AU11" s="3">
        <v>26000</v>
      </c>
      <c r="AV11">
        <v>0.25669195213868634</v>
      </c>
      <c r="AX11" t="str">
        <f t="shared" si="1"/>
        <v>NOT SELECTED</v>
      </c>
      <c r="BD11" s="23">
        <v>209</v>
      </c>
      <c r="BE11" s="17" t="s">
        <v>1502</v>
      </c>
      <c r="BF11" s="17">
        <v>23</v>
      </c>
      <c r="BG11" s="17" t="s">
        <v>1482</v>
      </c>
      <c r="BH11" s="17" t="s">
        <v>1485</v>
      </c>
      <c r="BI11" s="17">
        <v>26000</v>
      </c>
      <c r="BJ11" s="5">
        <v>0.21691864603392008</v>
      </c>
      <c r="BK11" s="10" t="str">
        <f t="shared" si="2"/>
        <v>NOT SELECTED</v>
      </c>
      <c r="BO11" s="28">
        <f t="shared" si="3"/>
        <v>35.666666666666664</v>
      </c>
    </row>
    <row r="12" spans="1:67" x14ac:dyDescent="0.25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  <c r="M12">
        <f>AVERAGE(B2:B1195)</f>
        <v>5178.0896147403682</v>
      </c>
      <c r="N12">
        <f>_xlfn.MODE.SNGL(B2:B1195)</f>
        <v>717</v>
      </c>
      <c r="O12">
        <f>MEDIAN(B2:B1195)</f>
        <v>5152</v>
      </c>
      <c r="Q12" s="3">
        <v>14</v>
      </c>
      <c r="R12" s="3">
        <v>32</v>
      </c>
      <c r="S12" s="3" t="s">
        <v>1484</v>
      </c>
      <c r="T12" s="3" t="s">
        <v>1485</v>
      </c>
      <c r="U12" s="3">
        <v>30000</v>
      </c>
      <c r="V12">
        <f t="shared" ca="1" si="0"/>
        <v>0.70002992396723474</v>
      </c>
      <c r="AP12" s="3">
        <v>210</v>
      </c>
      <c r="AQ12" s="3" t="s">
        <v>1503</v>
      </c>
      <c r="AR12" s="3">
        <v>30</v>
      </c>
      <c r="AS12" s="3" t="s">
        <v>1484</v>
      </c>
      <c r="AT12" s="3" t="s">
        <v>1485</v>
      </c>
      <c r="AU12" s="3">
        <v>32000</v>
      </c>
      <c r="AV12">
        <v>0.27326969808605328</v>
      </c>
      <c r="AX12" t="str">
        <f t="shared" si="1"/>
        <v>NOT SELECTED</v>
      </c>
      <c r="BD12" s="23">
        <v>210</v>
      </c>
      <c r="BE12" s="17" t="s">
        <v>1503</v>
      </c>
      <c r="BF12" s="17">
        <v>30</v>
      </c>
      <c r="BG12" s="17" t="s">
        <v>1484</v>
      </c>
      <c r="BH12" s="17" t="s">
        <v>1485</v>
      </c>
      <c r="BI12" s="17">
        <v>32000</v>
      </c>
      <c r="BJ12" s="5">
        <v>0.61991771068390855</v>
      </c>
      <c r="BK12" s="10" t="str">
        <f t="shared" si="2"/>
        <v>NOT SELECTED</v>
      </c>
      <c r="BO12" s="28">
        <f t="shared" si="3"/>
        <v>35.833333333333336</v>
      </c>
    </row>
    <row r="13" spans="1:67" x14ac:dyDescent="0.25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  <c r="M13">
        <f>AVERAGE(C2:C1195)</f>
        <v>1348.9924623115578</v>
      </c>
      <c r="N13">
        <f>_xlfn.MODE.SNGL(C2:C1195)</f>
        <v>177</v>
      </c>
      <c r="O13">
        <f>MEDIAN(C2:C1195)</f>
        <v>1014</v>
      </c>
      <c r="Q13" s="3">
        <v>9</v>
      </c>
      <c r="R13" s="3">
        <v>23</v>
      </c>
      <c r="S13" s="3" t="s">
        <v>1482</v>
      </c>
      <c r="T13" s="3" t="s">
        <v>1483</v>
      </c>
      <c r="U13" s="3">
        <v>31000</v>
      </c>
      <c r="V13">
        <f t="shared" ca="1" si="0"/>
        <v>0.68170372534708934</v>
      </c>
      <c r="W13" t="s">
        <v>1564</v>
      </c>
      <c r="AP13" s="3">
        <v>211</v>
      </c>
      <c r="AQ13" s="3" t="s">
        <v>1504</v>
      </c>
      <c r="AR13" s="3">
        <v>26</v>
      </c>
      <c r="AS13" s="3" t="s">
        <v>1482</v>
      </c>
      <c r="AT13" s="3" t="s">
        <v>1485</v>
      </c>
      <c r="AU13" s="3">
        <v>36000</v>
      </c>
      <c r="AV13">
        <v>0.2949282087721008</v>
      </c>
      <c r="AX13" t="str">
        <f t="shared" si="1"/>
        <v>NOT SELECTED</v>
      </c>
      <c r="BD13" s="23">
        <v>211</v>
      </c>
      <c r="BE13" s="17" t="s">
        <v>1504</v>
      </c>
      <c r="BF13" s="17">
        <v>26</v>
      </c>
      <c r="BG13" s="17" t="s">
        <v>1482</v>
      </c>
      <c r="BH13" s="17" t="s">
        <v>1485</v>
      </c>
      <c r="BI13" s="17">
        <v>36000</v>
      </c>
      <c r="BJ13" s="5">
        <v>0.60718580772453101</v>
      </c>
      <c r="BK13" s="10" t="str">
        <f t="shared" si="2"/>
        <v>NOT SELECTED</v>
      </c>
      <c r="BO13" s="28">
        <f t="shared" si="3"/>
        <v>36</v>
      </c>
    </row>
    <row r="14" spans="1:67" x14ac:dyDescent="0.25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  <c r="Q14" s="3">
        <v>4</v>
      </c>
      <c r="R14" s="3">
        <v>31</v>
      </c>
      <c r="S14" s="3" t="s">
        <v>1484</v>
      </c>
      <c r="T14" s="3" t="s">
        <v>1487</v>
      </c>
      <c r="U14" s="3">
        <v>32000</v>
      </c>
      <c r="V14">
        <f t="shared" ca="1" si="0"/>
        <v>0.63344139190075877</v>
      </c>
      <c r="W14">
        <f>W5/W11</f>
        <v>0.8</v>
      </c>
      <c r="AJ14" s="4"/>
      <c r="AP14" s="3">
        <v>212</v>
      </c>
      <c r="AQ14" s="3" t="s">
        <v>1505</v>
      </c>
      <c r="AR14" s="3">
        <v>34</v>
      </c>
      <c r="AS14" s="3" t="s">
        <v>1484</v>
      </c>
      <c r="AT14" s="3" t="s">
        <v>1485</v>
      </c>
      <c r="AU14" s="3">
        <v>48000</v>
      </c>
      <c r="AV14">
        <v>0.29622035315100093</v>
      </c>
      <c r="AX14" t="str">
        <f t="shared" si="1"/>
        <v>NOT SELECTED</v>
      </c>
      <c r="BD14" s="23">
        <v>212</v>
      </c>
      <c r="BE14" s="17" t="s">
        <v>1505</v>
      </c>
      <c r="BF14" s="17">
        <v>34</v>
      </c>
      <c r="BG14" s="17" t="s">
        <v>1484</v>
      </c>
      <c r="BH14" s="17" t="s">
        <v>1485</v>
      </c>
      <c r="BI14" s="17">
        <v>48000</v>
      </c>
      <c r="BJ14" s="5">
        <v>0.35797584489806578</v>
      </c>
      <c r="BK14" s="10" t="str">
        <f t="shared" si="2"/>
        <v>NOT SELECTED</v>
      </c>
      <c r="BO14" s="28">
        <f t="shared" si="3"/>
        <v>36.166666666666664</v>
      </c>
    </row>
    <row r="15" spans="1:67" x14ac:dyDescent="0.25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  <c r="M15" t="s">
        <v>1473</v>
      </c>
      <c r="N15" t="s">
        <v>1475</v>
      </c>
      <c r="Q15" s="3">
        <v>27</v>
      </c>
      <c r="R15" s="3">
        <v>28</v>
      </c>
      <c r="S15" s="3" t="s">
        <v>1482</v>
      </c>
      <c r="T15" s="3" t="s">
        <v>1486</v>
      </c>
      <c r="U15" s="3">
        <v>32500</v>
      </c>
      <c r="V15">
        <f t="shared" ca="1" si="0"/>
        <v>0.98161556022216778</v>
      </c>
      <c r="AL15" s="4"/>
      <c r="AP15" s="3">
        <v>213</v>
      </c>
      <c r="AQ15" s="3" t="s">
        <v>1506</v>
      </c>
      <c r="AR15" s="3">
        <v>21</v>
      </c>
      <c r="AS15" s="3" t="s">
        <v>1482</v>
      </c>
      <c r="AT15" s="3" t="s">
        <v>1485</v>
      </c>
      <c r="AU15" s="3">
        <v>24000</v>
      </c>
      <c r="AV15">
        <v>0.32078642554888948</v>
      </c>
      <c r="AX15" t="str">
        <f t="shared" si="1"/>
        <v>NOT SELECTED</v>
      </c>
      <c r="BD15" s="23">
        <v>213</v>
      </c>
      <c r="BE15" s="17" t="s">
        <v>1506</v>
      </c>
      <c r="BF15" s="17">
        <v>21</v>
      </c>
      <c r="BG15" s="17" t="s">
        <v>1482</v>
      </c>
      <c r="BH15" s="17" t="s">
        <v>1486</v>
      </c>
      <c r="BI15" s="17">
        <v>24000</v>
      </c>
      <c r="BJ15" s="5">
        <v>0.9989020126371847</v>
      </c>
      <c r="BK15" s="10" t="str">
        <f t="shared" si="2"/>
        <v>NOT SELECTED</v>
      </c>
      <c r="BO15" s="28">
        <f t="shared" si="3"/>
        <v>36.333333333333336</v>
      </c>
    </row>
    <row r="16" spans="1:67" x14ac:dyDescent="0.25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  <c r="M16" cm="1">
        <f t="array" ref="M16:M17">_xlfn.MODE.MULT(B2:B1195)</f>
        <v>717</v>
      </c>
      <c r="N16" cm="1">
        <f t="array" ref="N16">_xlfn.MODE.MULT(C2:D1195)</f>
        <v>14</v>
      </c>
      <c r="Q16" s="3">
        <v>17</v>
      </c>
      <c r="R16" s="3">
        <v>25</v>
      </c>
      <c r="S16" s="3" t="s">
        <v>1482</v>
      </c>
      <c r="T16" s="3" t="s">
        <v>1483</v>
      </c>
      <c r="U16" s="3">
        <v>33500</v>
      </c>
      <c r="V16">
        <f t="shared" ca="1" si="0"/>
        <v>0.88383856733288158</v>
      </c>
      <c r="AP16" s="3">
        <v>214</v>
      </c>
      <c r="AQ16" s="3" t="s">
        <v>1507</v>
      </c>
      <c r="AR16" s="3">
        <v>32</v>
      </c>
      <c r="AS16" s="3" t="s">
        <v>1484</v>
      </c>
      <c r="AT16" s="3" t="s">
        <v>1485</v>
      </c>
      <c r="AU16" s="3">
        <v>34000</v>
      </c>
      <c r="AV16">
        <v>0.42203556875506865</v>
      </c>
      <c r="AX16" t="str">
        <f t="shared" si="1"/>
        <v>SELECTED</v>
      </c>
      <c r="BD16" s="23">
        <v>214</v>
      </c>
      <c r="BE16" s="17" t="s">
        <v>1507</v>
      </c>
      <c r="BF16" s="17">
        <v>32</v>
      </c>
      <c r="BG16" s="17" t="s">
        <v>1484</v>
      </c>
      <c r="BH16" s="17" t="s">
        <v>1486</v>
      </c>
      <c r="BI16" s="17">
        <v>34000</v>
      </c>
      <c r="BJ16" s="5">
        <v>0.4022992082952741</v>
      </c>
      <c r="BK16" s="10" t="str">
        <f t="shared" si="2"/>
        <v>SELECTED</v>
      </c>
      <c r="BO16" s="28">
        <f t="shared" si="3"/>
        <v>36.5</v>
      </c>
    </row>
    <row r="17" spans="1:67" x14ac:dyDescent="0.25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  <c r="M17">
        <v>508</v>
      </c>
      <c r="N17" cm="1">
        <f t="array" ref="N17">_xlfn.MODE.MULT(C2:C1195)</f>
        <v>177</v>
      </c>
      <c r="Q17" s="3">
        <v>11</v>
      </c>
      <c r="R17" s="3">
        <v>26</v>
      </c>
      <c r="S17" s="3" t="s">
        <v>1482</v>
      </c>
      <c r="T17" s="3" t="s">
        <v>1486</v>
      </c>
      <c r="U17" s="3">
        <v>34000</v>
      </c>
      <c r="V17">
        <f t="shared" ca="1" si="0"/>
        <v>0.84476091643986362</v>
      </c>
      <c r="AP17" s="3">
        <v>215</v>
      </c>
      <c r="AQ17" s="3" t="s">
        <v>1508</v>
      </c>
      <c r="AR17" s="3">
        <v>29</v>
      </c>
      <c r="AS17" s="3" t="s">
        <v>1482</v>
      </c>
      <c r="AT17" s="3" t="s">
        <v>1485</v>
      </c>
      <c r="AU17" s="3">
        <v>41000</v>
      </c>
      <c r="AV17">
        <v>0.51310655004885231</v>
      </c>
      <c r="AX17" t="str">
        <f t="shared" si="1"/>
        <v>NOT SELECTED</v>
      </c>
      <c r="BD17" s="23">
        <v>215</v>
      </c>
      <c r="BE17" s="17" t="s">
        <v>1508</v>
      </c>
      <c r="BF17" s="17">
        <v>29</v>
      </c>
      <c r="BG17" s="17" t="s">
        <v>1482</v>
      </c>
      <c r="BH17" s="17" t="s">
        <v>1486</v>
      </c>
      <c r="BI17" s="17">
        <v>41000</v>
      </c>
      <c r="BJ17" s="5">
        <v>0.36934264564780994</v>
      </c>
      <c r="BK17" s="10" t="str">
        <f t="shared" si="2"/>
        <v>NOT SELECTED</v>
      </c>
      <c r="BO17" s="28">
        <f t="shared" si="3"/>
        <v>36.666666666666664</v>
      </c>
    </row>
    <row r="18" spans="1:67" x14ac:dyDescent="0.25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  <c r="N18" cm="1">
        <f t="array" ref="N18">_xlfn.MODE.MULT(D2:D1195)</f>
        <v>14</v>
      </c>
      <c r="Q18" s="3">
        <v>28</v>
      </c>
      <c r="R18" s="3">
        <v>37</v>
      </c>
      <c r="S18" s="3" t="s">
        <v>1484</v>
      </c>
      <c r="T18" s="3" t="s">
        <v>1487</v>
      </c>
      <c r="U18" s="3">
        <v>34500</v>
      </c>
      <c r="V18">
        <f t="shared" ca="1" si="0"/>
        <v>0.73705466889849913</v>
      </c>
      <c r="AP18" s="3">
        <v>216</v>
      </c>
      <c r="AQ18" s="3" t="s">
        <v>1509</v>
      </c>
      <c r="AR18" s="3">
        <v>36</v>
      </c>
      <c r="AS18" s="3" t="s">
        <v>1484</v>
      </c>
      <c r="AT18" s="3" t="s">
        <v>1486</v>
      </c>
      <c r="AU18" s="3">
        <v>52000</v>
      </c>
      <c r="AV18">
        <v>0.52192587885720476</v>
      </c>
      <c r="AX18" t="str">
        <f t="shared" si="1"/>
        <v>NOT SELECTED</v>
      </c>
      <c r="BD18" s="23">
        <v>216</v>
      </c>
      <c r="BE18" s="17" t="s">
        <v>1509</v>
      </c>
      <c r="BF18" s="17">
        <v>36</v>
      </c>
      <c r="BG18" s="17" t="s">
        <v>1484</v>
      </c>
      <c r="BH18" s="17" t="s">
        <v>1486</v>
      </c>
      <c r="BI18" s="17">
        <v>52000</v>
      </c>
      <c r="BJ18" s="5">
        <v>0.23694166183787668</v>
      </c>
      <c r="BK18" s="10" t="str">
        <f t="shared" si="2"/>
        <v>NOT SELECTED</v>
      </c>
      <c r="BO18" s="28">
        <f t="shared" si="3"/>
        <v>36.833333333333336</v>
      </c>
    </row>
    <row r="19" spans="1:67" x14ac:dyDescent="0.25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  <c r="M19" t="s">
        <v>1476</v>
      </c>
      <c r="Q19" s="3">
        <v>29</v>
      </c>
      <c r="R19" s="3">
        <v>23</v>
      </c>
      <c r="S19" s="3" t="s">
        <v>1482</v>
      </c>
      <c r="T19" s="3" t="s">
        <v>1483</v>
      </c>
      <c r="U19" s="3">
        <v>35000</v>
      </c>
      <c r="V19">
        <f t="shared" ca="1" si="0"/>
        <v>0.67891328082893077</v>
      </c>
      <c r="AP19" s="3">
        <v>217</v>
      </c>
      <c r="AQ19" s="3" t="s">
        <v>1510</v>
      </c>
      <c r="AR19" s="3">
        <v>25</v>
      </c>
      <c r="AS19" s="3" t="s">
        <v>1482</v>
      </c>
      <c r="AT19" s="3" t="s">
        <v>1486</v>
      </c>
      <c r="AU19" s="3">
        <v>29000</v>
      </c>
      <c r="AV19">
        <v>0.571932029349842</v>
      </c>
      <c r="AX19" t="str">
        <f t="shared" si="1"/>
        <v>NOT SELECTED</v>
      </c>
      <c r="BD19" s="23">
        <v>217</v>
      </c>
      <c r="BE19" s="17" t="s">
        <v>1510</v>
      </c>
      <c r="BF19" s="17">
        <v>25</v>
      </c>
      <c r="BG19" s="17" t="s">
        <v>1482</v>
      </c>
      <c r="BH19" s="17" t="s">
        <v>1486</v>
      </c>
      <c r="BI19" s="17">
        <v>29000</v>
      </c>
      <c r="BJ19" s="5">
        <v>0.26940050756579603</v>
      </c>
      <c r="BK19" s="10" t="str">
        <f t="shared" si="2"/>
        <v>NOT SELECTED</v>
      </c>
      <c r="BO19" s="28">
        <f t="shared" si="3"/>
        <v>37</v>
      </c>
    </row>
    <row r="20" spans="1:67" x14ac:dyDescent="0.25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  <c r="M20">
        <f>_xlfn.QUARTILE.INC(C2:C1195,1)</f>
        <v>410</v>
      </c>
      <c r="N20">
        <f>_xlfn.QUARTILE.EXC(D2:D1195,3)</f>
        <v>16</v>
      </c>
      <c r="Q20" s="3">
        <v>25</v>
      </c>
      <c r="R20" s="3">
        <v>24</v>
      </c>
      <c r="S20" s="3" t="s">
        <v>1482</v>
      </c>
      <c r="T20" s="3" t="s">
        <v>1483</v>
      </c>
      <c r="U20" s="3">
        <v>36000</v>
      </c>
      <c r="V20">
        <f t="shared" ca="1" si="0"/>
        <v>0.48647307150463825</v>
      </c>
      <c r="AP20" s="3">
        <v>218</v>
      </c>
      <c r="AQ20" s="3" t="s">
        <v>1511</v>
      </c>
      <c r="AR20" s="3">
        <v>28</v>
      </c>
      <c r="AS20" s="3" t="s">
        <v>1484</v>
      </c>
      <c r="AT20" s="3" t="s">
        <v>1486</v>
      </c>
      <c r="AU20" s="3">
        <v>31000</v>
      </c>
      <c r="AV20">
        <v>0.58568378104349872</v>
      </c>
      <c r="AX20" t="str">
        <f t="shared" si="1"/>
        <v>NOT SELECTED</v>
      </c>
      <c r="BD20" s="23">
        <v>218</v>
      </c>
      <c r="BE20" s="17" t="s">
        <v>1511</v>
      </c>
      <c r="BF20" s="17">
        <v>28</v>
      </c>
      <c r="BG20" s="17" t="s">
        <v>1484</v>
      </c>
      <c r="BH20" s="17" t="s">
        <v>1486</v>
      </c>
      <c r="BI20" s="17">
        <v>31000</v>
      </c>
      <c r="BJ20" s="5">
        <v>8.1679057581979242E-3</v>
      </c>
      <c r="BK20" s="10" t="str">
        <f t="shared" si="2"/>
        <v>NOT SELECTED</v>
      </c>
      <c r="BO20" s="28">
        <f t="shared" si="3"/>
        <v>37.166666666666664</v>
      </c>
    </row>
    <row r="21" spans="1:67" x14ac:dyDescent="0.25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  <c r="M21">
        <f>_xlfn.QUARTILE.INC(D2:D1195,2)</f>
        <v>11</v>
      </c>
      <c r="N21">
        <f>_xlfn.QUARTILE.EXC(C2:C1195,2)</f>
        <v>1014</v>
      </c>
      <c r="Q21" s="3">
        <v>22</v>
      </c>
      <c r="R21" s="3">
        <v>31</v>
      </c>
      <c r="S21" s="3" t="s">
        <v>1484</v>
      </c>
      <c r="T21" s="3" t="s">
        <v>1485</v>
      </c>
      <c r="U21" s="3">
        <v>37000</v>
      </c>
      <c r="V21">
        <f t="shared" ca="1" si="0"/>
        <v>7.699501174827339E-2</v>
      </c>
      <c r="AP21" s="3">
        <v>219</v>
      </c>
      <c r="AQ21" s="3" t="s">
        <v>1512</v>
      </c>
      <c r="AR21" s="3">
        <v>33</v>
      </c>
      <c r="AS21" s="3" t="s">
        <v>1482</v>
      </c>
      <c r="AT21" s="3" t="s">
        <v>1486</v>
      </c>
      <c r="AU21" s="3">
        <v>47000</v>
      </c>
      <c r="AV21">
        <v>0.58652770045894764</v>
      </c>
      <c r="AX21" t="str">
        <f t="shared" si="1"/>
        <v>NOT SELECTED</v>
      </c>
      <c r="BD21" s="23">
        <v>219</v>
      </c>
      <c r="BE21" s="17" t="s">
        <v>1512</v>
      </c>
      <c r="BF21" s="17">
        <v>33</v>
      </c>
      <c r="BG21" s="17" t="s">
        <v>1482</v>
      </c>
      <c r="BH21" s="17" t="s">
        <v>1486</v>
      </c>
      <c r="BI21" s="17">
        <v>47000</v>
      </c>
      <c r="BJ21" s="5">
        <v>0.74787831692310502</v>
      </c>
      <c r="BK21" s="10" t="str">
        <f t="shared" si="2"/>
        <v>NOT SELECTED</v>
      </c>
      <c r="BO21" s="28">
        <f t="shared" si="3"/>
        <v>37.333333333333336</v>
      </c>
    </row>
    <row r="22" spans="1:67" ht="18.75" customHeight="1" x14ac:dyDescent="0.25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  <c r="Q22" s="3">
        <v>8</v>
      </c>
      <c r="R22" s="3">
        <v>27</v>
      </c>
      <c r="S22" s="3" t="s">
        <v>1484</v>
      </c>
      <c r="T22" s="3" t="s">
        <v>1487</v>
      </c>
      <c r="U22" s="3">
        <v>38000</v>
      </c>
      <c r="V22">
        <f t="shared" ca="1" si="0"/>
        <v>0.72487110650815867</v>
      </c>
      <c r="AE22" s="2"/>
      <c r="AF22" s="2"/>
      <c r="AP22" s="3">
        <v>220</v>
      </c>
      <c r="AQ22" s="3" t="s">
        <v>1513</v>
      </c>
      <c r="AR22" s="3">
        <v>27</v>
      </c>
      <c r="AS22" s="3" t="s">
        <v>1484</v>
      </c>
      <c r="AT22" s="3" t="s">
        <v>1486</v>
      </c>
      <c r="AU22" s="3">
        <v>39000</v>
      </c>
      <c r="AV22">
        <v>0.5915139525140708</v>
      </c>
      <c r="AX22" t="str">
        <f t="shared" si="1"/>
        <v>NOT SELECTED</v>
      </c>
      <c r="BD22" s="23">
        <v>220</v>
      </c>
      <c r="BE22" s="17" t="s">
        <v>1513</v>
      </c>
      <c r="BF22" s="17">
        <v>27</v>
      </c>
      <c r="BG22" s="17" t="s">
        <v>1484</v>
      </c>
      <c r="BH22" s="17" t="s">
        <v>1486</v>
      </c>
      <c r="BI22" s="17">
        <v>39000</v>
      </c>
      <c r="BJ22" s="5">
        <v>0.85793010789675084</v>
      </c>
      <c r="BK22" s="10" t="str">
        <f t="shared" si="2"/>
        <v>NOT SELECTED</v>
      </c>
      <c r="BO22" s="28">
        <f t="shared" si="3"/>
        <v>37.5</v>
      </c>
    </row>
    <row r="23" spans="1:67" x14ac:dyDescent="0.25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  <c r="Q23" s="3">
        <v>2</v>
      </c>
      <c r="R23" s="3">
        <v>25</v>
      </c>
      <c r="S23" s="3" t="s">
        <v>1484</v>
      </c>
      <c r="T23" s="3" t="s">
        <v>1485</v>
      </c>
      <c r="U23" s="3">
        <v>39000</v>
      </c>
      <c r="V23">
        <f t="shared" ca="1" si="0"/>
        <v>0.18464936455405878</v>
      </c>
      <c r="AE23" s="3"/>
      <c r="AF23" s="3"/>
      <c r="AP23" s="3">
        <v>221</v>
      </c>
      <c r="AQ23" s="3" t="s">
        <v>1514</v>
      </c>
      <c r="AR23" s="3">
        <v>22</v>
      </c>
      <c r="AS23" s="3" t="s">
        <v>1482</v>
      </c>
      <c r="AT23" s="3" t="s">
        <v>1486</v>
      </c>
      <c r="AU23" s="3">
        <v>25500</v>
      </c>
      <c r="AV23">
        <v>0.65838000431930899</v>
      </c>
      <c r="AX23" t="str">
        <f t="shared" si="1"/>
        <v>NOT SELECTED</v>
      </c>
      <c r="BD23" s="23">
        <v>221</v>
      </c>
      <c r="BE23" s="17" t="s">
        <v>1514</v>
      </c>
      <c r="BF23" s="17">
        <v>22</v>
      </c>
      <c r="BG23" s="17" t="s">
        <v>1482</v>
      </c>
      <c r="BH23" s="17" t="s">
        <v>1483</v>
      </c>
      <c r="BI23" s="17">
        <v>25500</v>
      </c>
      <c r="BJ23" s="5">
        <v>0.84408087601963977</v>
      </c>
      <c r="BK23" s="10" t="str">
        <f t="shared" si="2"/>
        <v>NOT SELECTED</v>
      </c>
      <c r="BO23" s="28">
        <f t="shared" si="3"/>
        <v>37.666666666666664</v>
      </c>
    </row>
    <row r="24" spans="1:67" x14ac:dyDescent="0.25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  <c r="Q24" s="3">
        <v>18</v>
      </c>
      <c r="R24" s="3">
        <v>28</v>
      </c>
      <c r="S24" s="3" t="s">
        <v>1484</v>
      </c>
      <c r="T24" s="3" t="s">
        <v>1485</v>
      </c>
      <c r="U24" s="3">
        <v>40000</v>
      </c>
      <c r="V24">
        <f t="shared" ca="1" si="0"/>
        <v>0.31831853764441731</v>
      </c>
      <c r="AE24" s="3"/>
      <c r="AF24" s="3"/>
      <c r="AP24" s="3">
        <v>222</v>
      </c>
      <c r="AQ24" s="3" t="s">
        <v>1515</v>
      </c>
      <c r="AR24" s="3">
        <v>31</v>
      </c>
      <c r="AS24" s="3" t="s">
        <v>1484</v>
      </c>
      <c r="AT24" s="3" t="s">
        <v>1486</v>
      </c>
      <c r="AU24" s="3">
        <v>33500</v>
      </c>
      <c r="AV24">
        <v>0.72777019436165391</v>
      </c>
      <c r="AX24" t="str">
        <f t="shared" si="1"/>
        <v>NOT SELECTED</v>
      </c>
      <c r="BD24" s="23">
        <v>222</v>
      </c>
      <c r="BE24" s="17" t="s">
        <v>1515</v>
      </c>
      <c r="BF24" s="17">
        <v>31</v>
      </c>
      <c r="BG24" s="17" t="s">
        <v>1484</v>
      </c>
      <c r="BH24" s="17" t="s">
        <v>1483</v>
      </c>
      <c r="BI24" s="17">
        <v>33500</v>
      </c>
      <c r="BJ24" s="5">
        <v>0.11945347548397023</v>
      </c>
      <c r="BK24" s="10" t="str">
        <f t="shared" si="2"/>
        <v>NOT SELECTED</v>
      </c>
      <c r="BO24" s="28">
        <f t="shared" si="3"/>
        <v>37.833333333333336</v>
      </c>
    </row>
    <row r="25" spans="1:67" x14ac:dyDescent="0.25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  <c r="Q25" s="3">
        <v>7</v>
      </c>
      <c r="R25" s="3">
        <v>35</v>
      </c>
      <c r="S25" s="3" t="s">
        <v>1482</v>
      </c>
      <c r="T25" s="3" t="s">
        <v>1486</v>
      </c>
      <c r="U25" s="3">
        <v>41000</v>
      </c>
      <c r="V25">
        <f t="shared" ca="1" si="0"/>
        <v>0.22331912769420603</v>
      </c>
      <c r="AE25" s="3"/>
      <c r="AF25" s="3"/>
      <c r="AP25" s="3">
        <v>223</v>
      </c>
      <c r="AQ25" s="3" t="s">
        <v>1516</v>
      </c>
      <c r="AR25" s="3">
        <v>26</v>
      </c>
      <c r="AS25" s="3" t="s">
        <v>1482</v>
      </c>
      <c r="AT25" s="3" t="s">
        <v>1483</v>
      </c>
      <c r="AU25" s="3">
        <v>37000</v>
      </c>
      <c r="AV25">
        <v>0.75793906546499956</v>
      </c>
      <c r="AX25" t="str">
        <f t="shared" si="1"/>
        <v>NOT SELECTED</v>
      </c>
      <c r="BD25" s="23">
        <v>223</v>
      </c>
      <c r="BE25" s="17" t="s">
        <v>1516</v>
      </c>
      <c r="BF25" s="17">
        <v>26</v>
      </c>
      <c r="BG25" s="17" t="s">
        <v>1482</v>
      </c>
      <c r="BH25" s="17" t="s">
        <v>1483</v>
      </c>
      <c r="BI25" s="17">
        <v>37000</v>
      </c>
      <c r="BJ25" s="5">
        <v>0.98238719885739545</v>
      </c>
      <c r="BK25" s="10" t="str">
        <f t="shared" si="2"/>
        <v>NOT SELECTED</v>
      </c>
      <c r="BO25" s="28">
        <f t="shared" si="3"/>
        <v>38</v>
      </c>
    </row>
    <row r="26" spans="1:67" x14ac:dyDescent="0.25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  <c r="Q26" s="3">
        <v>15</v>
      </c>
      <c r="R26" s="3">
        <v>29</v>
      </c>
      <c r="S26" s="3" t="s">
        <v>1482</v>
      </c>
      <c r="T26" s="3" t="s">
        <v>1486</v>
      </c>
      <c r="U26" s="3">
        <v>42000</v>
      </c>
      <c r="V26">
        <f t="shared" ca="1" si="0"/>
        <v>2.818606172828253E-3</v>
      </c>
      <c r="AE26" s="3"/>
      <c r="AF26" s="3"/>
      <c r="AP26" s="3">
        <v>224</v>
      </c>
      <c r="AQ26" s="3" t="s">
        <v>1517</v>
      </c>
      <c r="AR26" s="3">
        <v>35</v>
      </c>
      <c r="AS26" s="3" t="s">
        <v>1484</v>
      </c>
      <c r="AT26" s="3" t="s">
        <v>1483</v>
      </c>
      <c r="AU26" s="3">
        <v>49000</v>
      </c>
      <c r="AV26">
        <v>0.79812259637141436</v>
      </c>
      <c r="AX26" t="str">
        <f t="shared" si="1"/>
        <v>SELECTED</v>
      </c>
      <c r="BD26" s="23">
        <v>224</v>
      </c>
      <c r="BE26" s="17" t="s">
        <v>1517</v>
      </c>
      <c r="BF26" s="17">
        <v>35</v>
      </c>
      <c r="BG26" s="17" t="s">
        <v>1484</v>
      </c>
      <c r="BH26" s="17" t="s">
        <v>1483</v>
      </c>
      <c r="BI26" s="17">
        <v>49000</v>
      </c>
      <c r="BJ26" s="5">
        <v>0.36052380771933878</v>
      </c>
      <c r="BK26" s="10" t="str">
        <f t="shared" si="2"/>
        <v>SELECTED</v>
      </c>
      <c r="BO26" s="28">
        <f t="shared" si="3"/>
        <v>38.166666666666664</v>
      </c>
    </row>
    <row r="27" spans="1:67" x14ac:dyDescent="0.25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  <c r="Q27" s="3">
        <v>12</v>
      </c>
      <c r="R27" s="3">
        <v>34</v>
      </c>
      <c r="S27" s="3" t="s">
        <v>1484</v>
      </c>
      <c r="T27" s="3" t="s">
        <v>1487</v>
      </c>
      <c r="U27" s="3">
        <v>47000</v>
      </c>
      <c r="V27">
        <f t="shared" ca="1" si="0"/>
        <v>0.97686760263374495</v>
      </c>
      <c r="AE27" s="3"/>
      <c r="AF27" s="3"/>
      <c r="AP27" s="3">
        <v>225</v>
      </c>
      <c r="AQ27" s="3" t="s">
        <v>1518</v>
      </c>
      <c r="AR27" s="3">
        <v>24</v>
      </c>
      <c r="AS27" s="3" t="s">
        <v>1482</v>
      </c>
      <c r="AT27" s="3" t="s">
        <v>1483</v>
      </c>
      <c r="AU27" s="3">
        <v>27500</v>
      </c>
      <c r="AV27">
        <v>0.80476416748216062</v>
      </c>
      <c r="AX27" t="str">
        <f t="shared" si="1"/>
        <v>NOT SELECTED</v>
      </c>
      <c r="BD27" s="23">
        <v>225</v>
      </c>
      <c r="BE27" s="17" t="s">
        <v>1518</v>
      </c>
      <c r="BF27" s="17">
        <v>24</v>
      </c>
      <c r="BG27" s="17" t="s">
        <v>1482</v>
      </c>
      <c r="BH27" s="17" t="s">
        <v>1483</v>
      </c>
      <c r="BI27" s="17">
        <v>27500</v>
      </c>
      <c r="BJ27" s="5">
        <v>0.95809764029503885</v>
      </c>
      <c r="BK27" s="10" t="str">
        <f t="shared" si="2"/>
        <v>NOT SELECTED</v>
      </c>
      <c r="BO27" s="28">
        <f t="shared" si="3"/>
        <v>38.333333333333336</v>
      </c>
    </row>
    <row r="28" spans="1:67" x14ac:dyDescent="0.25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  <c r="Q28" s="3">
        <v>20</v>
      </c>
      <c r="R28" s="3">
        <v>27</v>
      </c>
      <c r="S28" s="3" t="s">
        <v>1484</v>
      </c>
      <c r="T28" s="3" t="s">
        <v>1487</v>
      </c>
      <c r="U28" s="3">
        <v>48000</v>
      </c>
      <c r="V28">
        <f t="shared" ca="1" si="0"/>
        <v>0.62648688023292309</v>
      </c>
      <c r="AE28" s="3"/>
      <c r="AF28" s="3"/>
      <c r="AP28" s="3">
        <v>226</v>
      </c>
      <c r="AQ28" s="3" t="s">
        <v>1519</v>
      </c>
      <c r="AR28" s="3">
        <v>30</v>
      </c>
      <c r="AS28" s="3" t="s">
        <v>1484</v>
      </c>
      <c r="AT28" s="3" t="s">
        <v>1483</v>
      </c>
      <c r="AU28" s="3">
        <v>32500</v>
      </c>
      <c r="AV28">
        <v>0.85042841809611192</v>
      </c>
      <c r="AX28" t="str">
        <f t="shared" si="1"/>
        <v>NOT SELECTED</v>
      </c>
      <c r="BD28" s="23">
        <v>226</v>
      </c>
      <c r="BE28" s="17" t="s">
        <v>1519</v>
      </c>
      <c r="BF28" s="17">
        <v>30</v>
      </c>
      <c r="BG28" s="17" t="s">
        <v>1484</v>
      </c>
      <c r="BH28" s="17" t="s">
        <v>1483</v>
      </c>
      <c r="BI28" s="17">
        <v>32500</v>
      </c>
      <c r="BJ28" s="5">
        <v>0.10241586992730667</v>
      </c>
      <c r="BK28" s="10" t="str">
        <f t="shared" si="2"/>
        <v>NOT SELECTED</v>
      </c>
      <c r="BO28" s="28">
        <f t="shared" si="3"/>
        <v>38.5</v>
      </c>
    </row>
    <row r="29" spans="1:67" x14ac:dyDescent="0.25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  <c r="Q29" s="3">
        <v>13</v>
      </c>
      <c r="R29" s="3">
        <v>21</v>
      </c>
      <c r="S29" s="3" t="s">
        <v>1482</v>
      </c>
      <c r="T29" s="3" t="s">
        <v>1483</v>
      </c>
      <c r="U29" s="3">
        <v>49000</v>
      </c>
      <c r="V29">
        <f t="shared" ca="1" si="0"/>
        <v>0.1833430964175049</v>
      </c>
      <c r="AE29" s="3"/>
      <c r="AF29" s="3"/>
      <c r="AP29" s="3">
        <v>227</v>
      </c>
      <c r="AQ29" s="3" t="s">
        <v>1520</v>
      </c>
      <c r="AR29" s="3">
        <v>28</v>
      </c>
      <c r="AS29" s="3" t="s">
        <v>1482</v>
      </c>
      <c r="AT29" s="3" t="s">
        <v>1483</v>
      </c>
      <c r="AU29" s="3">
        <v>40000</v>
      </c>
      <c r="AV29">
        <v>0.90999161641793536</v>
      </c>
      <c r="AX29" t="str">
        <f t="shared" si="1"/>
        <v>NOT SELECTED</v>
      </c>
      <c r="BD29" s="23">
        <v>227</v>
      </c>
      <c r="BE29" s="17" t="s">
        <v>1520</v>
      </c>
      <c r="BF29" s="17">
        <v>28</v>
      </c>
      <c r="BG29" s="17" t="s">
        <v>1482</v>
      </c>
      <c r="BH29" s="17" t="s">
        <v>1483</v>
      </c>
      <c r="BI29" s="17">
        <v>40000</v>
      </c>
      <c r="BJ29" s="5">
        <v>9.7453244831555375E-2</v>
      </c>
      <c r="BK29" s="10" t="str">
        <f t="shared" si="2"/>
        <v>NOT SELECTED</v>
      </c>
      <c r="BO29" s="28">
        <f t="shared" si="3"/>
        <v>38.666666666666664</v>
      </c>
    </row>
    <row r="30" spans="1:67" x14ac:dyDescent="0.25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  <c r="Q30" s="3">
        <v>30</v>
      </c>
      <c r="R30" s="3">
        <v>32</v>
      </c>
      <c r="S30" s="3" t="s">
        <v>1484</v>
      </c>
      <c r="T30" s="3" t="s">
        <v>1485</v>
      </c>
      <c r="U30" s="3">
        <v>50000</v>
      </c>
      <c r="V30">
        <f t="shared" ca="1" si="0"/>
        <v>0.37215542113106626</v>
      </c>
      <c r="AP30" s="3">
        <v>228</v>
      </c>
      <c r="AQ30" s="3" t="s">
        <v>1521</v>
      </c>
      <c r="AR30" s="3">
        <v>37</v>
      </c>
      <c r="AS30" s="3" t="s">
        <v>1484</v>
      </c>
      <c r="AT30" s="3" t="s">
        <v>1483</v>
      </c>
      <c r="AU30" s="3">
        <v>54000</v>
      </c>
      <c r="AV30">
        <v>0.94822210597698853</v>
      </c>
      <c r="AX30" t="str">
        <f t="shared" si="1"/>
        <v>NOT SELECTED</v>
      </c>
      <c r="BD30" s="23">
        <v>228</v>
      </c>
      <c r="BE30" s="17" t="s">
        <v>1521</v>
      </c>
      <c r="BF30" s="17">
        <v>37</v>
      </c>
      <c r="BG30" s="17" t="s">
        <v>1484</v>
      </c>
      <c r="BH30" s="17" t="s">
        <v>1483</v>
      </c>
      <c r="BI30" s="17">
        <v>54000</v>
      </c>
      <c r="BJ30" s="5">
        <v>0.85554951180490368</v>
      </c>
      <c r="BK30" s="10" t="str">
        <f t="shared" si="2"/>
        <v>NOT SELECTED</v>
      </c>
      <c r="BO30" s="28">
        <f t="shared" si="3"/>
        <v>38.833333333333336</v>
      </c>
    </row>
    <row r="31" spans="1:67" x14ac:dyDescent="0.25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  <c r="Q31" s="3">
        <v>6</v>
      </c>
      <c r="R31" s="3">
        <v>29</v>
      </c>
      <c r="S31" s="3" t="s">
        <v>1484</v>
      </c>
      <c r="T31" s="3" t="s">
        <v>1485</v>
      </c>
      <c r="U31" s="3">
        <v>52000</v>
      </c>
      <c r="V31">
        <f t="shared" ca="1" si="0"/>
        <v>0.22005022422807929</v>
      </c>
      <c r="AP31" s="3">
        <v>229</v>
      </c>
      <c r="AQ31" s="3" t="s">
        <v>1522</v>
      </c>
      <c r="AR31" s="3">
        <v>23</v>
      </c>
      <c r="AS31" s="3" t="s">
        <v>1482</v>
      </c>
      <c r="AT31" s="3" t="s">
        <v>1483</v>
      </c>
      <c r="AU31" s="3">
        <v>26500</v>
      </c>
      <c r="AV31">
        <v>0.94955742386930453</v>
      </c>
      <c r="AX31" t="str">
        <f t="shared" si="1"/>
        <v>NOT SELECTED</v>
      </c>
      <c r="BD31" s="23">
        <v>229</v>
      </c>
      <c r="BE31" s="17" t="s">
        <v>1522</v>
      </c>
      <c r="BF31" s="17">
        <v>23</v>
      </c>
      <c r="BG31" s="17" t="s">
        <v>1482</v>
      </c>
      <c r="BH31" s="17" t="s">
        <v>1483</v>
      </c>
      <c r="BI31" s="17">
        <v>26500</v>
      </c>
      <c r="BJ31" s="5">
        <v>0.12138369841635754</v>
      </c>
      <c r="BK31" s="10" t="str">
        <f t="shared" si="2"/>
        <v>NOT SELECTED</v>
      </c>
      <c r="BO31" s="28">
        <f t="shared" si="3"/>
        <v>39</v>
      </c>
    </row>
    <row r="32" spans="1:67" ht="15.75" thickBot="1" x14ac:dyDescent="0.3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  <c r="Q32" s="3">
        <v>21</v>
      </c>
      <c r="R32" s="3">
        <v>22</v>
      </c>
      <c r="S32" s="3" t="s">
        <v>1482</v>
      </c>
      <c r="T32" s="3" t="s">
        <v>1483</v>
      </c>
      <c r="U32" s="3">
        <v>54000</v>
      </c>
      <c r="V32">
        <f t="shared" ca="1" si="0"/>
        <v>0.95889938973532274</v>
      </c>
      <c r="AP32" s="3">
        <v>230</v>
      </c>
      <c r="AQ32" s="3" t="s">
        <v>1523</v>
      </c>
      <c r="AR32" s="3">
        <v>32</v>
      </c>
      <c r="AS32" s="3" t="s">
        <v>1484</v>
      </c>
      <c r="AT32" s="3" t="s">
        <v>1483</v>
      </c>
      <c r="AU32" s="3">
        <v>34500</v>
      </c>
      <c r="AV32">
        <v>0.96538828027177004</v>
      </c>
      <c r="AX32" t="str">
        <f t="shared" si="1"/>
        <v>NOT SELECTED</v>
      </c>
      <c r="BD32" s="24">
        <v>230</v>
      </c>
      <c r="BE32" s="25" t="s">
        <v>1523</v>
      </c>
      <c r="BF32" s="25">
        <v>32</v>
      </c>
      <c r="BG32" s="25" t="s">
        <v>1484</v>
      </c>
      <c r="BH32" s="25" t="s">
        <v>1483</v>
      </c>
      <c r="BI32" s="25">
        <v>34500</v>
      </c>
      <c r="BJ32" s="11">
        <v>0.43796007898583711</v>
      </c>
      <c r="BK32" s="12" t="str">
        <f t="shared" si="2"/>
        <v>NOT SELECTED</v>
      </c>
      <c r="BO32" s="29">
        <f t="shared" si="3"/>
        <v>39.166666666666664</v>
      </c>
    </row>
    <row r="33" spans="1:27" x14ac:dyDescent="0.25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27" ht="15.75" thickBot="1" x14ac:dyDescent="0.3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27" ht="15.75" thickBot="1" x14ac:dyDescent="0.3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  <c r="N35" s="31" t="s">
        <v>1542</v>
      </c>
      <c r="U35" t="s">
        <v>1543</v>
      </c>
      <c r="V35" t="s">
        <v>1544</v>
      </c>
      <c r="W35" t="s">
        <v>1489</v>
      </c>
      <c r="X35" t="s">
        <v>1556</v>
      </c>
      <c r="Y35" t="s">
        <v>1550</v>
      </c>
    </row>
    <row r="36" spans="1:27" ht="15.75" thickBot="1" x14ac:dyDescent="0.3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  <c r="U36" cm="1">
        <f t="array" ref="U36:U135">_xlfn.SEQUENCE(100)</f>
        <v>1</v>
      </c>
      <c r="V36">
        <v>1</v>
      </c>
      <c r="W36" t="s">
        <v>1482</v>
      </c>
      <c r="X36" t="s">
        <v>1537</v>
      </c>
      <c r="Y36" t="s">
        <v>1551</v>
      </c>
      <c r="Z36" t="s">
        <v>1545</v>
      </c>
      <c r="AA36" t="s">
        <v>1546</v>
      </c>
    </row>
    <row r="37" spans="1:27" ht="15.75" thickBot="1" x14ac:dyDescent="0.3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  <c r="N37" s="38" t="s">
        <v>1534</v>
      </c>
      <c r="O37" s="39" t="s">
        <v>1535</v>
      </c>
      <c r="U37">
        <v>2</v>
      </c>
      <c r="V37">
        <v>1</v>
      </c>
      <c r="W37" t="s">
        <v>1484</v>
      </c>
      <c r="X37" t="s">
        <v>1536</v>
      </c>
      <c r="Y37" t="s">
        <v>1551</v>
      </c>
      <c r="Z37">
        <f>COUNTIF(V36:V135,6)</f>
        <v>10</v>
      </c>
      <c r="AA37">
        <f>COUNTIF(V36:V135,6)/100</f>
        <v>0.1</v>
      </c>
    </row>
    <row r="38" spans="1:27" ht="15.75" thickBot="1" x14ac:dyDescent="0.3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  <c r="N38" s="33">
        <v>1</v>
      </c>
      <c r="O38" s="34" t="s">
        <v>1536</v>
      </c>
      <c r="P38" s="40" t="s">
        <v>1538</v>
      </c>
      <c r="Q38" s="41"/>
      <c r="R38" s="44" t="s">
        <v>1539</v>
      </c>
      <c r="S38" s="41"/>
      <c r="U38">
        <v>3</v>
      </c>
      <c r="V38">
        <v>5</v>
      </c>
      <c r="W38" t="s">
        <v>1484</v>
      </c>
      <c r="X38" t="s">
        <v>1536</v>
      </c>
      <c r="Y38" t="s">
        <v>1551</v>
      </c>
    </row>
    <row r="39" spans="1:27" ht="15.75" thickBot="1" x14ac:dyDescent="0.3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  <c r="N39" s="35">
        <v>2</v>
      </c>
      <c r="O39" s="36" t="s">
        <v>1537</v>
      </c>
      <c r="P39" s="45">
        <f>COUNTIF(O38:O237,"Head")</f>
        <v>103</v>
      </c>
      <c r="Q39" s="46"/>
      <c r="R39" s="46">
        <f>COUNTIF(O38:O237,"Tail")</f>
        <v>97</v>
      </c>
      <c r="S39" s="32"/>
      <c r="U39">
        <v>4</v>
      </c>
      <c r="V39">
        <v>3</v>
      </c>
      <c r="W39" t="s">
        <v>1482</v>
      </c>
      <c r="X39" t="s">
        <v>1536</v>
      </c>
      <c r="Y39" t="s">
        <v>1552</v>
      </c>
      <c r="Z39" t="s">
        <v>1549</v>
      </c>
    </row>
    <row r="40" spans="1:27" ht="15.75" thickBot="1" x14ac:dyDescent="0.3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  <c r="N40" s="35">
        <v>3</v>
      </c>
      <c r="O40" s="36" t="s">
        <v>1536</v>
      </c>
      <c r="P40" s="42"/>
      <c r="Q40" s="43"/>
      <c r="U40">
        <v>5</v>
      </c>
      <c r="V40">
        <v>3</v>
      </c>
      <c r="W40" t="s">
        <v>1484</v>
      </c>
      <c r="X40" t="s">
        <v>1536</v>
      </c>
      <c r="Y40" t="s">
        <v>1552</v>
      </c>
      <c r="Z40">
        <f>(COUNTIF(V36:V135,2)+COUNTIF(V36:V135,4)/100)</f>
        <v>16.2</v>
      </c>
    </row>
    <row r="41" spans="1:27" ht="15.75" thickBot="1" x14ac:dyDescent="0.3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  <c r="N41" s="35">
        <v>4</v>
      </c>
      <c r="O41" s="36" t="s">
        <v>1536</v>
      </c>
      <c r="P41" s="44" t="s">
        <v>1540</v>
      </c>
      <c r="Q41" s="41"/>
      <c r="R41" s="44" t="s">
        <v>1541</v>
      </c>
      <c r="S41" s="41"/>
      <c r="U41">
        <v>6</v>
      </c>
      <c r="V41">
        <v>4</v>
      </c>
      <c r="W41" t="s">
        <v>1482</v>
      </c>
      <c r="X41" t="s">
        <v>1537</v>
      </c>
      <c r="Y41" t="s">
        <v>1552</v>
      </c>
      <c r="Z41">
        <f>COUNTIF(V36:V135,2)+COUNTIF(V36:V135,4)</f>
        <v>36</v>
      </c>
    </row>
    <row r="42" spans="1:27" ht="15.75" thickBot="1" x14ac:dyDescent="0.3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  <c r="N42" s="35">
        <v>5</v>
      </c>
      <c r="O42" s="36" t="s">
        <v>1536</v>
      </c>
      <c r="P42" s="45">
        <f>103/200</f>
        <v>0.51500000000000001</v>
      </c>
      <c r="Q42" s="46"/>
      <c r="R42" s="46">
        <f>97/200</f>
        <v>0.48499999999999999</v>
      </c>
      <c r="S42" s="32"/>
      <c r="U42">
        <v>7</v>
      </c>
      <c r="V42">
        <v>3</v>
      </c>
      <c r="W42" t="s">
        <v>1484</v>
      </c>
      <c r="X42" t="s">
        <v>1536</v>
      </c>
      <c r="Y42" t="s">
        <v>1552</v>
      </c>
      <c r="Z42" t="s">
        <v>1547</v>
      </c>
      <c r="AA42" t="s">
        <v>1563</v>
      </c>
    </row>
    <row r="43" spans="1:27" x14ac:dyDescent="0.25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  <c r="N43" s="35">
        <v>6</v>
      </c>
      <c r="O43" s="36" t="s">
        <v>1536</v>
      </c>
      <c r="P43" s="42"/>
      <c r="Q43" s="43"/>
      <c r="R43" s="43"/>
      <c r="U43">
        <v>8</v>
      </c>
      <c r="V43">
        <v>6</v>
      </c>
      <c r="W43" t="s">
        <v>1482</v>
      </c>
      <c r="X43" t="s">
        <v>1537</v>
      </c>
      <c r="Y43" t="s">
        <v>1552</v>
      </c>
      <c r="Z43">
        <f>COUNTIF(V36:V135,2)</f>
        <v>16</v>
      </c>
      <c r="AA43">
        <f>COUNT(V36:V135,"&lt;=3")</f>
        <v>100</v>
      </c>
    </row>
    <row r="44" spans="1:27" x14ac:dyDescent="0.25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  <c r="N44" s="35">
        <v>7</v>
      </c>
      <c r="O44" s="36" t="s">
        <v>1536</v>
      </c>
      <c r="P44" s="30"/>
      <c r="U44">
        <v>9</v>
      </c>
      <c r="V44">
        <v>6</v>
      </c>
      <c r="W44" t="s">
        <v>1482</v>
      </c>
      <c r="X44" t="s">
        <v>1536</v>
      </c>
      <c r="Y44" t="s">
        <v>1551</v>
      </c>
      <c r="AA44" t="s">
        <v>1564</v>
      </c>
    </row>
    <row r="45" spans="1:27" x14ac:dyDescent="0.25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  <c r="N45" s="35">
        <v>8</v>
      </c>
      <c r="O45" s="36" t="s">
        <v>1536</v>
      </c>
      <c r="P45" s="43"/>
      <c r="Q45" s="43"/>
      <c r="U45">
        <v>10</v>
      </c>
      <c r="V45">
        <v>2</v>
      </c>
      <c r="W45" t="s">
        <v>1484</v>
      </c>
      <c r="X45" t="s">
        <v>1536</v>
      </c>
      <c r="Y45" t="s">
        <v>1552</v>
      </c>
      <c r="Z45" t="s">
        <v>1548</v>
      </c>
      <c r="AA45">
        <f>COUNTIF(V36:V135,"&lt;=3")/COUNT(V36:V135)</f>
        <v>0.49</v>
      </c>
    </row>
    <row r="46" spans="1:27" x14ac:dyDescent="0.25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  <c r="N46" s="35">
        <v>9</v>
      </c>
      <c r="O46" s="36" t="s">
        <v>1536</v>
      </c>
      <c r="P46" s="42"/>
      <c r="Q46" s="43"/>
      <c r="U46">
        <v>11</v>
      </c>
      <c r="V46">
        <v>2</v>
      </c>
      <c r="W46" t="s">
        <v>1484</v>
      </c>
      <c r="X46" t="s">
        <v>1537</v>
      </c>
      <c r="Y46" t="s">
        <v>1551</v>
      </c>
      <c r="Z46">
        <f>COUNTIF(V36:V135,4)</f>
        <v>20</v>
      </c>
      <c r="AA46" t="s">
        <v>1565</v>
      </c>
    </row>
    <row r="47" spans="1:27" x14ac:dyDescent="0.25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  <c r="N47" s="35">
        <v>10</v>
      </c>
      <c r="O47" s="36" t="s">
        <v>1537</v>
      </c>
      <c r="P47" s="42"/>
      <c r="Q47" s="43"/>
      <c r="U47">
        <v>12</v>
      </c>
      <c r="V47">
        <v>3</v>
      </c>
      <c r="W47" t="s">
        <v>1484</v>
      </c>
      <c r="X47" t="s">
        <v>1536</v>
      </c>
      <c r="Y47" t="s">
        <v>1551</v>
      </c>
      <c r="AA47">
        <f>COUNTIF(U3:U32,"&lt;=45000")</f>
        <v>24</v>
      </c>
    </row>
    <row r="48" spans="1:27" x14ac:dyDescent="0.25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  <c r="N48" s="35">
        <v>11</v>
      </c>
      <c r="O48" s="36" t="s">
        <v>1536</v>
      </c>
      <c r="P48" s="43"/>
      <c r="Q48" s="43"/>
      <c r="U48">
        <v>13</v>
      </c>
      <c r="V48">
        <v>1</v>
      </c>
      <c r="W48" t="s">
        <v>1482</v>
      </c>
      <c r="X48" t="s">
        <v>1537</v>
      </c>
      <c r="Y48" t="s">
        <v>1551</v>
      </c>
    </row>
    <row r="49" spans="1:26" x14ac:dyDescent="0.25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  <c r="N49" s="35">
        <v>12</v>
      </c>
      <c r="O49" s="36" t="s">
        <v>1536</v>
      </c>
      <c r="U49">
        <v>14</v>
      </c>
      <c r="V49">
        <v>2</v>
      </c>
      <c r="W49" t="s">
        <v>1482</v>
      </c>
      <c r="X49" t="s">
        <v>1537</v>
      </c>
      <c r="Y49" t="s">
        <v>1551</v>
      </c>
      <c r="Z49">
        <f>COUNTIFS(V36:V135,2,V36:V135,4)</f>
        <v>0</v>
      </c>
    </row>
    <row r="50" spans="1:26" x14ac:dyDescent="0.25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  <c r="N50" s="35">
        <v>13</v>
      </c>
      <c r="O50" s="36" t="s">
        <v>1537</v>
      </c>
      <c r="U50">
        <v>15</v>
      </c>
      <c r="V50">
        <v>3</v>
      </c>
      <c r="W50" t="s">
        <v>1484</v>
      </c>
      <c r="X50" t="s">
        <v>1536</v>
      </c>
      <c r="Y50" t="s">
        <v>1551</v>
      </c>
    </row>
    <row r="51" spans="1:26" x14ac:dyDescent="0.25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  <c r="N51" s="35">
        <v>14</v>
      </c>
      <c r="O51" s="36" t="s">
        <v>1537</v>
      </c>
      <c r="U51">
        <v>16</v>
      </c>
      <c r="V51">
        <v>5</v>
      </c>
      <c r="W51" t="s">
        <v>1482</v>
      </c>
      <c r="X51" t="s">
        <v>1537</v>
      </c>
      <c r="Y51" t="s">
        <v>1551</v>
      </c>
      <c r="Z51" t="s">
        <v>1554</v>
      </c>
    </row>
    <row r="52" spans="1:26" x14ac:dyDescent="0.25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  <c r="N52" s="35">
        <v>15</v>
      </c>
      <c r="O52" s="36" t="s">
        <v>1536</v>
      </c>
      <c r="U52">
        <v>17</v>
      </c>
      <c r="V52">
        <v>2</v>
      </c>
      <c r="W52" t="s">
        <v>1482</v>
      </c>
      <c r="X52" t="s">
        <v>1536</v>
      </c>
      <c r="Y52" t="s">
        <v>1551</v>
      </c>
    </row>
    <row r="53" spans="1:26" x14ac:dyDescent="0.25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  <c r="N53" s="35">
        <v>16</v>
      </c>
      <c r="O53" s="36" t="s">
        <v>1537</v>
      </c>
      <c r="U53">
        <v>18</v>
      </c>
      <c r="V53">
        <v>5</v>
      </c>
      <c r="W53" t="s">
        <v>1482</v>
      </c>
      <c r="X53" t="s">
        <v>1536</v>
      </c>
      <c r="Y53" t="s">
        <v>1552</v>
      </c>
    </row>
    <row r="54" spans="1:26" x14ac:dyDescent="0.25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  <c r="N54" s="35">
        <v>17</v>
      </c>
      <c r="O54" s="36" t="s">
        <v>1536</v>
      </c>
      <c r="U54">
        <v>19</v>
      </c>
      <c r="V54">
        <v>6</v>
      </c>
      <c r="W54" t="s">
        <v>1482</v>
      </c>
      <c r="X54" t="s">
        <v>1536</v>
      </c>
      <c r="Y54" t="s">
        <v>1551</v>
      </c>
    </row>
    <row r="55" spans="1:26" x14ac:dyDescent="0.25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  <c r="N55" s="35">
        <v>18</v>
      </c>
      <c r="O55" s="36" t="s">
        <v>1536</v>
      </c>
      <c r="U55">
        <v>20</v>
      </c>
      <c r="V55">
        <v>4</v>
      </c>
      <c r="W55" t="s">
        <v>1482</v>
      </c>
      <c r="X55" t="s">
        <v>1536</v>
      </c>
      <c r="Y55" t="s">
        <v>1551</v>
      </c>
    </row>
    <row r="56" spans="1:26" x14ac:dyDescent="0.25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  <c r="N56" s="35">
        <v>19</v>
      </c>
      <c r="O56" s="36" t="s">
        <v>1536</v>
      </c>
      <c r="U56">
        <v>21</v>
      </c>
      <c r="V56">
        <v>5</v>
      </c>
      <c r="W56" t="s">
        <v>1482</v>
      </c>
      <c r="X56" t="s">
        <v>1537</v>
      </c>
      <c r="Y56" t="s">
        <v>1552</v>
      </c>
      <c r="Z56" t="s">
        <v>1558</v>
      </c>
    </row>
    <row r="57" spans="1:26" x14ac:dyDescent="0.25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  <c r="N57" s="35">
        <v>20</v>
      </c>
      <c r="O57" s="36" t="s">
        <v>1537</v>
      </c>
      <c r="U57">
        <v>22</v>
      </c>
      <c r="V57">
        <v>2</v>
      </c>
      <c r="W57" t="s">
        <v>1484</v>
      </c>
      <c r="X57" t="s">
        <v>1536</v>
      </c>
      <c r="Y57" t="s">
        <v>1551</v>
      </c>
      <c r="Z57">
        <f>COUNTIF(W36:W135,"Male")</f>
        <v>53</v>
      </c>
    </row>
    <row r="58" spans="1:26" x14ac:dyDescent="0.25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  <c r="N58" s="35">
        <v>21</v>
      </c>
      <c r="O58" s="36" t="s">
        <v>1536</v>
      </c>
      <c r="U58">
        <v>23</v>
      </c>
      <c r="V58">
        <v>2</v>
      </c>
      <c r="W58" t="s">
        <v>1482</v>
      </c>
      <c r="X58" t="s">
        <v>1536</v>
      </c>
      <c r="Y58" t="s">
        <v>1552</v>
      </c>
      <c r="Z58" t="s">
        <v>1559</v>
      </c>
    </row>
    <row r="59" spans="1:26" x14ac:dyDescent="0.25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  <c r="N59" s="35">
        <v>22</v>
      </c>
      <c r="O59" s="36" t="s">
        <v>1536</v>
      </c>
      <c r="U59">
        <v>24</v>
      </c>
      <c r="V59">
        <v>1</v>
      </c>
      <c r="W59" t="s">
        <v>1484</v>
      </c>
      <c r="X59" t="s">
        <v>1536</v>
      </c>
      <c r="Y59" t="s">
        <v>1551</v>
      </c>
      <c r="Z59">
        <f>COUNTIF(Y36:Y135,"Yes")</f>
        <v>58</v>
      </c>
    </row>
    <row r="60" spans="1:26" x14ac:dyDescent="0.25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  <c r="N60" s="35">
        <v>23</v>
      </c>
      <c r="O60" s="36" t="s">
        <v>1537</v>
      </c>
      <c r="U60">
        <v>25</v>
      </c>
      <c r="V60">
        <v>6</v>
      </c>
      <c r="W60" t="s">
        <v>1482</v>
      </c>
      <c r="X60" t="s">
        <v>1537</v>
      </c>
      <c r="Y60" t="s">
        <v>1552</v>
      </c>
      <c r="Z60" t="s">
        <v>1555</v>
      </c>
    </row>
    <row r="61" spans="1:26" x14ac:dyDescent="0.25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  <c r="N61" s="35">
        <v>24</v>
      </c>
      <c r="O61" s="36" t="s">
        <v>1536</v>
      </c>
      <c r="U61">
        <v>26</v>
      </c>
      <c r="V61">
        <v>3</v>
      </c>
      <c r="W61" t="s">
        <v>1482</v>
      </c>
      <c r="X61" t="s">
        <v>1536</v>
      </c>
      <c r="Y61" t="s">
        <v>1552</v>
      </c>
      <c r="Z61">
        <f>COUNTIFS(W36:W135,"Male",Y36:Y135,"Yes")/COUNTA(W36:W135)</f>
        <v>0.27</v>
      </c>
    </row>
    <row r="62" spans="1:26" x14ac:dyDescent="0.25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  <c r="N62" s="35">
        <v>25</v>
      </c>
      <c r="O62" s="36" t="s">
        <v>1536</v>
      </c>
      <c r="U62">
        <v>27</v>
      </c>
      <c r="V62">
        <v>5</v>
      </c>
      <c r="W62" t="s">
        <v>1482</v>
      </c>
      <c r="X62" t="s">
        <v>1536</v>
      </c>
      <c r="Y62" t="s">
        <v>1552</v>
      </c>
    </row>
    <row r="63" spans="1:26" x14ac:dyDescent="0.25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  <c r="N63" s="35">
        <v>26</v>
      </c>
      <c r="O63" s="36" t="s">
        <v>1537</v>
      </c>
      <c r="U63">
        <v>28</v>
      </c>
      <c r="V63">
        <v>1</v>
      </c>
      <c r="W63" t="s">
        <v>1484</v>
      </c>
      <c r="X63" t="s">
        <v>1536</v>
      </c>
      <c r="Y63" t="s">
        <v>1551</v>
      </c>
      <c r="Z63" t="s">
        <v>1553</v>
      </c>
    </row>
    <row r="64" spans="1:26" x14ac:dyDescent="0.25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  <c r="N64" s="35">
        <v>27</v>
      </c>
      <c r="O64" s="36" t="s">
        <v>1536</v>
      </c>
      <c r="U64">
        <v>29</v>
      </c>
      <c r="V64">
        <v>5</v>
      </c>
      <c r="W64" t="s">
        <v>1484</v>
      </c>
      <c r="X64" t="s">
        <v>1537</v>
      </c>
      <c r="Y64" t="s">
        <v>1552</v>
      </c>
    </row>
    <row r="65" spans="1:26" x14ac:dyDescent="0.25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  <c r="N65" s="35">
        <v>28</v>
      </c>
      <c r="O65" s="36" t="s">
        <v>1536</v>
      </c>
      <c r="U65">
        <v>30</v>
      </c>
      <c r="V65">
        <v>3</v>
      </c>
      <c r="W65" t="s">
        <v>1484</v>
      </c>
      <c r="X65" t="s">
        <v>1537</v>
      </c>
      <c r="Y65" t="s">
        <v>1551</v>
      </c>
    </row>
    <row r="66" spans="1:26" x14ac:dyDescent="0.25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  <c r="N66" s="35">
        <v>29</v>
      </c>
      <c r="O66" s="36" t="s">
        <v>1537</v>
      </c>
      <c r="U66">
        <v>31</v>
      </c>
      <c r="V66">
        <v>1</v>
      </c>
      <c r="W66" t="s">
        <v>1484</v>
      </c>
      <c r="X66" t="s">
        <v>1537</v>
      </c>
      <c r="Y66" t="s">
        <v>1551</v>
      </c>
      <c r="Z66" t="s">
        <v>1557</v>
      </c>
    </row>
    <row r="67" spans="1:26" x14ac:dyDescent="0.25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  <c r="N67" s="35">
        <v>30</v>
      </c>
      <c r="O67" s="36" t="s">
        <v>1536</v>
      </c>
      <c r="U67">
        <v>32</v>
      </c>
      <c r="V67">
        <v>5</v>
      </c>
      <c r="W67" t="s">
        <v>1484</v>
      </c>
      <c r="X67" t="s">
        <v>1537</v>
      </c>
      <c r="Y67" t="s">
        <v>1552</v>
      </c>
      <c r="Z67" t="s">
        <v>1560</v>
      </c>
    </row>
    <row r="68" spans="1:26" x14ac:dyDescent="0.25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  <c r="N68" s="35">
        <v>31</v>
      </c>
      <c r="O68" s="36" t="s">
        <v>1537</v>
      </c>
      <c r="U68">
        <v>33</v>
      </c>
      <c r="V68">
        <v>5</v>
      </c>
      <c r="W68" t="s">
        <v>1482</v>
      </c>
      <c r="X68" t="s">
        <v>1536</v>
      </c>
      <c r="Y68" t="s">
        <v>1551</v>
      </c>
      <c r="Z68">
        <f>COUNTIF(X36:X135,"Head")</f>
        <v>51</v>
      </c>
    </row>
    <row r="69" spans="1:26" x14ac:dyDescent="0.25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  <c r="N69" s="35">
        <v>32</v>
      </c>
      <c r="O69" s="36" t="s">
        <v>1537</v>
      </c>
      <c r="U69">
        <v>34</v>
      </c>
      <c r="V69">
        <v>4</v>
      </c>
      <c r="W69" t="s">
        <v>1482</v>
      </c>
      <c r="X69" t="s">
        <v>1536</v>
      </c>
      <c r="Y69" t="s">
        <v>1551</v>
      </c>
      <c r="Z69" t="s">
        <v>1561</v>
      </c>
    </row>
    <row r="70" spans="1:26" x14ac:dyDescent="0.25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  <c r="N70" s="35">
        <v>33</v>
      </c>
      <c r="O70" s="36" t="s">
        <v>1537</v>
      </c>
      <c r="U70">
        <v>35</v>
      </c>
      <c r="V70">
        <v>5</v>
      </c>
      <c r="W70" t="s">
        <v>1482</v>
      </c>
      <c r="X70" t="s">
        <v>1537</v>
      </c>
      <c r="Y70" t="s">
        <v>1552</v>
      </c>
      <c r="Z70">
        <f>COUNTIF(V36:V135,6)</f>
        <v>10</v>
      </c>
    </row>
    <row r="71" spans="1:26" x14ac:dyDescent="0.25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  <c r="N71" s="35">
        <v>34</v>
      </c>
      <c r="O71" s="36" t="s">
        <v>1536</v>
      </c>
      <c r="U71">
        <v>36</v>
      </c>
      <c r="V71">
        <v>2</v>
      </c>
      <c r="W71" t="s">
        <v>1482</v>
      </c>
      <c r="X71" t="s">
        <v>1537</v>
      </c>
      <c r="Y71" t="s">
        <v>1551</v>
      </c>
    </row>
    <row r="72" spans="1:26" x14ac:dyDescent="0.25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  <c r="N72" s="35">
        <v>35</v>
      </c>
      <c r="O72" s="36" t="s">
        <v>1537</v>
      </c>
      <c r="U72">
        <v>37</v>
      </c>
      <c r="V72">
        <v>5</v>
      </c>
      <c r="W72" t="s">
        <v>1482</v>
      </c>
      <c r="X72" t="s">
        <v>1536</v>
      </c>
      <c r="Y72" t="s">
        <v>1552</v>
      </c>
      <c r="Z72">
        <f>COUNTIFS(X36:X135,"Head",V36:V135,6)</f>
        <v>5</v>
      </c>
    </row>
    <row r="73" spans="1:26" x14ac:dyDescent="0.25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  <c r="N73" s="35">
        <v>36</v>
      </c>
      <c r="O73" s="36" t="s">
        <v>1536</v>
      </c>
      <c r="U73">
        <v>38</v>
      </c>
      <c r="V73">
        <v>4</v>
      </c>
      <c r="W73" t="s">
        <v>1484</v>
      </c>
      <c r="X73" t="s">
        <v>1537</v>
      </c>
      <c r="Y73" t="s">
        <v>1551</v>
      </c>
    </row>
    <row r="74" spans="1:26" x14ac:dyDescent="0.25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  <c r="N74" s="35">
        <v>37</v>
      </c>
      <c r="O74" s="36" t="s">
        <v>1537</v>
      </c>
      <c r="U74">
        <v>39</v>
      </c>
      <c r="V74">
        <v>5</v>
      </c>
      <c r="W74" t="s">
        <v>1482</v>
      </c>
      <c r="X74" t="s">
        <v>1536</v>
      </c>
      <c r="Y74" t="s">
        <v>1551</v>
      </c>
    </row>
    <row r="75" spans="1:26" x14ac:dyDescent="0.25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  <c r="N75" s="35">
        <v>38</v>
      </c>
      <c r="O75" s="36" t="s">
        <v>1536</v>
      </c>
      <c r="U75">
        <v>40</v>
      </c>
      <c r="V75">
        <v>2</v>
      </c>
      <c r="W75" t="s">
        <v>1484</v>
      </c>
      <c r="X75" t="s">
        <v>1537</v>
      </c>
      <c r="Y75" t="s">
        <v>1551</v>
      </c>
    </row>
    <row r="76" spans="1:26" x14ac:dyDescent="0.25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  <c r="N76" s="35">
        <v>39</v>
      </c>
      <c r="O76" s="36" t="s">
        <v>1536</v>
      </c>
      <c r="U76">
        <v>41</v>
      </c>
      <c r="V76">
        <v>2</v>
      </c>
      <c r="W76" t="s">
        <v>1482</v>
      </c>
      <c r="X76" t="s">
        <v>1536</v>
      </c>
      <c r="Y76" t="s">
        <v>1551</v>
      </c>
    </row>
    <row r="77" spans="1:26" x14ac:dyDescent="0.25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  <c r="N77" s="35">
        <v>40</v>
      </c>
      <c r="O77" s="36" t="s">
        <v>1537</v>
      </c>
      <c r="U77">
        <v>42</v>
      </c>
      <c r="V77">
        <v>4</v>
      </c>
      <c r="W77" t="s">
        <v>1482</v>
      </c>
      <c r="X77" t="s">
        <v>1537</v>
      </c>
      <c r="Y77" t="s">
        <v>1552</v>
      </c>
    </row>
    <row r="78" spans="1:26" x14ac:dyDescent="0.25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  <c r="N78" s="35">
        <v>41</v>
      </c>
      <c r="O78" s="36" t="s">
        <v>1537</v>
      </c>
      <c r="U78">
        <v>43</v>
      </c>
      <c r="V78">
        <v>1</v>
      </c>
      <c r="W78" t="s">
        <v>1482</v>
      </c>
      <c r="X78" t="s">
        <v>1537</v>
      </c>
      <c r="Y78" t="s">
        <v>1551</v>
      </c>
    </row>
    <row r="79" spans="1:26" x14ac:dyDescent="0.25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  <c r="N79" s="35">
        <v>42</v>
      </c>
      <c r="O79" s="36" t="s">
        <v>1536</v>
      </c>
      <c r="U79">
        <v>44</v>
      </c>
      <c r="V79">
        <v>6</v>
      </c>
      <c r="W79" t="s">
        <v>1482</v>
      </c>
      <c r="X79" t="s">
        <v>1537</v>
      </c>
      <c r="Y79" t="s">
        <v>1552</v>
      </c>
    </row>
    <row r="80" spans="1:26" x14ac:dyDescent="0.25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  <c r="N80" s="35">
        <v>43</v>
      </c>
      <c r="O80" s="36" t="s">
        <v>1536</v>
      </c>
      <c r="U80">
        <v>45</v>
      </c>
      <c r="V80">
        <v>3</v>
      </c>
      <c r="W80" t="s">
        <v>1484</v>
      </c>
      <c r="X80" t="s">
        <v>1537</v>
      </c>
      <c r="Y80" t="s">
        <v>1551</v>
      </c>
    </row>
    <row r="81" spans="1:25" x14ac:dyDescent="0.25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  <c r="N81" s="35">
        <v>44</v>
      </c>
      <c r="O81" s="36" t="s">
        <v>1536</v>
      </c>
      <c r="U81">
        <v>46</v>
      </c>
      <c r="V81">
        <v>5</v>
      </c>
      <c r="W81" t="s">
        <v>1482</v>
      </c>
      <c r="X81" t="s">
        <v>1536</v>
      </c>
      <c r="Y81" t="s">
        <v>1551</v>
      </c>
    </row>
    <row r="82" spans="1:25" x14ac:dyDescent="0.25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  <c r="N82" s="35">
        <v>45</v>
      </c>
      <c r="O82" s="36" t="s">
        <v>1537</v>
      </c>
      <c r="U82">
        <v>47</v>
      </c>
      <c r="V82">
        <v>4</v>
      </c>
      <c r="W82" t="s">
        <v>1482</v>
      </c>
      <c r="X82" t="s">
        <v>1537</v>
      </c>
      <c r="Y82" t="s">
        <v>1552</v>
      </c>
    </row>
    <row r="83" spans="1:25" x14ac:dyDescent="0.25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  <c r="N83" s="35">
        <v>46</v>
      </c>
      <c r="O83" s="36" t="s">
        <v>1536</v>
      </c>
      <c r="U83">
        <v>48</v>
      </c>
      <c r="V83">
        <v>4</v>
      </c>
      <c r="W83" t="s">
        <v>1484</v>
      </c>
      <c r="X83" t="s">
        <v>1537</v>
      </c>
      <c r="Y83" t="s">
        <v>1551</v>
      </c>
    </row>
    <row r="84" spans="1:25" x14ac:dyDescent="0.25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  <c r="N84" s="35">
        <v>47</v>
      </c>
      <c r="O84" s="36" t="s">
        <v>1536</v>
      </c>
      <c r="U84">
        <v>49</v>
      </c>
      <c r="V84">
        <v>3</v>
      </c>
      <c r="W84" t="s">
        <v>1482</v>
      </c>
      <c r="X84" t="s">
        <v>1537</v>
      </c>
      <c r="Y84" t="s">
        <v>1551</v>
      </c>
    </row>
    <row r="85" spans="1:25" x14ac:dyDescent="0.25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  <c r="N85" s="35">
        <v>48</v>
      </c>
      <c r="O85" s="36" t="s">
        <v>1537</v>
      </c>
      <c r="U85">
        <v>50</v>
      </c>
      <c r="V85">
        <v>6</v>
      </c>
      <c r="W85" t="s">
        <v>1484</v>
      </c>
      <c r="X85" t="s">
        <v>1536</v>
      </c>
      <c r="Y85" t="s">
        <v>1551</v>
      </c>
    </row>
    <row r="86" spans="1:25" x14ac:dyDescent="0.25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  <c r="N86" s="35">
        <v>49</v>
      </c>
      <c r="O86" s="36" t="s">
        <v>1536</v>
      </c>
      <c r="U86">
        <v>51</v>
      </c>
      <c r="V86">
        <v>4</v>
      </c>
      <c r="W86" t="s">
        <v>1482</v>
      </c>
      <c r="X86" t="s">
        <v>1536</v>
      </c>
      <c r="Y86" t="s">
        <v>1552</v>
      </c>
    </row>
    <row r="87" spans="1:25" x14ac:dyDescent="0.25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  <c r="N87" s="35">
        <v>50</v>
      </c>
      <c r="O87" s="36" t="s">
        <v>1537</v>
      </c>
      <c r="U87">
        <v>52</v>
      </c>
      <c r="V87">
        <v>4</v>
      </c>
      <c r="W87" t="s">
        <v>1482</v>
      </c>
      <c r="X87" t="s">
        <v>1537</v>
      </c>
      <c r="Y87" t="s">
        <v>1551</v>
      </c>
    </row>
    <row r="88" spans="1:25" x14ac:dyDescent="0.25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  <c r="N88" s="35">
        <v>51</v>
      </c>
      <c r="O88" s="36" t="s">
        <v>1537</v>
      </c>
      <c r="U88">
        <v>53</v>
      </c>
      <c r="V88">
        <v>4</v>
      </c>
      <c r="W88" t="s">
        <v>1482</v>
      </c>
      <c r="X88" t="s">
        <v>1537</v>
      </c>
      <c r="Y88" t="s">
        <v>1551</v>
      </c>
    </row>
    <row r="89" spans="1:25" x14ac:dyDescent="0.25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  <c r="N89" s="35">
        <v>52</v>
      </c>
      <c r="O89" s="36" t="s">
        <v>1537</v>
      </c>
      <c r="U89">
        <v>54</v>
      </c>
      <c r="V89">
        <v>2</v>
      </c>
      <c r="W89" t="s">
        <v>1484</v>
      </c>
      <c r="X89" t="s">
        <v>1536</v>
      </c>
      <c r="Y89" t="s">
        <v>1551</v>
      </c>
    </row>
    <row r="90" spans="1:25" x14ac:dyDescent="0.25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  <c r="N90" s="35">
        <v>53</v>
      </c>
      <c r="O90" s="36" t="s">
        <v>1536</v>
      </c>
      <c r="U90">
        <v>55</v>
      </c>
      <c r="V90">
        <v>2</v>
      </c>
      <c r="W90" t="s">
        <v>1484</v>
      </c>
      <c r="X90" t="s">
        <v>1537</v>
      </c>
      <c r="Y90" t="s">
        <v>1552</v>
      </c>
    </row>
    <row r="91" spans="1:25" x14ac:dyDescent="0.25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  <c r="N91" s="35">
        <v>54</v>
      </c>
      <c r="O91" s="36" t="s">
        <v>1536</v>
      </c>
      <c r="U91">
        <v>56</v>
      </c>
      <c r="V91">
        <v>1</v>
      </c>
      <c r="W91" t="s">
        <v>1484</v>
      </c>
      <c r="X91" t="s">
        <v>1536</v>
      </c>
      <c r="Y91" t="s">
        <v>1552</v>
      </c>
    </row>
    <row r="92" spans="1:25" x14ac:dyDescent="0.25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  <c r="N92" s="35">
        <v>55</v>
      </c>
      <c r="O92" s="36" t="s">
        <v>1537</v>
      </c>
      <c r="U92">
        <v>57</v>
      </c>
      <c r="V92">
        <v>3</v>
      </c>
      <c r="W92" t="s">
        <v>1484</v>
      </c>
      <c r="X92" t="s">
        <v>1536</v>
      </c>
      <c r="Y92" t="s">
        <v>1551</v>
      </c>
    </row>
    <row r="93" spans="1:25" x14ac:dyDescent="0.25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  <c r="N93" s="35">
        <v>56</v>
      </c>
      <c r="O93" s="36" t="s">
        <v>1536</v>
      </c>
      <c r="U93">
        <v>58</v>
      </c>
      <c r="V93">
        <v>4</v>
      </c>
      <c r="W93" t="s">
        <v>1482</v>
      </c>
      <c r="X93" t="s">
        <v>1536</v>
      </c>
      <c r="Y93" t="s">
        <v>1552</v>
      </c>
    </row>
    <row r="94" spans="1:25" x14ac:dyDescent="0.25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  <c r="N94" s="35">
        <v>57</v>
      </c>
      <c r="O94" s="36" t="s">
        <v>1536</v>
      </c>
      <c r="U94">
        <v>59</v>
      </c>
      <c r="V94">
        <v>1</v>
      </c>
      <c r="W94" t="s">
        <v>1482</v>
      </c>
      <c r="X94" t="s">
        <v>1537</v>
      </c>
      <c r="Y94" t="s">
        <v>1551</v>
      </c>
    </row>
    <row r="95" spans="1:25" x14ac:dyDescent="0.25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  <c r="N95" s="35">
        <v>58</v>
      </c>
      <c r="O95" s="36" t="s">
        <v>1537</v>
      </c>
      <c r="U95">
        <v>60</v>
      </c>
      <c r="V95">
        <v>1</v>
      </c>
      <c r="W95" t="s">
        <v>1482</v>
      </c>
      <c r="X95" t="s">
        <v>1536</v>
      </c>
      <c r="Y95" t="s">
        <v>1551</v>
      </c>
    </row>
    <row r="96" spans="1:25" x14ac:dyDescent="0.25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  <c r="N96" s="35">
        <v>59</v>
      </c>
      <c r="O96" s="36" t="s">
        <v>1536</v>
      </c>
      <c r="U96">
        <v>61</v>
      </c>
      <c r="V96">
        <v>1</v>
      </c>
      <c r="W96" t="s">
        <v>1484</v>
      </c>
      <c r="X96" t="s">
        <v>1537</v>
      </c>
      <c r="Y96" t="s">
        <v>1552</v>
      </c>
    </row>
    <row r="97" spans="1:25" x14ac:dyDescent="0.25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  <c r="N97" s="35">
        <v>60</v>
      </c>
      <c r="O97" s="36" t="s">
        <v>1536</v>
      </c>
      <c r="U97">
        <v>62</v>
      </c>
      <c r="V97">
        <v>5</v>
      </c>
      <c r="W97" t="s">
        <v>1484</v>
      </c>
      <c r="X97" t="s">
        <v>1536</v>
      </c>
      <c r="Y97" t="s">
        <v>1552</v>
      </c>
    </row>
    <row r="98" spans="1:25" x14ac:dyDescent="0.25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  <c r="N98" s="35">
        <v>61</v>
      </c>
      <c r="O98" s="36" t="s">
        <v>1536</v>
      </c>
      <c r="U98">
        <v>63</v>
      </c>
      <c r="V98">
        <v>3</v>
      </c>
      <c r="W98" t="s">
        <v>1484</v>
      </c>
      <c r="X98" t="s">
        <v>1537</v>
      </c>
      <c r="Y98" t="s">
        <v>1551</v>
      </c>
    </row>
    <row r="99" spans="1:25" x14ac:dyDescent="0.25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  <c r="N99" s="35">
        <v>62</v>
      </c>
      <c r="O99" s="36" t="s">
        <v>1536</v>
      </c>
      <c r="U99">
        <v>64</v>
      </c>
      <c r="V99">
        <v>1</v>
      </c>
      <c r="W99" t="s">
        <v>1484</v>
      </c>
      <c r="X99" t="s">
        <v>1537</v>
      </c>
      <c r="Y99" t="s">
        <v>1552</v>
      </c>
    </row>
    <row r="100" spans="1:25" x14ac:dyDescent="0.25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  <c r="N100" s="35">
        <v>63</v>
      </c>
      <c r="O100" s="36" t="s">
        <v>1536</v>
      </c>
      <c r="U100">
        <v>65</v>
      </c>
      <c r="V100">
        <v>5</v>
      </c>
      <c r="W100" t="s">
        <v>1484</v>
      </c>
      <c r="X100" t="s">
        <v>1537</v>
      </c>
      <c r="Y100" t="s">
        <v>1551</v>
      </c>
    </row>
    <row r="101" spans="1:25" x14ac:dyDescent="0.25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  <c r="N101" s="35">
        <v>64</v>
      </c>
      <c r="O101" s="36" t="s">
        <v>1536</v>
      </c>
      <c r="U101">
        <v>66</v>
      </c>
      <c r="V101">
        <v>5</v>
      </c>
      <c r="W101" t="s">
        <v>1482</v>
      </c>
      <c r="X101" t="s">
        <v>1536</v>
      </c>
      <c r="Y101" t="s">
        <v>1551</v>
      </c>
    </row>
    <row r="102" spans="1:25" x14ac:dyDescent="0.25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  <c r="N102" s="35">
        <v>65</v>
      </c>
      <c r="O102" s="36" t="s">
        <v>1537</v>
      </c>
      <c r="U102">
        <v>67</v>
      </c>
      <c r="V102">
        <v>3</v>
      </c>
      <c r="W102" t="s">
        <v>1484</v>
      </c>
      <c r="X102" t="s">
        <v>1537</v>
      </c>
      <c r="Y102" t="s">
        <v>1551</v>
      </c>
    </row>
    <row r="103" spans="1:25" x14ac:dyDescent="0.25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  <c r="N103" s="35">
        <v>66</v>
      </c>
      <c r="O103" s="36" t="s">
        <v>1536</v>
      </c>
      <c r="U103">
        <v>68</v>
      </c>
      <c r="V103">
        <v>5</v>
      </c>
      <c r="W103" t="s">
        <v>1484</v>
      </c>
      <c r="X103" t="s">
        <v>1537</v>
      </c>
      <c r="Y103" t="s">
        <v>1551</v>
      </c>
    </row>
    <row r="104" spans="1:25" x14ac:dyDescent="0.25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  <c r="N104" s="35">
        <v>67</v>
      </c>
      <c r="O104" s="36" t="s">
        <v>1537</v>
      </c>
      <c r="U104">
        <v>69</v>
      </c>
      <c r="V104">
        <v>4</v>
      </c>
      <c r="W104" t="s">
        <v>1484</v>
      </c>
      <c r="X104" t="s">
        <v>1537</v>
      </c>
      <c r="Y104" t="s">
        <v>1552</v>
      </c>
    </row>
    <row r="105" spans="1:25" x14ac:dyDescent="0.25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  <c r="N105" s="35">
        <v>68</v>
      </c>
      <c r="O105" s="36" t="s">
        <v>1537</v>
      </c>
      <c r="U105">
        <v>70</v>
      </c>
      <c r="V105">
        <v>6</v>
      </c>
      <c r="W105" t="s">
        <v>1484</v>
      </c>
      <c r="X105" t="s">
        <v>1536</v>
      </c>
      <c r="Y105" t="s">
        <v>1551</v>
      </c>
    </row>
    <row r="106" spans="1:25" x14ac:dyDescent="0.25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  <c r="N106" s="35">
        <v>69</v>
      </c>
      <c r="O106" s="36" t="s">
        <v>1537</v>
      </c>
      <c r="U106">
        <v>71</v>
      </c>
      <c r="V106">
        <v>1</v>
      </c>
      <c r="W106" t="s">
        <v>1482</v>
      </c>
      <c r="X106" t="s">
        <v>1537</v>
      </c>
      <c r="Y106" t="s">
        <v>1551</v>
      </c>
    </row>
    <row r="107" spans="1:25" x14ac:dyDescent="0.25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  <c r="N107" s="35">
        <v>70</v>
      </c>
      <c r="O107" s="36" t="s">
        <v>1537</v>
      </c>
      <c r="U107">
        <v>72</v>
      </c>
      <c r="V107">
        <v>4</v>
      </c>
      <c r="W107" t="s">
        <v>1484</v>
      </c>
      <c r="X107" t="s">
        <v>1537</v>
      </c>
      <c r="Y107" t="s">
        <v>1551</v>
      </c>
    </row>
    <row r="108" spans="1:25" x14ac:dyDescent="0.25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  <c r="N108" s="35">
        <v>71</v>
      </c>
      <c r="O108" s="36" t="s">
        <v>1536</v>
      </c>
      <c r="U108">
        <v>73</v>
      </c>
      <c r="V108">
        <v>2</v>
      </c>
      <c r="W108" t="s">
        <v>1482</v>
      </c>
      <c r="X108" t="s">
        <v>1536</v>
      </c>
      <c r="Y108" t="s">
        <v>1552</v>
      </c>
    </row>
    <row r="109" spans="1:25" x14ac:dyDescent="0.25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  <c r="N109" s="35">
        <v>72</v>
      </c>
      <c r="O109" s="36" t="s">
        <v>1537</v>
      </c>
      <c r="U109">
        <v>74</v>
      </c>
      <c r="V109">
        <v>4</v>
      </c>
      <c r="W109" t="s">
        <v>1484</v>
      </c>
      <c r="X109" t="s">
        <v>1536</v>
      </c>
      <c r="Y109" t="s">
        <v>1551</v>
      </c>
    </row>
    <row r="110" spans="1:25" x14ac:dyDescent="0.25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  <c r="N110" s="35">
        <v>73</v>
      </c>
      <c r="O110" s="36" t="s">
        <v>1537</v>
      </c>
      <c r="U110">
        <v>75</v>
      </c>
      <c r="V110">
        <v>5</v>
      </c>
      <c r="W110" t="s">
        <v>1484</v>
      </c>
      <c r="X110" t="s">
        <v>1537</v>
      </c>
      <c r="Y110" t="s">
        <v>1551</v>
      </c>
    </row>
    <row r="111" spans="1:25" x14ac:dyDescent="0.25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  <c r="N111" s="35">
        <v>74</v>
      </c>
      <c r="O111" s="36" t="s">
        <v>1537</v>
      </c>
      <c r="U111">
        <v>76</v>
      </c>
      <c r="V111">
        <v>4</v>
      </c>
      <c r="W111" t="s">
        <v>1482</v>
      </c>
      <c r="X111" t="s">
        <v>1537</v>
      </c>
      <c r="Y111" t="s">
        <v>1552</v>
      </c>
    </row>
    <row r="112" spans="1:25" x14ac:dyDescent="0.25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  <c r="N112" s="35">
        <v>75</v>
      </c>
      <c r="O112" s="36" t="s">
        <v>1537</v>
      </c>
      <c r="U112">
        <v>77</v>
      </c>
      <c r="V112">
        <v>3</v>
      </c>
      <c r="W112" t="s">
        <v>1484</v>
      </c>
      <c r="X112" t="s">
        <v>1536</v>
      </c>
      <c r="Y112" t="s">
        <v>1551</v>
      </c>
    </row>
    <row r="113" spans="1:25" x14ac:dyDescent="0.25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  <c r="N113" s="35">
        <v>76</v>
      </c>
      <c r="O113" s="36" t="s">
        <v>1536</v>
      </c>
      <c r="U113">
        <v>78</v>
      </c>
      <c r="V113">
        <v>5</v>
      </c>
      <c r="W113" t="s">
        <v>1482</v>
      </c>
      <c r="X113" t="s">
        <v>1536</v>
      </c>
      <c r="Y113" t="s">
        <v>1552</v>
      </c>
    </row>
    <row r="114" spans="1:25" x14ac:dyDescent="0.25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  <c r="N114" s="35">
        <v>77</v>
      </c>
      <c r="O114" s="36" t="s">
        <v>1537</v>
      </c>
      <c r="U114">
        <v>79</v>
      </c>
      <c r="V114">
        <v>1</v>
      </c>
      <c r="W114" t="s">
        <v>1482</v>
      </c>
      <c r="X114" t="s">
        <v>1536</v>
      </c>
      <c r="Y114" t="s">
        <v>1551</v>
      </c>
    </row>
    <row r="115" spans="1:25" x14ac:dyDescent="0.25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  <c r="N115" s="35">
        <v>78</v>
      </c>
      <c r="O115" s="36" t="s">
        <v>1537</v>
      </c>
      <c r="U115">
        <v>80</v>
      </c>
      <c r="V115">
        <v>2</v>
      </c>
      <c r="W115" t="s">
        <v>1482</v>
      </c>
      <c r="X115" t="s">
        <v>1536</v>
      </c>
      <c r="Y115" t="s">
        <v>1552</v>
      </c>
    </row>
    <row r="116" spans="1:25" x14ac:dyDescent="0.25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  <c r="N116" s="35">
        <v>79</v>
      </c>
      <c r="O116" s="36" t="s">
        <v>1537</v>
      </c>
      <c r="U116">
        <v>81</v>
      </c>
      <c r="V116">
        <v>1</v>
      </c>
      <c r="W116" t="s">
        <v>1482</v>
      </c>
      <c r="X116" t="s">
        <v>1537</v>
      </c>
      <c r="Y116" t="s">
        <v>1552</v>
      </c>
    </row>
    <row r="117" spans="1:25" x14ac:dyDescent="0.25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  <c r="N117" s="35">
        <v>80</v>
      </c>
      <c r="O117" s="36" t="s">
        <v>1537</v>
      </c>
      <c r="U117">
        <v>82</v>
      </c>
      <c r="V117">
        <v>6</v>
      </c>
      <c r="W117" t="s">
        <v>1484</v>
      </c>
      <c r="X117" t="s">
        <v>1536</v>
      </c>
      <c r="Y117" t="s">
        <v>1552</v>
      </c>
    </row>
    <row r="118" spans="1:25" x14ac:dyDescent="0.25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  <c r="N118" s="35">
        <v>81</v>
      </c>
      <c r="O118" s="36" t="s">
        <v>1536</v>
      </c>
      <c r="U118">
        <v>83</v>
      </c>
      <c r="V118">
        <v>1</v>
      </c>
      <c r="W118" t="s">
        <v>1484</v>
      </c>
      <c r="X118" t="s">
        <v>1537</v>
      </c>
      <c r="Y118" t="s">
        <v>1551</v>
      </c>
    </row>
    <row r="119" spans="1:25" x14ac:dyDescent="0.25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  <c r="N119" s="35">
        <v>82</v>
      </c>
      <c r="O119" s="36" t="s">
        <v>1536</v>
      </c>
      <c r="U119">
        <v>84</v>
      </c>
      <c r="V119">
        <v>1</v>
      </c>
      <c r="W119" t="s">
        <v>1484</v>
      </c>
      <c r="X119" t="s">
        <v>1536</v>
      </c>
      <c r="Y119" t="s">
        <v>1551</v>
      </c>
    </row>
    <row r="120" spans="1:25" x14ac:dyDescent="0.25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  <c r="N120" s="35">
        <v>83</v>
      </c>
      <c r="O120" s="36" t="s">
        <v>1537</v>
      </c>
      <c r="U120">
        <v>85</v>
      </c>
      <c r="V120">
        <v>1</v>
      </c>
      <c r="W120" t="s">
        <v>1484</v>
      </c>
      <c r="X120" t="s">
        <v>1536</v>
      </c>
      <c r="Y120" t="s">
        <v>1552</v>
      </c>
    </row>
    <row r="121" spans="1:25" x14ac:dyDescent="0.25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  <c r="N121" s="35">
        <v>84</v>
      </c>
      <c r="O121" s="36" t="s">
        <v>1537</v>
      </c>
      <c r="U121">
        <v>86</v>
      </c>
      <c r="V121">
        <v>4</v>
      </c>
      <c r="W121" t="s">
        <v>1482</v>
      </c>
      <c r="X121" t="s">
        <v>1537</v>
      </c>
      <c r="Y121" t="s">
        <v>1552</v>
      </c>
    </row>
    <row r="122" spans="1:25" x14ac:dyDescent="0.25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  <c r="N122" s="35">
        <v>85</v>
      </c>
      <c r="O122" s="36" t="s">
        <v>1537</v>
      </c>
      <c r="U122">
        <v>87</v>
      </c>
      <c r="V122">
        <v>6</v>
      </c>
      <c r="W122" t="s">
        <v>1482</v>
      </c>
      <c r="X122" t="s">
        <v>1537</v>
      </c>
      <c r="Y122" t="s">
        <v>1551</v>
      </c>
    </row>
    <row r="123" spans="1:25" x14ac:dyDescent="0.25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  <c r="N123" s="35">
        <v>86</v>
      </c>
      <c r="O123" s="36" t="s">
        <v>1537</v>
      </c>
      <c r="U123">
        <v>88</v>
      </c>
      <c r="V123">
        <v>4</v>
      </c>
      <c r="W123" t="s">
        <v>1482</v>
      </c>
      <c r="X123" t="s">
        <v>1537</v>
      </c>
      <c r="Y123" t="s">
        <v>1552</v>
      </c>
    </row>
    <row r="124" spans="1:25" x14ac:dyDescent="0.25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  <c r="N124" s="35">
        <v>87</v>
      </c>
      <c r="O124" s="36" t="s">
        <v>1537</v>
      </c>
      <c r="U124">
        <v>89</v>
      </c>
      <c r="V124">
        <v>1</v>
      </c>
      <c r="W124" t="s">
        <v>1484</v>
      </c>
      <c r="X124" t="s">
        <v>1537</v>
      </c>
      <c r="Y124" t="s">
        <v>1552</v>
      </c>
    </row>
    <row r="125" spans="1:25" x14ac:dyDescent="0.25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  <c r="N125" s="35">
        <v>88</v>
      </c>
      <c r="O125" s="36" t="s">
        <v>1537</v>
      </c>
      <c r="U125">
        <v>90</v>
      </c>
      <c r="V125">
        <v>4</v>
      </c>
      <c r="W125" t="s">
        <v>1482</v>
      </c>
      <c r="X125" t="s">
        <v>1536</v>
      </c>
      <c r="Y125" t="s">
        <v>1552</v>
      </c>
    </row>
    <row r="126" spans="1:25" x14ac:dyDescent="0.25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  <c r="N126" s="35">
        <v>89</v>
      </c>
      <c r="O126" s="36" t="s">
        <v>1537</v>
      </c>
      <c r="U126">
        <v>91</v>
      </c>
      <c r="V126">
        <v>2</v>
      </c>
      <c r="W126" t="s">
        <v>1482</v>
      </c>
      <c r="X126" t="s">
        <v>1537</v>
      </c>
      <c r="Y126" t="s">
        <v>1551</v>
      </c>
    </row>
    <row r="127" spans="1:25" x14ac:dyDescent="0.25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  <c r="N127" s="35">
        <v>90</v>
      </c>
      <c r="O127" s="36" t="s">
        <v>1536</v>
      </c>
      <c r="U127">
        <v>92</v>
      </c>
      <c r="V127">
        <v>3</v>
      </c>
      <c r="W127" t="s">
        <v>1482</v>
      </c>
      <c r="X127" t="s">
        <v>1536</v>
      </c>
      <c r="Y127" t="s">
        <v>1552</v>
      </c>
    </row>
    <row r="128" spans="1:25" x14ac:dyDescent="0.25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  <c r="N128" s="35">
        <v>91</v>
      </c>
      <c r="O128" s="36" t="s">
        <v>1536</v>
      </c>
      <c r="U128">
        <v>93</v>
      </c>
      <c r="V128">
        <v>6</v>
      </c>
      <c r="W128" t="s">
        <v>1484</v>
      </c>
      <c r="X128" t="s">
        <v>1537</v>
      </c>
      <c r="Y128" t="s">
        <v>1551</v>
      </c>
    </row>
    <row r="129" spans="1:25" x14ac:dyDescent="0.25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  <c r="N129" s="35">
        <v>92</v>
      </c>
      <c r="O129" s="36" t="s">
        <v>1537</v>
      </c>
      <c r="U129">
        <v>94</v>
      </c>
      <c r="V129">
        <v>5</v>
      </c>
      <c r="W129" t="s">
        <v>1482</v>
      </c>
      <c r="X129" t="s">
        <v>1536</v>
      </c>
      <c r="Y129" t="s">
        <v>1551</v>
      </c>
    </row>
    <row r="130" spans="1:25" x14ac:dyDescent="0.25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  <c r="N130" s="35">
        <v>93</v>
      </c>
      <c r="O130" s="36" t="s">
        <v>1537</v>
      </c>
      <c r="U130">
        <v>95</v>
      </c>
      <c r="V130">
        <v>5</v>
      </c>
      <c r="W130" t="s">
        <v>1484</v>
      </c>
      <c r="X130" t="s">
        <v>1537</v>
      </c>
      <c r="Y130" t="s">
        <v>1551</v>
      </c>
    </row>
    <row r="131" spans="1:25" x14ac:dyDescent="0.25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  <c r="N131" s="35">
        <v>94</v>
      </c>
      <c r="O131" s="36" t="s">
        <v>1536</v>
      </c>
      <c r="U131">
        <v>96</v>
      </c>
      <c r="V131">
        <v>5</v>
      </c>
      <c r="W131" t="s">
        <v>1484</v>
      </c>
      <c r="X131" t="s">
        <v>1536</v>
      </c>
      <c r="Y131" t="s">
        <v>1552</v>
      </c>
    </row>
    <row r="132" spans="1:25" x14ac:dyDescent="0.25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  <c r="N132" s="35">
        <v>95</v>
      </c>
      <c r="O132" s="36" t="s">
        <v>1537</v>
      </c>
      <c r="U132">
        <v>97</v>
      </c>
      <c r="V132">
        <v>4</v>
      </c>
      <c r="W132" t="s">
        <v>1484</v>
      </c>
      <c r="X132" t="s">
        <v>1537</v>
      </c>
      <c r="Y132" t="s">
        <v>1551</v>
      </c>
    </row>
    <row r="133" spans="1:25" x14ac:dyDescent="0.25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  <c r="N133" s="35">
        <v>96</v>
      </c>
      <c r="O133" s="36" t="s">
        <v>1536</v>
      </c>
      <c r="U133">
        <v>98</v>
      </c>
      <c r="V133">
        <v>4</v>
      </c>
      <c r="W133" t="s">
        <v>1482</v>
      </c>
      <c r="X133" t="s">
        <v>1537</v>
      </c>
      <c r="Y133" t="s">
        <v>1552</v>
      </c>
    </row>
    <row r="134" spans="1:25" x14ac:dyDescent="0.25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  <c r="N134" s="35">
        <v>97</v>
      </c>
      <c r="O134" s="36" t="s">
        <v>1537</v>
      </c>
      <c r="U134">
        <v>99</v>
      </c>
      <c r="V134">
        <v>2</v>
      </c>
      <c r="W134" t="s">
        <v>1484</v>
      </c>
      <c r="X134" t="s">
        <v>1536</v>
      </c>
      <c r="Y134" t="s">
        <v>1552</v>
      </c>
    </row>
    <row r="135" spans="1:25" x14ac:dyDescent="0.25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  <c r="N135" s="35">
        <v>98</v>
      </c>
      <c r="O135" s="36" t="s">
        <v>1537</v>
      </c>
      <c r="U135">
        <v>100</v>
      </c>
      <c r="V135">
        <v>2</v>
      </c>
      <c r="W135" t="s">
        <v>1482</v>
      </c>
      <c r="X135" t="s">
        <v>1537</v>
      </c>
      <c r="Y135" t="s">
        <v>1551</v>
      </c>
    </row>
    <row r="136" spans="1:25" x14ac:dyDescent="0.25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  <c r="N136" s="35">
        <v>99</v>
      </c>
      <c r="O136" s="36" t="s">
        <v>1536</v>
      </c>
    </row>
    <row r="137" spans="1:25" x14ac:dyDescent="0.25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  <c r="N137" s="35">
        <v>100</v>
      </c>
      <c r="O137" s="36" t="s">
        <v>1537</v>
      </c>
    </row>
    <row r="138" spans="1:25" x14ac:dyDescent="0.25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  <c r="N138" s="35">
        <v>101</v>
      </c>
      <c r="O138" s="10" t="s">
        <v>1537</v>
      </c>
    </row>
    <row r="139" spans="1:25" x14ac:dyDescent="0.25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  <c r="N139" s="35">
        <v>102</v>
      </c>
      <c r="O139" s="10" t="s">
        <v>1537</v>
      </c>
    </row>
    <row r="140" spans="1:25" x14ac:dyDescent="0.25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  <c r="N140" s="35">
        <v>103</v>
      </c>
      <c r="O140" s="10" t="s">
        <v>1537</v>
      </c>
    </row>
    <row r="141" spans="1:25" x14ac:dyDescent="0.25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  <c r="N141" s="35">
        <v>104</v>
      </c>
      <c r="O141" s="10" t="s">
        <v>1536</v>
      </c>
    </row>
    <row r="142" spans="1:25" x14ac:dyDescent="0.25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  <c r="N142" s="35">
        <v>105</v>
      </c>
      <c r="O142" s="10" t="s">
        <v>1536</v>
      </c>
    </row>
    <row r="143" spans="1:25" x14ac:dyDescent="0.25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  <c r="N143" s="35">
        <v>106</v>
      </c>
      <c r="O143" s="10" t="s">
        <v>1537</v>
      </c>
    </row>
    <row r="144" spans="1:25" x14ac:dyDescent="0.25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  <c r="N144" s="35">
        <v>107</v>
      </c>
      <c r="O144" s="10" t="s">
        <v>1536</v>
      </c>
    </row>
    <row r="145" spans="1:15" x14ac:dyDescent="0.25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  <c r="N145" s="35">
        <v>108</v>
      </c>
      <c r="O145" s="10" t="s">
        <v>1537</v>
      </c>
    </row>
    <row r="146" spans="1:15" x14ac:dyDescent="0.25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  <c r="N146" s="35">
        <v>109</v>
      </c>
      <c r="O146" s="10" t="s">
        <v>1537</v>
      </c>
    </row>
    <row r="147" spans="1:15" x14ac:dyDescent="0.25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  <c r="N147" s="35">
        <v>110</v>
      </c>
      <c r="O147" s="10" t="s">
        <v>1537</v>
      </c>
    </row>
    <row r="148" spans="1:15" x14ac:dyDescent="0.25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  <c r="N148" s="35">
        <v>111</v>
      </c>
      <c r="O148" s="10" t="s">
        <v>1537</v>
      </c>
    </row>
    <row r="149" spans="1:15" x14ac:dyDescent="0.25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  <c r="N149" s="35">
        <v>112</v>
      </c>
      <c r="O149" s="10" t="s">
        <v>1536</v>
      </c>
    </row>
    <row r="150" spans="1:15" x14ac:dyDescent="0.25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  <c r="N150" s="35">
        <v>113</v>
      </c>
      <c r="O150" s="10" t="s">
        <v>1536</v>
      </c>
    </row>
    <row r="151" spans="1:15" x14ac:dyDescent="0.25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  <c r="N151" s="35">
        <v>114</v>
      </c>
      <c r="O151" s="10" t="s">
        <v>1537</v>
      </c>
    </row>
    <row r="152" spans="1:15" x14ac:dyDescent="0.25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  <c r="N152" s="35">
        <v>115</v>
      </c>
      <c r="O152" s="10" t="s">
        <v>1537</v>
      </c>
    </row>
    <row r="153" spans="1:15" x14ac:dyDescent="0.25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  <c r="N153" s="35">
        <v>116</v>
      </c>
      <c r="O153" s="10" t="s">
        <v>1537</v>
      </c>
    </row>
    <row r="154" spans="1:15" x14ac:dyDescent="0.25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  <c r="N154" s="35">
        <v>117</v>
      </c>
      <c r="O154" s="10" t="s">
        <v>1536</v>
      </c>
    </row>
    <row r="155" spans="1:15" x14ac:dyDescent="0.25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  <c r="N155" s="35">
        <v>118</v>
      </c>
      <c r="O155" s="10" t="s">
        <v>1537</v>
      </c>
    </row>
    <row r="156" spans="1:15" x14ac:dyDescent="0.25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  <c r="N156" s="35">
        <v>119</v>
      </c>
      <c r="O156" s="10" t="s">
        <v>1537</v>
      </c>
    </row>
    <row r="157" spans="1:15" x14ac:dyDescent="0.25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  <c r="N157" s="35">
        <v>120</v>
      </c>
      <c r="O157" s="10" t="s">
        <v>1536</v>
      </c>
    </row>
    <row r="158" spans="1:15" x14ac:dyDescent="0.25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  <c r="N158" s="35">
        <v>121</v>
      </c>
      <c r="O158" s="10" t="s">
        <v>1537</v>
      </c>
    </row>
    <row r="159" spans="1:15" x14ac:dyDescent="0.25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  <c r="N159" s="35">
        <v>122</v>
      </c>
      <c r="O159" s="10" t="s">
        <v>1536</v>
      </c>
    </row>
    <row r="160" spans="1:15" x14ac:dyDescent="0.25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  <c r="N160" s="35">
        <v>123</v>
      </c>
      <c r="O160" s="10" t="s">
        <v>1537</v>
      </c>
    </row>
    <row r="161" spans="1:15" x14ac:dyDescent="0.25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  <c r="N161" s="35">
        <v>124</v>
      </c>
      <c r="O161" s="10" t="s">
        <v>1537</v>
      </c>
    </row>
    <row r="162" spans="1:15" x14ac:dyDescent="0.25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  <c r="N162" s="35">
        <v>125</v>
      </c>
      <c r="O162" s="10" t="s">
        <v>1537</v>
      </c>
    </row>
    <row r="163" spans="1:15" x14ac:dyDescent="0.25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  <c r="N163" s="35">
        <v>126</v>
      </c>
      <c r="O163" s="10" t="s">
        <v>1537</v>
      </c>
    </row>
    <row r="164" spans="1:15" x14ac:dyDescent="0.25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  <c r="N164" s="35">
        <v>127</v>
      </c>
      <c r="O164" s="10" t="s">
        <v>1536</v>
      </c>
    </row>
    <row r="165" spans="1:15" x14ac:dyDescent="0.25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  <c r="N165" s="35">
        <v>128</v>
      </c>
      <c r="O165" s="10" t="s">
        <v>1536</v>
      </c>
    </row>
    <row r="166" spans="1:15" x14ac:dyDescent="0.25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  <c r="N166" s="35">
        <v>129</v>
      </c>
      <c r="O166" s="10" t="s">
        <v>1536</v>
      </c>
    </row>
    <row r="167" spans="1:15" x14ac:dyDescent="0.25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  <c r="N167" s="35">
        <v>130</v>
      </c>
      <c r="O167" s="10" t="s">
        <v>1537</v>
      </c>
    </row>
    <row r="168" spans="1:15" x14ac:dyDescent="0.25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  <c r="N168" s="35">
        <v>131</v>
      </c>
      <c r="O168" s="10" t="s">
        <v>1536</v>
      </c>
    </row>
    <row r="169" spans="1:15" x14ac:dyDescent="0.25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  <c r="N169" s="35">
        <v>132</v>
      </c>
      <c r="O169" s="10" t="s">
        <v>1537</v>
      </c>
    </row>
    <row r="170" spans="1:15" x14ac:dyDescent="0.25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  <c r="N170" s="35">
        <v>133</v>
      </c>
      <c r="O170" s="10" t="s">
        <v>1537</v>
      </c>
    </row>
    <row r="171" spans="1:15" x14ac:dyDescent="0.25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  <c r="N171" s="35">
        <v>134</v>
      </c>
      <c r="O171" s="10" t="s">
        <v>1537</v>
      </c>
    </row>
    <row r="172" spans="1:15" x14ac:dyDescent="0.25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  <c r="N172" s="35">
        <v>135</v>
      </c>
      <c r="O172" s="10" t="s">
        <v>1537</v>
      </c>
    </row>
    <row r="173" spans="1:15" x14ac:dyDescent="0.25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  <c r="N173" s="35">
        <v>136</v>
      </c>
      <c r="O173" s="10" t="s">
        <v>1537</v>
      </c>
    </row>
    <row r="174" spans="1:15" x14ac:dyDescent="0.25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  <c r="N174" s="35">
        <v>137</v>
      </c>
      <c r="O174" s="10" t="s">
        <v>1536</v>
      </c>
    </row>
    <row r="175" spans="1:15" x14ac:dyDescent="0.25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  <c r="N175" s="35">
        <v>138</v>
      </c>
      <c r="O175" s="10" t="s">
        <v>1537</v>
      </c>
    </row>
    <row r="176" spans="1:15" x14ac:dyDescent="0.25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  <c r="N176" s="35">
        <v>139</v>
      </c>
      <c r="O176" s="10" t="s">
        <v>1536</v>
      </c>
    </row>
    <row r="177" spans="1:15" x14ac:dyDescent="0.25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  <c r="N177" s="35">
        <v>140</v>
      </c>
      <c r="O177" s="10" t="s">
        <v>1536</v>
      </c>
    </row>
    <row r="178" spans="1:15" x14ac:dyDescent="0.25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  <c r="N178" s="35">
        <v>141</v>
      </c>
      <c r="O178" s="10" t="s">
        <v>1537</v>
      </c>
    </row>
    <row r="179" spans="1:15" x14ac:dyDescent="0.25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  <c r="N179" s="35">
        <v>142</v>
      </c>
      <c r="O179" s="10" t="s">
        <v>1537</v>
      </c>
    </row>
    <row r="180" spans="1:15" x14ac:dyDescent="0.25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  <c r="N180" s="35">
        <v>143</v>
      </c>
      <c r="O180" s="10" t="s">
        <v>1536</v>
      </c>
    </row>
    <row r="181" spans="1:15" x14ac:dyDescent="0.25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  <c r="N181" s="35">
        <v>144</v>
      </c>
      <c r="O181" s="10" t="s">
        <v>1536</v>
      </c>
    </row>
    <row r="182" spans="1:15" x14ac:dyDescent="0.25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  <c r="N182" s="35">
        <v>145</v>
      </c>
      <c r="O182" s="10" t="s">
        <v>1537</v>
      </c>
    </row>
    <row r="183" spans="1:15" x14ac:dyDescent="0.25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  <c r="N183" s="35">
        <v>146</v>
      </c>
      <c r="O183" s="10" t="s">
        <v>1536</v>
      </c>
    </row>
    <row r="184" spans="1:15" x14ac:dyDescent="0.25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  <c r="N184" s="35">
        <v>147</v>
      </c>
      <c r="O184" s="10" t="s">
        <v>1536</v>
      </c>
    </row>
    <row r="185" spans="1:15" x14ac:dyDescent="0.25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  <c r="N185" s="35">
        <v>148</v>
      </c>
      <c r="O185" s="10" t="s">
        <v>1536</v>
      </c>
    </row>
    <row r="186" spans="1:15" x14ac:dyDescent="0.25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  <c r="N186" s="35">
        <v>149</v>
      </c>
      <c r="O186" s="10" t="s">
        <v>1536</v>
      </c>
    </row>
    <row r="187" spans="1:15" x14ac:dyDescent="0.25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  <c r="N187" s="35">
        <v>150</v>
      </c>
      <c r="O187" s="10" t="s">
        <v>1536</v>
      </c>
    </row>
    <row r="188" spans="1:15" x14ac:dyDescent="0.25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  <c r="N188" s="35">
        <v>151</v>
      </c>
      <c r="O188" s="10" t="s">
        <v>1536</v>
      </c>
    </row>
    <row r="189" spans="1:15" x14ac:dyDescent="0.25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  <c r="N189" s="35">
        <v>152</v>
      </c>
      <c r="O189" s="10" t="s">
        <v>1536</v>
      </c>
    </row>
    <row r="190" spans="1:15" x14ac:dyDescent="0.25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  <c r="N190" s="35">
        <v>153</v>
      </c>
      <c r="O190" s="10" t="s">
        <v>1537</v>
      </c>
    </row>
    <row r="191" spans="1:15" x14ac:dyDescent="0.25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  <c r="N191" s="35">
        <v>154</v>
      </c>
      <c r="O191" s="10" t="s">
        <v>1537</v>
      </c>
    </row>
    <row r="192" spans="1:15" x14ac:dyDescent="0.25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  <c r="N192" s="35">
        <v>155</v>
      </c>
      <c r="O192" s="10" t="s">
        <v>1536</v>
      </c>
    </row>
    <row r="193" spans="1:15" x14ac:dyDescent="0.25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  <c r="N193" s="35">
        <v>156</v>
      </c>
      <c r="O193" s="10" t="s">
        <v>1536</v>
      </c>
    </row>
    <row r="194" spans="1:15" x14ac:dyDescent="0.25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  <c r="N194" s="35">
        <v>157</v>
      </c>
      <c r="O194" s="10" t="s">
        <v>1537</v>
      </c>
    </row>
    <row r="195" spans="1:15" x14ac:dyDescent="0.25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  <c r="N195" s="35">
        <v>158</v>
      </c>
      <c r="O195" s="10" t="s">
        <v>1536</v>
      </c>
    </row>
    <row r="196" spans="1:15" x14ac:dyDescent="0.25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  <c r="N196" s="35">
        <v>159</v>
      </c>
      <c r="O196" s="10" t="s">
        <v>1537</v>
      </c>
    </row>
    <row r="197" spans="1:15" x14ac:dyDescent="0.25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  <c r="N197" s="35">
        <v>160</v>
      </c>
      <c r="O197" s="10" t="s">
        <v>1537</v>
      </c>
    </row>
    <row r="198" spans="1:15" x14ac:dyDescent="0.25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  <c r="N198" s="35">
        <v>161</v>
      </c>
      <c r="O198" s="10" t="s">
        <v>1536</v>
      </c>
    </row>
    <row r="199" spans="1:15" x14ac:dyDescent="0.25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  <c r="N199" s="35">
        <v>162</v>
      </c>
      <c r="O199" s="10" t="s">
        <v>1537</v>
      </c>
    </row>
    <row r="200" spans="1:15" x14ac:dyDescent="0.25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  <c r="N200" s="35">
        <v>163</v>
      </c>
      <c r="O200" s="10" t="s">
        <v>1537</v>
      </c>
    </row>
    <row r="201" spans="1:15" x14ac:dyDescent="0.25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  <c r="N201" s="35">
        <v>164</v>
      </c>
      <c r="O201" s="10" t="s">
        <v>1536</v>
      </c>
    </row>
    <row r="202" spans="1:15" x14ac:dyDescent="0.25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  <c r="N202" s="35">
        <v>165</v>
      </c>
      <c r="O202" s="10" t="s">
        <v>1536</v>
      </c>
    </row>
    <row r="203" spans="1:15" x14ac:dyDescent="0.25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  <c r="N203" s="35">
        <v>166</v>
      </c>
      <c r="O203" s="10" t="s">
        <v>1536</v>
      </c>
    </row>
    <row r="204" spans="1:15" x14ac:dyDescent="0.25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  <c r="N204" s="35">
        <v>167</v>
      </c>
      <c r="O204" s="10" t="s">
        <v>1537</v>
      </c>
    </row>
    <row r="205" spans="1:15" x14ac:dyDescent="0.25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  <c r="N205" s="35">
        <v>168</v>
      </c>
      <c r="O205" s="10" t="s">
        <v>1536</v>
      </c>
    </row>
    <row r="206" spans="1:15" x14ac:dyDescent="0.25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  <c r="N206" s="35">
        <v>169</v>
      </c>
      <c r="O206" s="10" t="s">
        <v>1536</v>
      </c>
    </row>
    <row r="207" spans="1:15" x14ac:dyDescent="0.25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  <c r="N207" s="35">
        <v>170</v>
      </c>
      <c r="O207" s="10" t="s">
        <v>1536</v>
      </c>
    </row>
    <row r="208" spans="1:15" x14ac:dyDescent="0.25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  <c r="N208" s="35">
        <v>171</v>
      </c>
      <c r="O208" s="10" t="s">
        <v>1537</v>
      </c>
    </row>
    <row r="209" spans="1:15" x14ac:dyDescent="0.25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  <c r="N209" s="35">
        <v>172</v>
      </c>
      <c r="O209" s="10" t="s">
        <v>1536</v>
      </c>
    </row>
    <row r="210" spans="1:15" x14ac:dyDescent="0.25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  <c r="N210" s="35">
        <v>173</v>
      </c>
      <c r="O210" s="10" t="s">
        <v>1537</v>
      </c>
    </row>
    <row r="211" spans="1:15" x14ac:dyDescent="0.25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  <c r="N211" s="35">
        <v>174</v>
      </c>
      <c r="O211" s="10" t="s">
        <v>1537</v>
      </c>
    </row>
    <row r="212" spans="1:15" x14ac:dyDescent="0.25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  <c r="N212" s="35">
        <v>175</v>
      </c>
      <c r="O212" s="10" t="s">
        <v>1537</v>
      </c>
    </row>
    <row r="213" spans="1:15" x14ac:dyDescent="0.25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  <c r="N213" s="35">
        <v>176</v>
      </c>
      <c r="O213" s="10" t="s">
        <v>1536</v>
      </c>
    </row>
    <row r="214" spans="1:15" x14ac:dyDescent="0.25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  <c r="N214" s="35">
        <v>177</v>
      </c>
      <c r="O214" s="10" t="s">
        <v>1536</v>
      </c>
    </row>
    <row r="215" spans="1:15" x14ac:dyDescent="0.25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  <c r="N215" s="35">
        <v>178</v>
      </c>
      <c r="O215" s="10" t="s">
        <v>1537</v>
      </c>
    </row>
    <row r="216" spans="1:15" x14ac:dyDescent="0.25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  <c r="N216" s="35">
        <v>179</v>
      </c>
      <c r="O216" s="10" t="s">
        <v>1537</v>
      </c>
    </row>
    <row r="217" spans="1:15" x14ac:dyDescent="0.25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  <c r="N217" s="35">
        <v>180</v>
      </c>
      <c r="O217" s="10" t="s">
        <v>1537</v>
      </c>
    </row>
    <row r="218" spans="1:15" x14ac:dyDescent="0.25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  <c r="N218" s="35">
        <v>181</v>
      </c>
      <c r="O218" s="10" t="s">
        <v>1536</v>
      </c>
    </row>
    <row r="219" spans="1:15" x14ac:dyDescent="0.25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  <c r="N219" s="35">
        <v>182</v>
      </c>
      <c r="O219" s="10" t="s">
        <v>1537</v>
      </c>
    </row>
    <row r="220" spans="1:15" x14ac:dyDescent="0.25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  <c r="N220" s="35">
        <v>183</v>
      </c>
      <c r="O220" s="10" t="s">
        <v>1537</v>
      </c>
    </row>
    <row r="221" spans="1:15" x14ac:dyDescent="0.25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  <c r="N221" s="35">
        <v>184</v>
      </c>
      <c r="O221" s="10" t="s">
        <v>1537</v>
      </c>
    </row>
    <row r="222" spans="1:15" x14ac:dyDescent="0.25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  <c r="N222" s="35">
        <v>185</v>
      </c>
      <c r="O222" s="10" t="s">
        <v>1537</v>
      </c>
    </row>
    <row r="223" spans="1:15" x14ac:dyDescent="0.25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  <c r="N223" s="35">
        <v>186</v>
      </c>
      <c r="O223" s="10" t="s">
        <v>1536</v>
      </c>
    </row>
    <row r="224" spans="1:15" x14ac:dyDescent="0.25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  <c r="N224" s="35">
        <v>187</v>
      </c>
      <c r="O224" s="10" t="s">
        <v>1537</v>
      </c>
    </row>
    <row r="225" spans="1:15" x14ac:dyDescent="0.25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  <c r="N225" s="35">
        <v>188</v>
      </c>
      <c r="O225" s="10" t="s">
        <v>1536</v>
      </c>
    </row>
    <row r="226" spans="1:15" x14ac:dyDescent="0.25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  <c r="N226" s="35">
        <v>189</v>
      </c>
      <c r="O226" s="10" t="s">
        <v>1537</v>
      </c>
    </row>
    <row r="227" spans="1:15" x14ac:dyDescent="0.25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  <c r="N227" s="35">
        <v>190</v>
      </c>
      <c r="O227" s="10" t="s">
        <v>1536</v>
      </c>
    </row>
    <row r="228" spans="1:15" x14ac:dyDescent="0.25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  <c r="N228" s="35">
        <v>191</v>
      </c>
      <c r="O228" s="10" t="s">
        <v>1537</v>
      </c>
    </row>
    <row r="229" spans="1:15" x14ac:dyDescent="0.25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  <c r="N229" s="35">
        <v>192</v>
      </c>
      <c r="O229" s="10" t="s">
        <v>1536</v>
      </c>
    </row>
    <row r="230" spans="1:15" x14ac:dyDescent="0.25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  <c r="N230" s="35">
        <v>193</v>
      </c>
      <c r="O230" s="10" t="s">
        <v>1537</v>
      </c>
    </row>
    <row r="231" spans="1:15" x14ac:dyDescent="0.25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  <c r="N231" s="35">
        <v>194</v>
      </c>
      <c r="O231" s="10" t="s">
        <v>1537</v>
      </c>
    </row>
    <row r="232" spans="1:15" x14ac:dyDescent="0.25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  <c r="N232" s="35">
        <v>195</v>
      </c>
      <c r="O232" s="10" t="s">
        <v>1536</v>
      </c>
    </row>
    <row r="233" spans="1:15" x14ac:dyDescent="0.25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  <c r="N233" s="35">
        <v>196</v>
      </c>
      <c r="O233" s="10" t="s">
        <v>1537</v>
      </c>
    </row>
    <row r="234" spans="1:15" x14ac:dyDescent="0.25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  <c r="N234" s="35">
        <v>197</v>
      </c>
      <c r="O234" s="10" t="s">
        <v>1536</v>
      </c>
    </row>
    <row r="235" spans="1:15" x14ac:dyDescent="0.25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  <c r="N235" s="35">
        <v>198</v>
      </c>
      <c r="O235" s="10" t="s">
        <v>1537</v>
      </c>
    </row>
    <row r="236" spans="1:15" x14ac:dyDescent="0.25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  <c r="N236" s="35">
        <v>199</v>
      </c>
      <c r="O236" s="10" t="s">
        <v>1536</v>
      </c>
    </row>
    <row r="237" spans="1:15" ht="15.75" thickBot="1" x14ac:dyDescent="0.3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  <c r="N237" s="37">
        <v>200</v>
      </c>
      <c r="O237" s="12" t="s">
        <v>1536</v>
      </c>
    </row>
    <row r="238" spans="1:15" x14ac:dyDescent="0.25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5" x14ac:dyDescent="0.25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5" x14ac:dyDescent="0.25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 x14ac:dyDescent="0.25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 x14ac:dyDescent="0.25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 x14ac:dyDescent="0.25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 x14ac:dyDescent="0.25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 x14ac:dyDescent="0.25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 x14ac:dyDescent="0.25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 x14ac:dyDescent="0.25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 x14ac:dyDescent="0.25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 x14ac:dyDescent="0.25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 x14ac:dyDescent="0.25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 x14ac:dyDescent="0.25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 x14ac:dyDescent="0.25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 x14ac:dyDescent="0.25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 x14ac:dyDescent="0.25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 x14ac:dyDescent="0.25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 x14ac:dyDescent="0.25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 x14ac:dyDescent="0.25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 x14ac:dyDescent="0.25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 x14ac:dyDescent="0.25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 x14ac:dyDescent="0.25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 x14ac:dyDescent="0.25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 x14ac:dyDescent="0.25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 x14ac:dyDescent="0.25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 x14ac:dyDescent="0.25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 x14ac:dyDescent="0.25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 x14ac:dyDescent="0.25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 x14ac:dyDescent="0.25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 x14ac:dyDescent="0.25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 x14ac:dyDescent="0.25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 x14ac:dyDescent="0.25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 x14ac:dyDescent="0.25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 x14ac:dyDescent="0.25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 x14ac:dyDescent="0.25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 x14ac:dyDescent="0.25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 x14ac:dyDescent="0.25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 x14ac:dyDescent="0.25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 x14ac:dyDescent="0.25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 x14ac:dyDescent="0.25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 x14ac:dyDescent="0.25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 x14ac:dyDescent="0.25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 x14ac:dyDescent="0.25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 x14ac:dyDescent="0.25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 x14ac:dyDescent="0.25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 x14ac:dyDescent="0.25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 x14ac:dyDescent="0.25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 x14ac:dyDescent="0.25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 x14ac:dyDescent="0.25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 x14ac:dyDescent="0.25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 x14ac:dyDescent="0.25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 x14ac:dyDescent="0.25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 x14ac:dyDescent="0.25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 x14ac:dyDescent="0.25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 x14ac:dyDescent="0.25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 x14ac:dyDescent="0.25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 x14ac:dyDescent="0.25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 x14ac:dyDescent="0.25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 x14ac:dyDescent="0.25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 x14ac:dyDescent="0.25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 x14ac:dyDescent="0.25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 x14ac:dyDescent="0.25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 x14ac:dyDescent="0.25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 x14ac:dyDescent="0.25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 x14ac:dyDescent="0.25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 x14ac:dyDescent="0.25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 x14ac:dyDescent="0.25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 x14ac:dyDescent="0.25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 x14ac:dyDescent="0.25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 x14ac:dyDescent="0.25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 x14ac:dyDescent="0.25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 x14ac:dyDescent="0.25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 x14ac:dyDescent="0.25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 x14ac:dyDescent="0.25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 x14ac:dyDescent="0.25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 x14ac:dyDescent="0.25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 x14ac:dyDescent="0.25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 x14ac:dyDescent="0.25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 x14ac:dyDescent="0.25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 x14ac:dyDescent="0.25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 x14ac:dyDescent="0.25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 x14ac:dyDescent="0.25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 x14ac:dyDescent="0.25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 x14ac:dyDescent="0.25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 x14ac:dyDescent="0.25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 x14ac:dyDescent="0.25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 x14ac:dyDescent="0.25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 x14ac:dyDescent="0.25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 x14ac:dyDescent="0.25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 x14ac:dyDescent="0.25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 x14ac:dyDescent="0.25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 x14ac:dyDescent="0.25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 x14ac:dyDescent="0.25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 x14ac:dyDescent="0.25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 x14ac:dyDescent="0.25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 x14ac:dyDescent="0.25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 x14ac:dyDescent="0.25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 x14ac:dyDescent="0.25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 x14ac:dyDescent="0.25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 x14ac:dyDescent="0.25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 x14ac:dyDescent="0.25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 x14ac:dyDescent="0.25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 x14ac:dyDescent="0.25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 x14ac:dyDescent="0.25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 x14ac:dyDescent="0.25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 x14ac:dyDescent="0.25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 x14ac:dyDescent="0.25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 x14ac:dyDescent="0.25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 x14ac:dyDescent="0.25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 x14ac:dyDescent="0.25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 x14ac:dyDescent="0.25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 x14ac:dyDescent="0.25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 x14ac:dyDescent="0.25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 x14ac:dyDescent="0.25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 x14ac:dyDescent="0.25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 x14ac:dyDescent="0.25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 x14ac:dyDescent="0.25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 x14ac:dyDescent="0.25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 x14ac:dyDescent="0.25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 x14ac:dyDescent="0.25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 x14ac:dyDescent="0.25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 x14ac:dyDescent="0.25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 x14ac:dyDescent="0.25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 x14ac:dyDescent="0.25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 x14ac:dyDescent="0.25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 x14ac:dyDescent="0.25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 x14ac:dyDescent="0.25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 x14ac:dyDescent="0.25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 x14ac:dyDescent="0.25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 x14ac:dyDescent="0.25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 x14ac:dyDescent="0.25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 x14ac:dyDescent="0.25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 x14ac:dyDescent="0.25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 x14ac:dyDescent="0.25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 x14ac:dyDescent="0.25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 x14ac:dyDescent="0.25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 x14ac:dyDescent="0.25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 x14ac:dyDescent="0.25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 x14ac:dyDescent="0.25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 x14ac:dyDescent="0.25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 x14ac:dyDescent="0.25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 x14ac:dyDescent="0.25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 x14ac:dyDescent="0.25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 x14ac:dyDescent="0.25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 x14ac:dyDescent="0.25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 x14ac:dyDescent="0.25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 x14ac:dyDescent="0.25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 x14ac:dyDescent="0.25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 x14ac:dyDescent="0.25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 x14ac:dyDescent="0.25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 x14ac:dyDescent="0.25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 x14ac:dyDescent="0.25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 x14ac:dyDescent="0.25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 x14ac:dyDescent="0.25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 x14ac:dyDescent="0.25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 x14ac:dyDescent="0.25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 x14ac:dyDescent="0.25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 x14ac:dyDescent="0.25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 x14ac:dyDescent="0.25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 x14ac:dyDescent="0.25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 x14ac:dyDescent="0.25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 x14ac:dyDescent="0.25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 x14ac:dyDescent="0.25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 x14ac:dyDescent="0.25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 x14ac:dyDescent="0.25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 x14ac:dyDescent="0.25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 x14ac:dyDescent="0.25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 x14ac:dyDescent="0.25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 x14ac:dyDescent="0.25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 x14ac:dyDescent="0.25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 x14ac:dyDescent="0.25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 x14ac:dyDescent="0.25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 x14ac:dyDescent="0.25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 x14ac:dyDescent="0.25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 x14ac:dyDescent="0.25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 x14ac:dyDescent="0.25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 x14ac:dyDescent="0.25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 x14ac:dyDescent="0.25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 x14ac:dyDescent="0.25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 x14ac:dyDescent="0.25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 x14ac:dyDescent="0.25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 x14ac:dyDescent="0.25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 x14ac:dyDescent="0.25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 x14ac:dyDescent="0.25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 x14ac:dyDescent="0.25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 x14ac:dyDescent="0.25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 x14ac:dyDescent="0.25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 x14ac:dyDescent="0.25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 x14ac:dyDescent="0.25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 x14ac:dyDescent="0.25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 x14ac:dyDescent="0.25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 x14ac:dyDescent="0.25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 x14ac:dyDescent="0.25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 x14ac:dyDescent="0.25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 x14ac:dyDescent="0.25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 x14ac:dyDescent="0.25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 x14ac:dyDescent="0.25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 x14ac:dyDescent="0.25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 x14ac:dyDescent="0.25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 x14ac:dyDescent="0.25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 x14ac:dyDescent="0.25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 x14ac:dyDescent="0.25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 x14ac:dyDescent="0.25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 x14ac:dyDescent="0.25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 x14ac:dyDescent="0.25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 x14ac:dyDescent="0.25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 x14ac:dyDescent="0.25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 x14ac:dyDescent="0.25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 x14ac:dyDescent="0.25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 x14ac:dyDescent="0.25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 x14ac:dyDescent="0.25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 x14ac:dyDescent="0.25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 x14ac:dyDescent="0.25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 x14ac:dyDescent="0.25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 x14ac:dyDescent="0.25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 x14ac:dyDescent="0.25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 x14ac:dyDescent="0.25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 x14ac:dyDescent="0.25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 x14ac:dyDescent="0.25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 x14ac:dyDescent="0.25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 x14ac:dyDescent="0.25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 x14ac:dyDescent="0.25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 x14ac:dyDescent="0.25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 x14ac:dyDescent="0.25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 x14ac:dyDescent="0.25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 x14ac:dyDescent="0.25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 x14ac:dyDescent="0.25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 x14ac:dyDescent="0.25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 x14ac:dyDescent="0.25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 x14ac:dyDescent="0.25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 x14ac:dyDescent="0.25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 x14ac:dyDescent="0.25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 x14ac:dyDescent="0.25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 x14ac:dyDescent="0.25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 x14ac:dyDescent="0.25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 x14ac:dyDescent="0.25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 x14ac:dyDescent="0.25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 x14ac:dyDescent="0.25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 x14ac:dyDescent="0.25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 x14ac:dyDescent="0.25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 x14ac:dyDescent="0.25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 x14ac:dyDescent="0.25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 x14ac:dyDescent="0.25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 x14ac:dyDescent="0.25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 x14ac:dyDescent="0.25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 x14ac:dyDescent="0.25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 x14ac:dyDescent="0.25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 x14ac:dyDescent="0.25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 x14ac:dyDescent="0.25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 x14ac:dyDescent="0.25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 x14ac:dyDescent="0.25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 x14ac:dyDescent="0.25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 x14ac:dyDescent="0.25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 x14ac:dyDescent="0.25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 x14ac:dyDescent="0.25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 x14ac:dyDescent="0.25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 x14ac:dyDescent="0.25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 x14ac:dyDescent="0.25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 x14ac:dyDescent="0.25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 x14ac:dyDescent="0.25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 x14ac:dyDescent="0.25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 x14ac:dyDescent="0.25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 x14ac:dyDescent="0.25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 x14ac:dyDescent="0.25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 x14ac:dyDescent="0.25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 x14ac:dyDescent="0.25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 x14ac:dyDescent="0.25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 x14ac:dyDescent="0.25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 x14ac:dyDescent="0.25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 x14ac:dyDescent="0.25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 x14ac:dyDescent="0.25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 x14ac:dyDescent="0.25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 x14ac:dyDescent="0.25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 x14ac:dyDescent="0.25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 x14ac:dyDescent="0.25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 x14ac:dyDescent="0.25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 x14ac:dyDescent="0.25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 x14ac:dyDescent="0.25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 x14ac:dyDescent="0.25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 x14ac:dyDescent="0.25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 x14ac:dyDescent="0.25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 x14ac:dyDescent="0.25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 x14ac:dyDescent="0.25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 x14ac:dyDescent="0.25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 x14ac:dyDescent="0.25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 x14ac:dyDescent="0.25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 x14ac:dyDescent="0.25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 x14ac:dyDescent="0.25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 x14ac:dyDescent="0.25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 x14ac:dyDescent="0.25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 x14ac:dyDescent="0.25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 x14ac:dyDescent="0.25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 x14ac:dyDescent="0.25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 x14ac:dyDescent="0.25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 x14ac:dyDescent="0.25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 x14ac:dyDescent="0.25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 x14ac:dyDescent="0.25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 x14ac:dyDescent="0.25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 x14ac:dyDescent="0.25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 x14ac:dyDescent="0.25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 x14ac:dyDescent="0.25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 x14ac:dyDescent="0.25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 x14ac:dyDescent="0.25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 x14ac:dyDescent="0.25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 x14ac:dyDescent="0.25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 x14ac:dyDescent="0.25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 x14ac:dyDescent="0.25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 x14ac:dyDescent="0.25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 x14ac:dyDescent="0.25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 x14ac:dyDescent="0.25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 x14ac:dyDescent="0.25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 x14ac:dyDescent="0.25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 x14ac:dyDescent="0.25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 x14ac:dyDescent="0.25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 x14ac:dyDescent="0.25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 x14ac:dyDescent="0.25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 x14ac:dyDescent="0.25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 x14ac:dyDescent="0.25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 x14ac:dyDescent="0.25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 x14ac:dyDescent="0.25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 x14ac:dyDescent="0.25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 x14ac:dyDescent="0.25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 x14ac:dyDescent="0.25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 x14ac:dyDescent="0.25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 x14ac:dyDescent="0.25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 x14ac:dyDescent="0.25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 x14ac:dyDescent="0.25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 x14ac:dyDescent="0.25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 x14ac:dyDescent="0.25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 x14ac:dyDescent="0.25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 x14ac:dyDescent="0.25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 x14ac:dyDescent="0.25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 x14ac:dyDescent="0.25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 x14ac:dyDescent="0.25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 x14ac:dyDescent="0.25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 x14ac:dyDescent="0.25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 x14ac:dyDescent="0.25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 x14ac:dyDescent="0.25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 x14ac:dyDescent="0.25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 x14ac:dyDescent="0.25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 x14ac:dyDescent="0.25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 x14ac:dyDescent="0.25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 x14ac:dyDescent="0.25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 x14ac:dyDescent="0.25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 x14ac:dyDescent="0.25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 x14ac:dyDescent="0.25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 x14ac:dyDescent="0.25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 x14ac:dyDescent="0.25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 x14ac:dyDescent="0.25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 x14ac:dyDescent="0.25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 x14ac:dyDescent="0.25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 x14ac:dyDescent="0.25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 x14ac:dyDescent="0.25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 x14ac:dyDescent="0.25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 x14ac:dyDescent="0.25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 x14ac:dyDescent="0.25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 x14ac:dyDescent="0.25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 x14ac:dyDescent="0.25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 x14ac:dyDescent="0.25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 x14ac:dyDescent="0.25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 x14ac:dyDescent="0.25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 x14ac:dyDescent="0.25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 x14ac:dyDescent="0.25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 x14ac:dyDescent="0.25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 x14ac:dyDescent="0.25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 x14ac:dyDescent="0.25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 x14ac:dyDescent="0.25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 x14ac:dyDescent="0.25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 x14ac:dyDescent="0.25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 x14ac:dyDescent="0.25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 x14ac:dyDescent="0.25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 x14ac:dyDescent="0.25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 x14ac:dyDescent="0.25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 x14ac:dyDescent="0.25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 x14ac:dyDescent="0.25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 x14ac:dyDescent="0.25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 x14ac:dyDescent="0.25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 x14ac:dyDescent="0.25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 x14ac:dyDescent="0.25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 x14ac:dyDescent="0.25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 x14ac:dyDescent="0.25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 x14ac:dyDescent="0.25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 x14ac:dyDescent="0.25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 x14ac:dyDescent="0.25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 x14ac:dyDescent="0.25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 x14ac:dyDescent="0.25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 x14ac:dyDescent="0.25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 x14ac:dyDescent="0.25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 x14ac:dyDescent="0.25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 x14ac:dyDescent="0.25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 x14ac:dyDescent="0.25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 x14ac:dyDescent="0.25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 x14ac:dyDescent="0.25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 x14ac:dyDescent="0.25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 x14ac:dyDescent="0.25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 x14ac:dyDescent="0.25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 x14ac:dyDescent="0.25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 x14ac:dyDescent="0.25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 x14ac:dyDescent="0.25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 x14ac:dyDescent="0.25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 x14ac:dyDescent="0.25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 x14ac:dyDescent="0.25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 x14ac:dyDescent="0.25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 x14ac:dyDescent="0.25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 x14ac:dyDescent="0.25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 x14ac:dyDescent="0.25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 x14ac:dyDescent="0.25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 x14ac:dyDescent="0.25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 x14ac:dyDescent="0.25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 x14ac:dyDescent="0.25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 x14ac:dyDescent="0.25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 x14ac:dyDescent="0.25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 x14ac:dyDescent="0.25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 x14ac:dyDescent="0.25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 x14ac:dyDescent="0.25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 x14ac:dyDescent="0.25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 x14ac:dyDescent="0.25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 x14ac:dyDescent="0.25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 x14ac:dyDescent="0.25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 x14ac:dyDescent="0.25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 x14ac:dyDescent="0.25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 x14ac:dyDescent="0.25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 x14ac:dyDescent="0.25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 x14ac:dyDescent="0.25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 x14ac:dyDescent="0.25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 x14ac:dyDescent="0.25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 x14ac:dyDescent="0.25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 x14ac:dyDescent="0.25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 x14ac:dyDescent="0.25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 x14ac:dyDescent="0.25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 x14ac:dyDescent="0.25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 x14ac:dyDescent="0.25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 x14ac:dyDescent="0.25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 x14ac:dyDescent="0.25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 x14ac:dyDescent="0.25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 x14ac:dyDescent="0.25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 x14ac:dyDescent="0.25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 x14ac:dyDescent="0.25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 x14ac:dyDescent="0.25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 x14ac:dyDescent="0.25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 x14ac:dyDescent="0.25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 x14ac:dyDescent="0.25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 x14ac:dyDescent="0.25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 x14ac:dyDescent="0.25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 x14ac:dyDescent="0.25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 x14ac:dyDescent="0.25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 x14ac:dyDescent="0.25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 x14ac:dyDescent="0.25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 x14ac:dyDescent="0.25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 x14ac:dyDescent="0.25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 x14ac:dyDescent="0.25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 x14ac:dyDescent="0.25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 x14ac:dyDescent="0.25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 x14ac:dyDescent="0.25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 x14ac:dyDescent="0.25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 x14ac:dyDescent="0.25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 x14ac:dyDescent="0.25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 x14ac:dyDescent="0.25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 x14ac:dyDescent="0.25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 x14ac:dyDescent="0.25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 x14ac:dyDescent="0.25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 x14ac:dyDescent="0.25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 x14ac:dyDescent="0.25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 x14ac:dyDescent="0.25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 x14ac:dyDescent="0.25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 x14ac:dyDescent="0.25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 x14ac:dyDescent="0.25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 x14ac:dyDescent="0.25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 x14ac:dyDescent="0.25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 x14ac:dyDescent="0.25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 x14ac:dyDescent="0.25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 x14ac:dyDescent="0.25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 x14ac:dyDescent="0.25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 x14ac:dyDescent="0.25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 x14ac:dyDescent="0.25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 x14ac:dyDescent="0.25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 x14ac:dyDescent="0.25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 x14ac:dyDescent="0.25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 x14ac:dyDescent="0.25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 x14ac:dyDescent="0.25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 x14ac:dyDescent="0.25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 x14ac:dyDescent="0.25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 x14ac:dyDescent="0.25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 x14ac:dyDescent="0.25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 x14ac:dyDescent="0.25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 x14ac:dyDescent="0.25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 x14ac:dyDescent="0.25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 x14ac:dyDescent="0.25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 x14ac:dyDescent="0.25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 x14ac:dyDescent="0.25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 x14ac:dyDescent="0.25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 x14ac:dyDescent="0.25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 x14ac:dyDescent="0.25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 x14ac:dyDescent="0.25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 x14ac:dyDescent="0.25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 x14ac:dyDescent="0.25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 x14ac:dyDescent="0.25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 x14ac:dyDescent="0.25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 x14ac:dyDescent="0.25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 x14ac:dyDescent="0.25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 x14ac:dyDescent="0.25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 x14ac:dyDescent="0.25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 x14ac:dyDescent="0.25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 x14ac:dyDescent="0.25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 x14ac:dyDescent="0.25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 x14ac:dyDescent="0.25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 x14ac:dyDescent="0.25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 x14ac:dyDescent="0.25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 x14ac:dyDescent="0.25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 x14ac:dyDescent="0.25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 x14ac:dyDescent="0.25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 x14ac:dyDescent="0.25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 x14ac:dyDescent="0.25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 x14ac:dyDescent="0.25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 x14ac:dyDescent="0.25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 x14ac:dyDescent="0.25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 x14ac:dyDescent="0.25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 x14ac:dyDescent="0.25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 x14ac:dyDescent="0.25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 x14ac:dyDescent="0.25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 x14ac:dyDescent="0.25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 x14ac:dyDescent="0.25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 x14ac:dyDescent="0.25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 x14ac:dyDescent="0.25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 x14ac:dyDescent="0.25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 x14ac:dyDescent="0.25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 x14ac:dyDescent="0.25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 x14ac:dyDescent="0.25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 x14ac:dyDescent="0.25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 x14ac:dyDescent="0.25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 x14ac:dyDescent="0.25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 x14ac:dyDescent="0.25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 x14ac:dyDescent="0.25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 x14ac:dyDescent="0.25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 x14ac:dyDescent="0.25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 x14ac:dyDescent="0.25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 x14ac:dyDescent="0.25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 x14ac:dyDescent="0.25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 x14ac:dyDescent="0.25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 x14ac:dyDescent="0.25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 x14ac:dyDescent="0.25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 x14ac:dyDescent="0.25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 x14ac:dyDescent="0.25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 x14ac:dyDescent="0.25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 x14ac:dyDescent="0.25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 x14ac:dyDescent="0.25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 x14ac:dyDescent="0.25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 x14ac:dyDescent="0.25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 x14ac:dyDescent="0.25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 x14ac:dyDescent="0.25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 x14ac:dyDescent="0.25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 x14ac:dyDescent="0.25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 x14ac:dyDescent="0.25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 x14ac:dyDescent="0.25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 x14ac:dyDescent="0.25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 x14ac:dyDescent="0.25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 x14ac:dyDescent="0.25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 x14ac:dyDescent="0.25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 x14ac:dyDescent="0.25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 x14ac:dyDescent="0.25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 x14ac:dyDescent="0.25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 x14ac:dyDescent="0.25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 x14ac:dyDescent="0.25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 x14ac:dyDescent="0.25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 x14ac:dyDescent="0.25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 x14ac:dyDescent="0.25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 x14ac:dyDescent="0.25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 x14ac:dyDescent="0.25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 x14ac:dyDescent="0.25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 x14ac:dyDescent="0.25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 x14ac:dyDescent="0.25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 x14ac:dyDescent="0.25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 x14ac:dyDescent="0.25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 x14ac:dyDescent="0.25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 x14ac:dyDescent="0.25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 x14ac:dyDescent="0.25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 x14ac:dyDescent="0.25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 x14ac:dyDescent="0.25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 x14ac:dyDescent="0.25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 x14ac:dyDescent="0.25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 x14ac:dyDescent="0.25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 x14ac:dyDescent="0.25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 x14ac:dyDescent="0.25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 x14ac:dyDescent="0.25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 x14ac:dyDescent="0.25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 x14ac:dyDescent="0.25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 x14ac:dyDescent="0.25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 x14ac:dyDescent="0.25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 x14ac:dyDescent="0.25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 x14ac:dyDescent="0.25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 x14ac:dyDescent="0.25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 x14ac:dyDescent="0.25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 x14ac:dyDescent="0.25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 x14ac:dyDescent="0.25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 x14ac:dyDescent="0.25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 x14ac:dyDescent="0.25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 x14ac:dyDescent="0.25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 x14ac:dyDescent="0.25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 x14ac:dyDescent="0.25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 x14ac:dyDescent="0.25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 x14ac:dyDescent="0.25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 x14ac:dyDescent="0.25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 x14ac:dyDescent="0.25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 x14ac:dyDescent="0.25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 x14ac:dyDescent="0.25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 x14ac:dyDescent="0.25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 x14ac:dyDescent="0.25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 x14ac:dyDescent="0.25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 x14ac:dyDescent="0.25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 x14ac:dyDescent="0.25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 x14ac:dyDescent="0.25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 x14ac:dyDescent="0.25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 x14ac:dyDescent="0.25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 x14ac:dyDescent="0.25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 x14ac:dyDescent="0.25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 x14ac:dyDescent="0.25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 x14ac:dyDescent="0.25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 x14ac:dyDescent="0.25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 x14ac:dyDescent="0.25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 x14ac:dyDescent="0.25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 x14ac:dyDescent="0.25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 x14ac:dyDescent="0.25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 x14ac:dyDescent="0.25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 x14ac:dyDescent="0.25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 x14ac:dyDescent="0.25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 x14ac:dyDescent="0.25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 x14ac:dyDescent="0.25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 x14ac:dyDescent="0.25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 x14ac:dyDescent="0.25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 x14ac:dyDescent="0.25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 x14ac:dyDescent="0.25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 x14ac:dyDescent="0.25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 x14ac:dyDescent="0.25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 x14ac:dyDescent="0.25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 x14ac:dyDescent="0.25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 x14ac:dyDescent="0.25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 x14ac:dyDescent="0.25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 x14ac:dyDescent="0.25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 x14ac:dyDescent="0.25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 x14ac:dyDescent="0.25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 x14ac:dyDescent="0.25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 x14ac:dyDescent="0.25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 x14ac:dyDescent="0.25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 x14ac:dyDescent="0.25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 x14ac:dyDescent="0.25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 x14ac:dyDescent="0.25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 x14ac:dyDescent="0.25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 x14ac:dyDescent="0.25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 x14ac:dyDescent="0.25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 x14ac:dyDescent="0.25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 x14ac:dyDescent="0.25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 x14ac:dyDescent="0.25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 x14ac:dyDescent="0.25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 x14ac:dyDescent="0.25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 x14ac:dyDescent="0.25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 x14ac:dyDescent="0.25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 x14ac:dyDescent="0.25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 x14ac:dyDescent="0.25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 x14ac:dyDescent="0.25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 x14ac:dyDescent="0.25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 x14ac:dyDescent="0.25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 x14ac:dyDescent="0.25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 x14ac:dyDescent="0.25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 x14ac:dyDescent="0.25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 x14ac:dyDescent="0.25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 x14ac:dyDescent="0.25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 x14ac:dyDescent="0.25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 x14ac:dyDescent="0.25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 x14ac:dyDescent="0.25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 x14ac:dyDescent="0.25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 x14ac:dyDescent="0.25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 x14ac:dyDescent="0.25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 x14ac:dyDescent="0.25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 x14ac:dyDescent="0.25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 x14ac:dyDescent="0.25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 x14ac:dyDescent="0.25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 x14ac:dyDescent="0.25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 x14ac:dyDescent="0.25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 x14ac:dyDescent="0.25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 x14ac:dyDescent="0.25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 x14ac:dyDescent="0.25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 x14ac:dyDescent="0.25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 x14ac:dyDescent="0.25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 x14ac:dyDescent="0.25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 x14ac:dyDescent="0.25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 x14ac:dyDescent="0.25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 x14ac:dyDescent="0.25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 x14ac:dyDescent="0.25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 x14ac:dyDescent="0.25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 x14ac:dyDescent="0.25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 x14ac:dyDescent="0.25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 x14ac:dyDescent="0.25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 x14ac:dyDescent="0.25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 x14ac:dyDescent="0.25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 x14ac:dyDescent="0.25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 x14ac:dyDescent="0.25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 x14ac:dyDescent="0.25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 x14ac:dyDescent="0.25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 x14ac:dyDescent="0.25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 x14ac:dyDescent="0.25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 x14ac:dyDescent="0.25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 x14ac:dyDescent="0.25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 x14ac:dyDescent="0.25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 x14ac:dyDescent="0.25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 x14ac:dyDescent="0.25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 x14ac:dyDescent="0.25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 x14ac:dyDescent="0.25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 x14ac:dyDescent="0.25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 x14ac:dyDescent="0.25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 x14ac:dyDescent="0.25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 x14ac:dyDescent="0.25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 x14ac:dyDescent="0.25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 x14ac:dyDescent="0.25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 x14ac:dyDescent="0.25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 x14ac:dyDescent="0.25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 x14ac:dyDescent="0.25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 x14ac:dyDescent="0.25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 x14ac:dyDescent="0.25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 x14ac:dyDescent="0.25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 x14ac:dyDescent="0.25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 x14ac:dyDescent="0.25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 x14ac:dyDescent="0.25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 x14ac:dyDescent="0.25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 x14ac:dyDescent="0.25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 x14ac:dyDescent="0.25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 x14ac:dyDescent="0.25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 x14ac:dyDescent="0.25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 x14ac:dyDescent="0.25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 x14ac:dyDescent="0.25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 x14ac:dyDescent="0.25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 x14ac:dyDescent="0.25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 x14ac:dyDescent="0.25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 x14ac:dyDescent="0.25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 x14ac:dyDescent="0.25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 x14ac:dyDescent="0.25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 x14ac:dyDescent="0.25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 x14ac:dyDescent="0.25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 x14ac:dyDescent="0.25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 x14ac:dyDescent="0.25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 x14ac:dyDescent="0.25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 x14ac:dyDescent="0.25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 x14ac:dyDescent="0.25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 x14ac:dyDescent="0.25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 x14ac:dyDescent="0.25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 x14ac:dyDescent="0.25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 x14ac:dyDescent="0.25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 x14ac:dyDescent="0.25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 x14ac:dyDescent="0.25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 x14ac:dyDescent="0.25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 x14ac:dyDescent="0.25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 x14ac:dyDescent="0.25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 x14ac:dyDescent="0.25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 x14ac:dyDescent="0.25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 x14ac:dyDescent="0.25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 x14ac:dyDescent="0.25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 x14ac:dyDescent="0.25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 x14ac:dyDescent="0.25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 x14ac:dyDescent="0.25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 x14ac:dyDescent="0.25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 x14ac:dyDescent="0.25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 x14ac:dyDescent="0.25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 x14ac:dyDescent="0.25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 x14ac:dyDescent="0.25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 x14ac:dyDescent="0.25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 x14ac:dyDescent="0.25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 x14ac:dyDescent="0.25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 x14ac:dyDescent="0.25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 x14ac:dyDescent="0.25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 x14ac:dyDescent="0.25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 x14ac:dyDescent="0.25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 x14ac:dyDescent="0.25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 x14ac:dyDescent="0.25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 x14ac:dyDescent="0.25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 x14ac:dyDescent="0.25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 x14ac:dyDescent="0.25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 x14ac:dyDescent="0.25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 x14ac:dyDescent="0.25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 x14ac:dyDescent="0.25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 x14ac:dyDescent="0.25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 x14ac:dyDescent="0.25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 x14ac:dyDescent="0.25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 x14ac:dyDescent="0.25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 x14ac:dyDescent="0.25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 x14ac:dyDescent="0.25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 x14ac:dyDescent="0.25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 x14ac:dyDescent="0.25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 x14ac:dyDescent="0.25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 x14ac:dyDescent="0.25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 x14ac:dyDescent="0.25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 x14ac:dyDescent="0.25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 x14ac:dyDescent="0.25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 x14ac:dyDescent="0.25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 x14ac:dyDescent="0.25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 x14ac:dyDescent="0.25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 x14ac:dyDescent="0.25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 x14ac:dyDescent="0.25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 x14ac:dyDescent="0.25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 x14ac:dyDescent="0.25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 x14ac:dyDescent="0.25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 x14ac:dyDescent="0.25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 x14ac:dyDescent="0.25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 x14ac:dyDescent="0.25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 x14ac:dyDescent="0.25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 x14ac:dyDescent="0.25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 x14ac:dyDescent="0.25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 x14ac:dyDescent="0.25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 x14ac:dyDescent="0.25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 x14ac:dyDescent="0.25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 x14ac:dyDescent="0.25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 x14ac:dyDescent="0.25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 x14ac:dyDescent="0.25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 x14ac:dyDescent="0.25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 x14ac:dyDescent="0.25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 x14ac:dyDescent="0.25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 x14ac:dyDescent="0.25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 x14ac:dyDescent="0.25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 x14ac:dyDescent="0.25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 x14ac:dyDescent="0.25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 x14ac:dyDescent="0.25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 x14ac:dyDescent="0.25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 x14ac:dyDescent="0.25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 x14ac:dyDescent="0.25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 x14ac:dyDescent="0.25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 x14ac:dyDescent="0.25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 x14ac:dyDescent="0.25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 x14ac:dyDescent="0.25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 x14ac:dyDescent="0.25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 x14ac:dyDescent="0.25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 x14ac:dyDescent="0.25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 x14ac:dyDescent="0.25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 x14ac:dyDescent="0.25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 x14ac:dyDescent="0.25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 x14ac:dyDescent="0.25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 x14ac:dyDescent="0.25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 x14ac:dyDescent="0.25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 x14ac:dyDescent="0.25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 x14ac:dyDescent="0.25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 x14ac:dyDescent="0.25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 x14ac:dyDescent="0.25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 x14ac:dyDescent="0.25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 x14ac:dyDescent="0.25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 x14ac:dyDescent="0.25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 x14ac:dyDescent="0.25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 x14ac:dyDescent="0.25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 x14ac:dyDescent="0.25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 x14ac:dyDescent="0.25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 x14ac:dyDescent="0.25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 x14ac:dyDescent="0.25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 x14ac:dyDescent="0.25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 x14ac:dyDescent="0.25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 x14ac:dyDescent="0.25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 x14ac:dyDescent="0.25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 x14ac:dyDescent="0.25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 x14ac:dyDescent="0.25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 x14ac:dyDescent="0.25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 x14ac:dyDescent="0.25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 x14ac:dyDescent="0.25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 x14ac:dyDescent="0.25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 x14ac:dyDescent="0.25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 x14ac:dyDescent="0.25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 x14ac:dyDescent="0.25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 x14ac:dyDescent="0.25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 x14ac:dyDescent="0.25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 x14ac:dyDescent="0.25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 x14ac:dyDescent="0.25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 x14ac:dyDescent="0.25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 x14ac:dyDescent="0.25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 x14ac:dyDescent="0.25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 x14ac:dyDescent="0.25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 x14ac:dyDescent="0.25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 x14ac:dyDescent="0.25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 x14ac:dyDescent="0.25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 x14ac:dyDescent="0.25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 x14ac:dyDescent="0.25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 x14ac:dyDescent="0.25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 x14ac:dyDescent="0.25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 x14ac:dyDescent="0.25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 x14ac:dyDescent="0.25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 x14ac:dyDescent="0.25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 x14ac:dyDescent="0.25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 x14ac:dyDescent="0.25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 x14ac:dyDescent="0.25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 x14ac:dyDescent="0.25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 x14ac:dyDescent="0.25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 x14ac:dyDescent="0.25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 x14ac:dyDescent="0.25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 x14ac:dyDescent="0.25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 x14ac:dyDescent="0.25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 x14ac:dyDescent="0.25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 x14ac:dyDescent="0.25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 x14ac:dyDescent="0.25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 x14ac:dyDescent="0.25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 x14ac:dyDescent="0.25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 x14ac:dyDescent="0.25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 x14ac:dyDescent="0.25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 x14ac:dyDescent="0.25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 x14ac:dyDescent="0.25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 x14ac:dyDescent="0.25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 x14ac:dyDescent="0.25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 x14ac:dyDescent="0.25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 x14ac:dyDescent="0.25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 x14ac:dyDescent="0.25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 x14ac:dyDescent="0.25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 x14ac:dyDescent="0.25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 x14ac:dyDescent="0.25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 x14ac:dyDescent="0.25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 x14ac:dyDescent="0.25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 x14ac:dyDescent="0.25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 x14ac:dyDescent="0.25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 x14ac:dyDescent="0.25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 x14ac:dyDescent="0.25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 x14ac:dyDescent="0.25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 x14ac:dyDescent="0.25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 x14ac:dyDescent="0.25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 x14ac:dyDescent="0.25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 x14ac:dyDescent="0.25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 x14ac:dyDescent="0.25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 x14ac:dyDescent="0.25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 x14ac:dyDescent="0.25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 x14ac:dyDescent="0.25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 x14ac:dyDescent="0.25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 x14ac:dyDescent="0.25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 x14ac:dyDescent="0.25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 x14ac:dyDescent="0.25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 x14ac:dyDescent="0.25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 x14ac:dyDescent="0.25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 x14ac:dyDescent="0.25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 x14ac:dyDescent="0.25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 x14ac:dyDescent="0.25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 x14ac:dyDescent="0.25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 x14ac:dyDescent="0.25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 x14ac:dyDescent="0.25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 x14ac:dyDescent="0.25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 x14ac:dyDescent="0.25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 x14ac:dyDescent="0.25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 x14ac:dyDescent="0.25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 x14ac:dyDescent="0.25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 x14ac:dyDescent="0.25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 x14ac:dyDescent="0.25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 x14ac:dyDescent="0.25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 x14ac:dyDescent="0.25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 x14ac:dyDescent="0.25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 x14ac:dyDescent="0.25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 x14ac:dyDescent="0.25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 x14ac:dyDescent="0.25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 x14ac:dyDescent="0.25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 x14ac:dyDescent="0.25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 x14ac:dyDescent="0.25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 x14ac:dyDescent="0.25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 x14ac:dyDescent="0.25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 x14ac:dyDescent="0.25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 x14ac:dyDescent="0.25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 x14ac:dyDescent="0.25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 x14ac:dyDescent="0.25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 x14ac:dyDescent="0.25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 x14ac:dyDescent="0.25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 x14ac:dyDescent="0.25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sortState xmlns:xlrd2="http://schemas.microsoft.com/office/spreadsheetml/2017/richdata2" ref="AY4:AY32">
    <sortCondition ref="AY3:AY3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23691A32E1</dc:creator>
  <cp:lastModifiedBy>23691A32E1@mits.com</cp:lastModifiedBy>
  <dcterms:created xsi:type="dcterms:W3CDTF">2026-05-26T11:01:03Z</dcterms:created>
  <dcterms:modified xsi:type="dcterms:W3CDTF">2026-06-24T11:12:18Z</dcterms:modified>
</cp:coreProperties>
</file>