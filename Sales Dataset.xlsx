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DA\DATASETS\"/>
    </mc:Choice>
  </mc:AlternateContent>
  <xr:revisionPtr revIDLastSave="0" documentId="13_ncr:1_{944CB37D-745B-45BD-A43E-D2C072BB2202}" xr6:coauthVersionLast="47" xr6:coauthVersionMax="47" xr10:uidLastSave="{00000000-0000-0000-0000-000000000000}"/>
  <bookViews>
    <workbookView xWindow="-120" yWindow="-120" windowWidth="29040" windowHeight="15720" xr2:uid="{799FD020-BA8F-47A8-BA7A-8EEA87869D09}"/>
  </bookViews>
  <sheets>
    <sheet name="Sales Dataset" sheetId="1" r:id="rId1"/>
  </sheets>
  <definedNames>
    <definedName name="_xlnm._FilterDatabase" localSheetId="0" hidden="1">'Sales Dataset'!$V$3:$V$32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8" i="1" l="1"/>
  <c r="V29" i="1"/>
  <c r="V25" i="1"/>
  <c r="V5" i="1"/>
  <c r="V26" i="1"/>
  <c r="V15" i="1"/>
  <c r="V3" i="1"/>
  <c r="V9" i="1"/>
  <c r="V24" i="1"/>
  <c r="V17" i="1"/>
  <c r="V16" i="1"/>
  <c r="V7" i="1"/>
  <c r="V6" i="1"/>
  <c r="V31" i="1"/>
  <c r="V28" i="1"/>
  <c r="V27" i="1"/>
  <c r="V12" i="1"/>
  <c r="V13" i="1"/>
  <c r="V11" i="1"/>
  <c r="V21" i="1"/>
  <c r="V22" i="1"/>
  <c r="V19" i="1"/>
  <c r="V23" i="1"/>
  <c r="V20" i="1"/>
  <c r="V10" i="1"/>
  <c r="V30" i="1"/>
  <c r="V32" i="1"/>
  <c r="V4" i="1"/>
  <c r="V18" i="1"/>
  <c r="V14" i="1"/>
  <c r="AC11" i="1"/>
  <c r="AC10" i="1"/>
  <c r="AC9" i="1"/>
  <c r="Z6" i="1"/>
  <c r="Z5" i="1"/>
  <c r="Z4" i="1"/>
  <c r="Y5" i="1"/>
  <c r="Y4" i="1"/>
  <c r="N21" i="1"/>
  <c r="N20" i="1"/>
  <c r="M21" i="1"/>
  <c r="M20" i="1"/>
  <c r="N18" i="1" a="1"/>
  <c r="N17" i="1" a="1"/>
  <c r="N16" i="1" a="1"/>
  <c r="M16" i="1" a="1"/>
  <c r="O13" i="1"/>
  <c r="O12" i="1"/>
  <c r="N13" i="1"/>
  <c r="N12" i="1"/>
  <c r="M13" i="1"/>
  <c r="M12" i="1"/>
  <c r="O8" i="1"/>
  <c r="O7" i="1"/>
  <c r="N8" i="1"/>
  <c r="N7" i="1"/>
  <c r="M8" i="1"/>
  <c r="M7" i="1"/>
  <c r="O4" i="1"/>
  <c r="O3" i="1"/>
  <c r="O2" i="1"/>
  <c r="N2" i="1"/>
  <c r="M2" i="1"/>
  <c r="N18" i="1"/>
  <c r="N17" i="1"/>
  <c r="N16" i="1"/>
  <c r="M1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<sst xmlns="http://schemas.openxmlformats.org/spreadsheetml/2006/main" count="9687" uniqueCount="1516">
  <si>
    <t>Order ID</t>
  </si>
  <si>
    <t>Amount</t>
  </si>
  <si>
    <t>Profit</t>
  </si>
  <si>
    <t>Quantity</t>
  </si>
  <si>
    <t>Category</t>
  </si>
  <si>
    <t>Sub-Category</t>
  </si>
  <si>
    <t>PaymentMode</t>
  </si>
  <si>
    <t>Order Date</t>
  </si>
  <si>
    <t>CustomerName</t>
  </si>
  <si>
    <t>State</t>
  </si>
  <si>
    <t>City</t>
  </si>
  <si>
    <t>Year-Month</t>
  </si>
  <si>
    <t>B-26776</t>
  </si>
  <si>
    <t>Electronics</t>
  </si>
  <si>
    <t>Electronic Games</t>
  </si>
  <si>
    <t>UPI</t>
  </si>
  <si>
    <t>David Padilla</t>
  </si>
  <si>
    <t>Florida</t>
  </si>
  <si>
    <t>Miami</t>
  </si>
  <si>
    <t>2023-06</t>
  </si>
  <si>
    <t>Connor Morgan</t>
  </si>
  <si>
    <t>Illinois</t>
  </si>
  <si>
    <t>Chicago</t>
  </si>
  <si>
    <t>2024-12</t>
  </si>
  <si>
    <t>Robert Stone</t>
  </si>
  <si>
    <t>New York</t>
  </si>
  <si>
    <t>Buffalo</t>
  </si>
  <si>
    <t>2021-07</t>
  </si>
  <si>
    <t>Printers</t>
  </si>
  <si>
    <t>B-26942</t>
  </si>
  <si>
    <t>Office Supplies</t>
  </si>
  <si>
    <t>Pens</t>
  </si>
  <si>
    <t>Debit Card</t>
  </si>
  <si>
    <t>John Fields</t>
  </si>
  <si>
    <t>Orlando</t>
  </si>
  <si>
    <t>2024-05</t>
  </si>
  <si>
    <t>Clayton Smith</t>
  </si>
  <si>
    <t>2021-10</t>
  </si>
  <si>
    <t>B-26640</t>
  </si>
  <si>
    <t>Laptops</t>
  </si>
  <si>
    <t>EMI</t>
  </si>
  <si>
    <t>Richard Kelley</t>
  </si>
  <si>
    <t>California</t>
  </si>
  <si>
    <t>Los Angeles</t>
  </si>
  <si>
    <t>2022-11</t>
  </si>
  <si>
    <t>Furniture</t>
  </si>
  <si>
    <t>Tables</t>
  </si>
  <si>
    <t>Credit Card</t>
  </si>
  <si>
    <t>B-25890</t>
  </si>
  <si>
    <t>Chairs</t>
  </si>
  <si>
    <t>Jacqueline Hubbard</t>
  </si>
  <si>
    <t>New York City</t>
  </si>
  <si>
    <t>2023-11</t>
  </si>
  <si>
    <t>B-25102</t>
  </si>
  <si>
    <t>Jessica Anderson</t>
  </si>
  <si>
    <t>2020-03</t>
  </si>
  <si>
    <t>B-25426</t>
  </si>
  <si>
    <t>Markers</t>
  </si>
  <si>
    <t>Mary Taylor</t>
  </si>
  <si>
    <t>2020-05</t>
  </si>
  <si>
    <t>Sofas</t>
  </si>
  <si>
    <t>B-25238</t>
  </si>
  <si>
    <t>Walter Crawford</t>
  </si>
  <si>
    <t>Springfield</t>
  </si>
  <si>
    <t>Paper</t>
  </si>
  <si>
    <t>COD</t>
  </si>
  <si>
    <t>B-25051</t>
  </si>
  <si>
    <t>Lawrence Robinson</t>
  </si>
  <si>
    <t>Rochester</t>
  </si>
  <si>
    <t>B-26510</t>
  </si>
  <si>
    <t>Douglas Pennington</t>
  </si>
  <si>
    <t>Texas</t>
  </si>
  <si>
    <t>Dallas</t>
  </si>
  <si>
    <t>2025-02</t>
  </si>
  <si>
    <t>Ricardo Andrews</t>
  </si>
  <si>
    <t>San Diego</t>
  </si>
  <si>
    <t>2024-01</t>
  </si>
  <si>
    <t>B-25104</t>
  </si>
  <si>
    <t>Binders</t>
  </si>
  <si>
    <t>Paul Raymond</t>
  </si>
  <si>
    <t>2020-11</t>
  </si>
  <si>
    <t>B-25553</t>
  </si>
  <si>
    <t>Phones</t>
  </si>
  <si>
    <t>Karen Johnson</t>
  </si>
  <si>
    <t>B-26703</t>
  </si>
  <si>
    <t>Juan Erickson</t>
  </si>
  <si>
    <t>Austin</t>
  </si>
  <si>
    <t>2022-01</t>
  </si>
  <si>
    <t>B-26232</t>
  </si>
  <si>
    <t>Alexander Reed</t>
  </si>
  <si>
    <t>2021-12</t>
  </si>
  <si>
    <t>Jacqueline Harris</t>
  </si>
  <si>
    <t>San Francisco</t>
  </si>
  <si>
    <t>2023-02</t>
  </si>
  <si>
    <t>B-25394</t>
  </si>
  <si>
    <t>Tyler Park</t>
  </si>
  <si>
    <t>2022-10</t>
  </si>
  <si>
    <t>Richard Wolfe</t>
  </si>
  <si>
    <t>Ohio</t>
  </si>
  <si>
    <t>Columbus</t>
  </si>
  <si>
    <t>B-26157</t>
  </si>
  <si>
    <t>Sierra Rios</t>
  </si>
  <si>
    <t>2023-12</t>
  </si>
  <si>
    <t>B-25555</t>
  </si>
  <si>
    <t>Jessica Richardson</t>
  </si>
  <si>
    <t>2023-07</t>
  </si>
  <si>
    <t>Kimberly Warren</t>
  </si>
  <si>
    <t>Cincinnati</t>
  </si>
  <si>
    <t>2021-05</t>
  </si>
  <si>
    <t>Bookcases</t>
  </si>
  <si>
    <t>B-26139</t>
  </si>
  <si>
    <t>Casey Garcia</t>
  </si>
  <si>
    <t>B-25032</t>
  </si>
  <si>
    <t>Denise Hampton</t>
  </si>
  <si>
    <t>2024-08</t>
  </si>
  <si>
    <t>B-25730</t>
  </si>
  <si>
    <t>Justin Rodriguez</t>
  </si>
  <si>
    <t>Cleveland</t>
  </si>
  <si>
    <t>Ms. Emily Baxter</t>
  </si>
  <si>
    <t>2020-10</t>
  </si>
  <si>
    <t>Austin White</t>
  </si>
  <si>
    <t>2023-08</t>
  </si>
  <si>
    <t>B-26470</t>
  </si>
  <si>
    <t>Morgan Montes</t>
  </si>
  <si>
    <t>Christine Mosley</t>
  </si>
  <si>
    <t>2021-06</t>
  </si>
  <si>
    <t>Ashley Rodriguez</t>
  </si>
  <si>
    <t>2023-05</t>
  </si>
  <si>
    <t>Elizabeth King</t>
  </si>
  <si>
    <t>B-25988</t>
  </si>
  <si>
    <t>Connie Holmes</t>
  </si>
  <si>
    <t>2022-09</t>
  </si>
  <si>
    <t>B-25568</t>
  </si>
  <si>
    <t>Melissa Peck</t>
  </si>
  <si>
    <t>2022-03</t>
  </si>
  <si>
    <t>B-26730</t>
  </si>
  <si>
    <t>David Smith</t>
  </si>
  <si>
    <t>2022-02</t>
  </si>
  <si>
    <t>Houston</t>
  </si>
  <si>
    <t>2021-04</t>
  </si>
  <si>
    <t>B-25372</t>
  </si>
  <si>
    <t>Heather Jenkins</t>
  </si>
  <si>
    <t>B-26026</t>
  </si>
  <si>
    <t>Kelsey Castaneda</t>
  </si>
  <si>
    <t>Katherine Harris</t>
  </si>
  <si>
    <t>2023-04</t>
  </si>
  <si>
    <t>B-25295</t>
  </si>
  <si>
    <t>Paul Rogers</t>
  </si>
  <si>
    <t>B-26121</t>
  </si>
  <si>
    <t>Jon Banks</t>
  </si>
  <si>
    <t>Tampa</t>
  </si>
  <si>
    <t>Michelle Williams</t>
  </si>
  <si>
    <t>2022-12</t>
  </si>
  <si>
    <t>B-25560</t>
  </si>
  <si>
    <t>Andrew Allen</t>
  </si>
  <si>
    <t>B-26076</t>
  </si>
  <si>
    <t>Vanessa Bauer</t>
  </si>
  <si>
    <t>2025-03</t>
  </si>
  <si>
    <t>Sean Smith</t>
  </si>
  <si>
    <t>2024-09</t>
  </si>
  <si>
    <t>B-25872</t>
  </si>
  <si>
    <t>Shelly Sweeney</t>
  </si>
  <si>
    <t>2020-04</t>
  </si>
  <si>
    <t>B-26185</t>
  </si>
  <si>
    <t>Emily Gill</t>
  </si>
  <si>
    <t>2022-06</t>
  </si>
  <si>
    <t>Brian Patrick</t>
  </si>
  <si>
    <t>2021-03</t>
  </si>
  <si>
    <t>Dr. Sarah Booth</t>
  </si>
  <si>
    <t>B-26259</t>
  </si>
  <si>
    <t>Douglas Mcfarland</t>
  </si>
  <si>
    <t>Kayla Ross</t>
  </si>
  <si>
    <t>Peoria</t>
  </si>
  <si>
    <t>B-25142</t>
  </si>
  <si>
    <t>Marc Strickland</t>
  </si>
  <si>
    <t>2021-11</t>
  </si>
  <si>
    <t>B-25326</t>
  </si>
  <si>
    <t>Charlene Brown</t>
  </si>
  <si>
    <t>2021-08</t>
  </si>
  <si>
    <t>Charles Smith</t>
  </si>
  <si>
    <t>2022-05</t>
  </si>
  <si>
    <t>B-26795</t>
  </si>
  <si>
    <t>Karen Townsend</t>
  </si>
  <si>
    <t>B-25660</t>
  </si>
  <si>
    <t>Steven Cox</t>
  </si>
  <si>
    <t>2020-08</t>
  </si>
  <si>
    <t>Cynthia Rodriguez</t>
  </si>
  <si>
    <t>2022-04</t>
  </si>
  <si>
    <t>B-25410</t>
  </si>
  <si>
    <t>Jessica Baker</t>
  </si>
  <si>
    <t>B-25690</t>
  </si>
  <si>
    <t>Mark Blackburn</t>
  </si>
  <si>
    <t>B-26464</t>
  </si>
  <si>
    <t>Zachary Perez</t>
  </si>
  <si>
    <t>Brian Green</t>
  </si>
  <si>
    <t>B-26454</t>
  </si>
  <si>
    <t>Becky Leach</t>
  </si>
  <si>
    <t>B-26742</t>
  </si>
  <si>
    <t>Bryan Russell</t>
  </si>
  <si>
    <t>Tony Maddox</t>
  </si>
  <si>
    <t>B-25510</t>
  </si>
  <si>
    <t>Jason Randolph</t>
  </si>
  <si>
    <t>Laura Andrews</t>
  </si>
  <si>
    <t>Mrs. Stephanie Hooper</t>
  </si>
  <si>
    <t>Anthony Evans</t>
  </si>
  <si>
    <t>B-25936</t>
  </si>
  <si>
    <t>Patrick Williams</t>
  </si>
  <si>
    <t>Susan Burke</t>
  </si>
  <si>
    <t>Brent Hernandez</t>
  </si>
  <si>
    <t>2022-08</t>
  </si>
  <si>
    <t>B-25884</t>
  </si>
  <si>
    <t>Sean Elliott</t>
  </si>
  <si>
    <t>Wanda West</t>
  </si>
  <si>
    <t>B-26287</t>
  </si>
  <si>
    <t>Renee Solomon</t>
  </si>
  <si>
    <t>2024-07</t>
  </si>
  <si>
    <t>B-26564</t>
  </si>
  <si>
    <t>Daryl Miles</t>
  </si>
  <si>
    <t>2024-02</t>
  </si>
  <si>
    <t>B-26293</t>
  </si>
  <si>
    <t>Michael Hunt</t>
  </si>
  <si>
    <t>B-25915</t>
  </si>
  <si>
    <t>Adam Clark</t>
  </si>
  <si>
    <t>Amy Olsen</t>
  </si>
  <si>
    <t>2021-09</t>
  </si>
  <si>
    <t>Stacey Miller</t>
  </si>
  <si>
    <t>B-26496</t>
  </si>
  <si>
    <t>Daniel Mosley</t>
  </si>
  <si>
    <t>B-25856</t>
  </si>
  <si>
    <t>Monica Gibson</t>
  </si>
  <si>
    <t>B-26899</t>
  </si>
  <si>
    <t>Christopher Jordan</t>
  </si>
  <si>
    <t>B-25916</t>
  </si>
  <si>
    <t>Christina Davis</t>
  </si>
  <si>
    <t>Claudia Curry</t>
  </si>
  <si>
    <t>2024-04</t>
  </si>
  <si>
    <t>B-26428</t>
  </si>
  <si>
    <t>Brandon Anderson</t>
  </si>
  <si>
    <t>B-26332</t>
  </si>
  <si>
    <t>George Foster</t>
  </si>
  <si>
    <t>Nicholas Anderson</t>
  </si>
  <si>
    <t>Emily Ellison</t>
  </si>
  <si>
    <t>B-25303</t>
  </si>
  <si>
    <t>Darren Perez</t>
  </si>
  <si>
    <t>Michelle Hunter</t>
  </si>
  <si>
    <t>2023-03</t>
  </si>
  <si>
    <t>B-26507</t>
  </si>
  <si>
    <t>Janet Guerrero</t>
  </si>
  <si>
    <t>B-25983</t>
  </si>
  <si>
    <t>Jeffrey Kline</t>
  </si>
  <si>
    <t>Ryan Bullock</t>
  </si>
  <si>
    <t>B-25156</t>
  </si>
  <si>
    <t>Tom Lawson</t>
  </si>
  <si>
    <t>B-26759</t>
  </si>
  <si>
    <t>Rebecca Smith</t>
  </si>
  <si>
    <t>2024-11</t>
  </si>
  <si>
    <t>B-26244</t>
  </si>
  <si>
    <t>William Welch</t>
  </si>
  <si>
    <t>B-26365</t>
  </si>
  <si>
    <t>Mr. Curtis Bailey</t>
  </si>
  <si>
    <t>B-26212</t>
  </si>
  <si>
    <t>Janet Carlson</t>
  </si>
  <si>
    <t>2024-06</t>
  </si>
  <si>
    <t>B-25042</t>
  </si>
  <si>
    <t>Spencer Spears</t>
  </si>
  <si>
    <t>B-25901</t>
  </si>
  <si>
    <t>Jeffrey Middleton</t>
  </si>
  <si>
    <t>Veronica Kelley</t>
  </si>
  <si>
    <t>Leslie Bean</t>
  </si>
  <si>
    <t>B-26747</t>
  </si>
  <si>
    <t>Amy Wilson</t>
  </si>
  <si>
    <t>B-26698</t>
  </si>
  <si>
    <t>Susan Ramirez</t>
  </si>
  <si>
    <t>2023-09</t>
  </si>
  <si>
    <t>B-25841</t>
  </si>
  <si>
    <t>Jacob Meyer</t>
  </si>
  <si>
    <t>2021-01</t>
  </si>
  <si>
    <t>B-26032</t>
  </si>
  <si>
    <t>Scott Lewis</t>
  </si>
  <si>
    <t>Eric Griffith</t>
  </si>
  <si>
    <t>Anna Ferguson</t>
  </si>
  <si>
    <t>B-25171</t>
  </si>
  <si>
    <t>David Figueroa</t>
  </si>
  <si>
    <t>B-26939</t>
  </si>
  <si>
    <t>Theresa Medina</t>
  </si>
  <si>
    <t>B-26347</t>
  </si>
  <si>
    <t>Mary Smith</t>
  </si>
  <si>
    <t>2020-12</t>
  </si>
  <si>
    <t>Lance Cain</t>
  </si>
  <si>
    <t>B-25388</t>
  </si>
  <si>
    <t>Alexandra Moran</t>
  </si>
  <si>
    <t>Sara Castro</t>
  </si>
  <si>
    <t>2021-02</t>
  </si>
  <si>
    <t>Shawn Leach</t>
  </si>
  <si>
    <t>Mark Boyle</t>
  </si>
  <si>
    <t>B-26419</t>
  </si>
  <si>
    <t>John Stevens</t>
  </si>
  <si>
    <t>B-25157</t>
  </si>
  <si>
    <t>Lisa Graham</t>
  </si>
  <si>
    <t>B-25342</t>
  </si>
  <si>
    <t>Nancy Jones</t>
  </si>
  <si>
    <t>B-26165</t>
  </si>
  <si>
    <t>Darryl Robbins</t>
  </si>
  <si>
    <t>B-26571</t>
  </si>
  <si>
    <t>Kimberly Smith</t>
  </si>
  <si>
    <t>B-25400</t>
  </si>
  <si>
    <t>Maria Thomas</t>
  </si>
  <si>
    <t>Nicholas Johnson</t>
  </si>
  <si>
    <t>2025-01</t>
  </si>
  <si>
    <t>B-25885</t>
  </si>
  <si>
    <t>Dawn Howard</t>
  </si>
  <si>
    <t>B-25004</t>
  </si>
  <si>
    <t>Jennifer Marshall</t>
  </si>
  <si>
    <t>2020-06</t>
  </si>
  <si>
    <t>Frank Garcia</t>
  </si>
  <si>
    <t>B-26213</t>
  </si>
  <si>
    <t>Terri Madden</t>
  </si>
  <si>
    <t>B-25025</t>
  </si>
  <si>
    <t>James Gutierrez</t>
  </si>
  <si>
    <t>B-26804</t>
  </si>
  <si>
    <t>Morgan Sellers</t>
  </si>
  <si>
    <t>B-26797</t>
  </si>
  <si>
    <t>Caitlin Thomas</t>
  </si>
  <si>
    <t>B-26556</t>
  </si>
  <si>
    <t>Kimberly Greene</t>
  </si>
  <si>
    <t>B-25861</t>
  </si>
  <si>
    <t>Tammy Anthony</t>
  </si>
  <si>
    <t>Jennifer Chase</t>
  </si>
  <si>
    <t>Cassandra Farley</t>
  </si>
  <si>
    <t>B-25112</t>
  </si>
  <si>
    <t>Justin Vasquez</t>
  </si>
  <si>
    <t>Melissa Morales</t>
  </si>
  <si>
    <t>Tyler Thompson</t>
  </si>
  <si>
    <t>2023-01</t>
  </si>
  <si>
    <t>B-25223</t>
  </si>
  <si>
    <t>Heidi Davis</t>
  </si>
  <si>
    <t>B-25714</t>
  </si>
  <si>
    <t>Charles Lane</t>
  </si>
  <si>
    <t>2024-03</t>
  </si>
  <si>
    <t>Joyce Good MD</t>
  </si>
  <si>
    <t>B-26607</t>
  </si>
  <si>
    <t>Maria Miller</t>
  </si>
  <si>
    <t>B-25038</t>
  </si>
  <si>
    <t>Terry Mcdaniel</t>
  </si>
  <si>
    <t>Lisa Jacobs</t>
  </si>
  <si>
    <t>Jeff Duncan</t>
  </si>
  <si>
    <t>Pamela Jones</t>
  </si>
  <si>
    <t>B-26672</t>
  </si>
  <si>
    <t>Renee Robinson</t>
  </si>
  <si>
    <t>B-25747</t>
  </si>
  <si>
    <t>Jessica Kidd</t>
  </si>
  <si>
    <t>Nicholas Martin</t>
  </si>
  <si>
    <t>B-26322</t>
  </si>
  <si>
    <t>David Brown</t>
  </si>
  <si>
    <t>B-26613</t>
  </si>
  <si>
    <t>Amber Moore</t>
  </si>
  <si>
    <t>B-25413</t>
  </si>
  <si>
    <t>James Williams</t>
  </si>
  <si>
    <t>B-26466</t>
  </si>
  <si>
    <t>Karina Barr</t>
  </si>
  <si>
    <t>2024-10</t>
  </si>
  <si>
    <t>B-26610</t>
  </si>
  <si>
    <t>Meghan Rush</t>
  </si>
  <si>
    <t>B-26209</t>
  </si>
  <si>
    <t>Bianca Brown</t>
  </si>
  <si>
    <t>B-26622</t>
  </si>
  <si>
    <t>Timothy Jensen</t>
  </si>
  <si>
    <t>B-26601</t>
  </si>
  <si>
    <t>Melinda Montoya</t>
  </si>
  <si>
    <t>B-25894</t>
  </si>
  <si>
    <t>Tammy Bell</t>
  </si>
  <si>
    <t>B-26969</t>
  </si>
  <si>
    <t>Connie Richards</t>
  </si>
  <si>
    <t>Peter Ward</t>
  </si>
  <si>
    <t>B-26312</t>
  </si>
  <si>
    <t>Jonathan Alvarez</t>
  </si>
  <si>
    <t>Becky Hodges</t>
  </si>
  <si>
    <t>B-26837</t>
  </si>
  <si>
    <t>Larry Hill</t>
  </si>
  <si>
    <t>Amber Moon</t>
  </si>
  <si>
    <t>B-26166</t>
  </si>
  <si>
    <t>Cynthia Wilcox</t>
  </si>
  <si>
    <t>B-25695</t>
  </si>
  <si>
    <t>Rebecca Wright</t>
  </si>
  <si>
    <t>Sarah Flores</t>
  </si>
  <si>
    <t>B-26068</t>
  </si>
  <si>
    <t>Carol Norman</t>
  </si>
  <si>
    <t>B-26023</t>
  </si>
  <si>
    <t>Stephanie Gardner</t>
  </si>
  <si>
    <t>2020-09</t>
  </si>
  <si>
    <t>B-26677</t>
  </si>
  <si>
    <t>Philip Baker</t>
  </si>
  <si>
    <t>Randall Dennis</t>
  </si>
  <si>
    <t>B-25701</t>
  </si>
  <si>
    <t>Suzanne Cross</t>
  </si>
  <si>
    <t>B-26523</t>
  </si>
  <si>
    <t>Jasmine Delgado</t>
  </si>
  <si>
    <t>Kristen Harper</t>
  </si>
  <si>
    <t>B-25880</t>
  </si>
  <si>
    <t>Kaitlyn Graham MD</t>
  </si>
  <si>
    <t>B-26898</t>
  </si>
  <si>
    <t>Dean Avila</t>
  </si>
  <si>
    <t>B-26035</t>
  </si>
  <si>
    <t>Megan Mack</t>
  </si>
  <si>
    <t>B-25573</t>
  </si>
  <si>
    <t>Heather Johnson</t>
  </si>
  <si>
    <t>B-25463</t>
  </si>
  <si>
    <t>Tina Davies</t>
  </si>
  <si>
    <t>B-26277</t>
  </si>
  <si>
    <t>Matthew Harris</t>
  </si>
  <si>
    <t>B-26508</t>
  </si>
  <si>
    <t>Christopher Kirk</t>
  </si>
  <si>
    <t>Eric Stevens</t>
  </si>
  <si>
    <t>B-26723</t>
  </si>
  <si>
    <t>James Dickerson</t>
  </si>
  <si>
    <t>James Jones</t>
  </si>
  <si>
    <t>B-25526</t>
  </si>
  <si>
    <t>Hannah Hendricks</t>
  </si>
  <si>
    <t>2022-07</t>
  </si>
  <si>
    <t>B-25645</t>
  </si>
  <si>
    <t>Brett Mullins</t>
  </si>
  <si>
    <t>B-25757</t>
  </si>
  <si>
    <t>Ms. Kim Jordan</t>
  </si>
  <si>
    <t>B-26716</t>
  </si>
  <si>
    <t>Marcus Santiago</t>
  </si>
  <si>
    <t>B-25424</t>
  </si>
  <si>
    <t>Jill Perez</t>
  </si>
  <si>
    <t>B-26453</t>
  </si>
  <si>
    <t>Courtney Williams</t>
  </si>
  <si>
    <t>Jordan Hahn</t>
  </si>
  <si>
    <t>B-26425</t>
  </si>
  <si>
    <t>William Cook</t>
  </si>
  <si>
    <t>B-25843</t>
  </si>
  <si>
    <t>Stephanie Hayes</t>
  </si>
  <si>
    <t>B-25486</t>
  </si>
  <si>
    <t>Melissa Wise</t>
  </si>
  <si>
    <t>B-26975</t>
  </si>
  <si>
    <t>Elizabeth Gonzalez</t>
  </si>
  <si>
    <t>B-26890</t>
  </si>
  <si>
    <t>Mr. Eric Lopez</t>
  </si>
  <si>
    <t>B-26125</t>
  </si>
  <si>
    <t>Benjamin Higgins</t>
  </si>
  <si>
    <t>2023-10</t>
  </si>
  <si>
    <t>B-26489</t>
  </si>
  <si>
    <t>Brett Sutton</t>
  </si>
  <si>
    <t>Anna Blackburn</t>
  </si>
  <si>
    <t>Michelle Bailey</t>
  </si>
  <si>
    <t>B-26043</t>
  </si>
  <si>
    <t>Sara Peterson</t>
  </si>
  <si>
    <t>B-26557</t>
  </si>
  <si>
    <t>Katherine Williams</t>
  </si>
  <si>
    <t>B-25243</t>
  </si>
  <si>
    <t>Cory Evans</t>
  </si>
  <si>
    <t>B-26932</t>
  </si>
  <si>
    <t>Michael Rodriguez</t>
  </si>
  <si>
    <t>B-25241</t>
  </si>
  <si>
    <t>John Munoz</t>
  </si>
  <si>
    <t>David Clark</t>
  </si>
  <si>
    <t>B-25044</t>
  </si>
  <si>
    <t>April Welch</t>
  </si>
  <si>
    <t>B-26137</t>
  </si>
  <si>
    <t>Alan Livingston</t>
  </si>
  <si>
    <t>2020-07</t>
  </si>
  <si>
    <t>Angela Jackson</t>
  </si>
  <si>
    <t>Amy Williams</t>
  </si>
  <si>
    <t>Laura Jordan</t>
  </si>
  <si>
    <t>Richard Maynard</t>
  </si>
  <si>
    <t>B-25545</t>
  </si>
  <si>
    <t>Lawrence Oliver</t>
  </si>
  <si>
    <t>B-26800</t>
  </si>
  <si>
    <t>Anthony Williams</t>
  </si>
  <si>
    <t>B-26987</t>
  </si>
  <si>
    <t>Lynn Matthews</t>
  </si>
  <si>
    <t>B-26144</t>
  </si>
  <si>
    <t>Andrew Griffin</t>
  </si>
  <si>
    <t>B-25406</t>
  </si>
  <si>
    <t>Megan Williams</t>
  </si>
  <si>
    <t>B-25658</t>
  </si>
  <si>
    <t>Alison Martin</t>
  </si>
  <si>
    <t>Samuel Wallace</t>
  </si>
  <si>
    <t>B-25733</t>
  </si>
  <si>
    <t>Manuel Stark</t>
  </si>
  <si>
    <t>B-26993</t>
  </si>
  <si>
    <t>William Villarreal</t>
  </si>
  <si>
    <t>B-26964</t>
  </si>
  <si>
    <t>Brandon Kirk</t>
  </si>
  <si>
    <t>Abigail Brown</t>
  </si>
  <si>
    <t>B-26955</t>
  </si>
  <si>
    <t>Kristine Carter</t>
  </si>
  <si>
    <t>B-26059</t>
  </si>
  <si>
    <t>Wesley Deleon</t>
  </si>
  <si>
    <t>B-26806</t>
  </si>
  <si>
    <t>Laura Cole</t>
  </si>
  <si>
    <t>B-26299</t>
  </si>
  <si>
    <t>Lauren Harris</t>
  </si>
  <si>
    <t>B-26743</t>
  </si>
  <si>
    <t>Cameron Miller</t>
  </si>
  <si>
    <t>Jacob Carpenter</t>
  </si>
  <si>
    <t>Pamela Callahan DVM</t>
  </si>
  <si>
    <t>B-26757</t>
  </si>
  <si>
    <t>William Ruiz</t>
  </si>
  <si>
    <t>B-26772</t>
  </si>
  <si>
    <t>Paula Marshall</t>
  </si>
  <si>
    <t>B-26088</t>
  </si>
  <si>
    <t>Natalie Cox</t>
  </si>
  <si>
    <t>B-26319</t>
  </si>
  <si>
    <t>Andrew Fernandez</t>
  </si>
  <si>
    <t>B-25364</t>
  </si>
  <si>
    <t>Alisha Saunders</t>
  </si>
  <si>
    <t>Travis Chandler DDS</t>
  </si>
  <si>
    <t>B-25655</t>
  </si>
  <si>
    <t>Russell Austin</t>
  </si>
  <si>
    <t>B-26864</t>
  </si>
  <si>
    <t>Collin Cameron</t>
  </si>
  <si>
    <t>B-26019</t>
  </si>
  <si>
    <t>Elizabeth Hernandez</t>
  </si>
  <si>
    <t>B-25849</t>
  </si>
  <si>
    <t>William Russell</t>
  </si>
  <si>
    <t>Sheri Berg</t>
  </si>
  <si>
    <t>B-25829</t>
  </si>
  <si>
    <t>Anthony Barnett</t>
  </si>
  <si>
    <t>B-26065</t>
  </si>
  <si>
    <t>Kaitlyn Flores</t>
  </si>
  <si>
    <t>Rebecca Owen</t>
  </si>
  <si>
    <t>B-25267</t>
  </si>
  <si>
    <t>Michael Bell</t>
  </si>
  <si>
    <t>B-25972</t>
  </si>
  <si>
    <t>Willie Huynh</t>
  </si>
  <si>
    <t>B-25511</t>
  </si>
  <si>
    <t>Samuel Hayes</t>
  </si>
  <si>
    <t>B-25744</t>
  </si>
  <si>
    <t>Sherry Tran</t>
  </si>
  <si>
    <t>B-26805</t>
  </si>
  <si>
    <t>Heather Gray</t>
  </si>
  <si>
    <t>B-25620</t>
  </si>
  <si>
    <t>Benjamin Meadows</t>
  </si>
  <si>
    <t>Micheal Graham</t>
  </si>
  <si>
    <t>B-25325</t>
  </si>
  <si>
    <t>Jean Jackson</t>
  </si>
  <si>
    <t>B-25131</t>
  </si>
  <si>
    <t>Timothy Murphy</t>
  </si>
  <si>
    <t>B-26654</t>
  </si>
  <si>
    <t>Mrs. Jennifer Lewis</t>
  </si>
  <si>
    <t>B-26195</t>
  </si>
  <si>
    <t>Bryan Brown</t>
  </si>
  <si>
    <t>Christopher Johnson</t>
  </si>
  <si>
    <t>B-25842</t>
  </si>
  <si>
    <t>Christina Conner</t>
  </si>
  <si>
    <t>Luis Luna</t>
  </si>
  <si>
    <t>B-25851</t>
  </si>
  <si>
    <t>Julie Chavez</t>
  </si>
  <si>
    <t>B-25427</t>
  </si>
  <si>
    <t>Richard Blair</t>
  </si>
  <si>
    <t>B-26224</t>
  </si>
  <si>
    <t>Mitchell Lester</t>
  </si>
  <si>
    <t>Mr. John Tyler PhD</t>
  </si>
  <si>
    <t>Juan Kelly</t>
  </si>
  <si>
    <t>B-26896</t>
  </si>
  <si>
    <t>Morgan Mccarthy</t>
  </si>
  <si>
    <t>Morgan Sullivan</t>
  </si>
  <si>
    <t>B-26469</t>
  </si>
  <si>
    <t>Eric Clark</t>
  </si>
  <si>
    <t>B-26219</t>
  </si>
  <si>
    <t>Mark Padilla</t>
  </si>
  <si>
    <t>Anthony Lane</t>
  </si>
  <si>
    <t>B-26119</t>
  </si>
  <si>
    <t>Jeffrey Henderson</t>
  </si>
  <si>
    <t>Michelle Hardy</t>
  </si>
  <si>
    <t>B-26988</t>
  </si>
  <si>
    <t>Ms. Barbara Cervantes</t>
  </si>
  <si>
    <t>B-25596</t>
  </si>
  <si>
    <t>Steven Proctor</t>
  </si>
  <si>
    <t>B-26845</t>
  </si>
  <si>
    <t>Shannon Patterson</t>
  </si>
  <si>
    <t>B-25099</t>
  </si>
  <si>
    <t>William Valdez</t>
  </si>
  <si>
    <t>B-26153</t>
  </si>
  <si>
    <t>Laura Yu</t>
  </si>
  <si>
    <t>B-25060</t>
  </si>
  <si>
    <t>Jonathan Mcmillan</t>
  </si>
  <si>
    <t>B-26572</t>
  </si>
  <si>
    <t>Austin Davis</t>
  </si>
  <si>
    <t>Mark Roy</t>
  </si>
  <si>
    <t>B-25919</t>
  </si>
  <si>
    <t>Jillian Williams</t>
  </si>
  <si>
    <t>Rebekah Carter</t>
  </si>
  <si>
    <t>Jonathan Reed</t>
  </si>
  <si>
    <t>B-26978</t>
  </si>
  <si>
    <t>Roger Harris</t>
  </si>
  <si>
    <t>B-26554</t>
  </si>
  <si>
    <t>Louis Jimenez</t>
  </si>
  <si>
    <t>Jessica Jones</t>
  </si>
  <si>
    <t>Renee Gomez</t>
  </si>
  <si>
    <t>Connie Olson</t>
  </si>
  <si>
    <t>B-26883</t>
  </si>
  <si>
    <t>Christian Jones</t>
  </si>
  <si>
    <t>B-25423</t>
  </si>
  <si>
    <t>Matthew Kelley</t>
  </si>
  <si>
    <t>Candace Martinez</t>
  </si>
  <si>
    <t>B-26324</t>
  </si>
  <si>
    <t>Jacob Mann</t>
  </si>
  <si>
    <t>Keith Reese</t>
  </si>
  <si>
    <t>B-26945</t>
  </si>
  <si>
    <t>Aaron Jones</t>
  </si>
  <si>
    <t>B-26405</t>
  </si>
  <si>
    <t>Christopher Brooks</t>
  </si>
  <si>
    <t>B-26046</t>
  </si>
  <si>
    <t>Charles Moore</t>
  </si>
  <si>
    <t>B-25746</t>
  </si>
  <si>
    <t>Manuel Walls</t>
  </si>
  <si>
    <t>B-25232</t>
  </si>
  <si>
    <t>Darren Moore</t>
  </si>
  <si>
    <t>Stephanie Thomas</t>
  </si>
  <si>
    <t>Kristy Hernandez</t>
  </si>
  <si>
    <t>B-25591</t>
  </si>
  <si>
    <t>Randy Johnson</t>
  </si>
  <si>
    <t>B-26325</t>
  </si>
  <si>
    <t>James Benitez</t>
  </si>
  <si>
    <t>B-25251</t>
  </si>
  <si>
    <t>Donald York</t>
  </si>
  <si>
    <t>Tiffany Parker</t>
  </si>
  <si>
    <t>B-25464</t>
  </si>
  <si>
    <t>Melissa Mcknight</t>
  </si>
  <si>
    <t>B-26678</t>
  </si>
  <si>
    <t>Mr. Jack Mercado</t>
  </si>
  <si>
    <t>B-25962</t>
  </si>
  <si>
    <t>Rachel Fisher</t>
  </si>
  <si>
    <t>Donald Moore</t>
  </si>
  <si>
    <t>William Wu</t>
  </si>
  <si>
    <t>Jesus Zuniga</t>
  </si>
  <si>
    <t>B-26586</t>
  </si>
  <si>
    <t>Michael Gallegos</t>
  </si>
  <si>
    <t>Robert Daniels</t>
  </si>
  <si>
    <t>B-26841</t>
  </si>
  <si>
    <t>Jill Jones</t>
  </si>
  <si>
    <t>B-26284</t>
  </si>
  <si>
    <t>Elizabeth Miller</t>
  </si>
  <si>
    <t>Sabrina Clark</t>
  </si>
  <si>
    <t>Larry Casey</t>
  </si>
  <si>
    <t>Daniel Burns</t>
  </si>
  <si>
    <t>B-26478</t>
  </si>
  <si>
    <t>James Tanner</t>
  </si>
  <si>
    <t>B-26679</t>
  </si>
  <si>
    <t>Leonard Gonzalez</t>
  </si>
  <si>
    <t>Richard Lee</t>
  </si>
  <si>
    <t>Matthew Schroeder</t>
  </si>
  <si>
    <t>B-26397</t>
  </si>
  <si>
    <t>Marcus Flores</t>
  </si>
  <si>
    <t>Tonya Long</t>
  </si>
  <si>
    <t>B-25957</t>
  </si>
  <si>
    <t>Michael Chambers</t>
  </si>
  <si>
    <t>B-26916</t>
  </si>
  <si>
    <t>Kaylee Glover</t>
  </si>
  <si>
    <t>Pamela Patterson</t>
  </si>
  <si>
    <t>B-25925</t>
  </si>
  <si>
    <t>Ronald Mckinney</t>
  </si>
  <si>
    <t>James Hart</t>
  </si>
  <si>
    <t>B-25602</t>
  </si>
  <si>
    <t>Rhonda Harris</t>
  </si>
  <si>
    <t>Randy Fisher</t>
  </si>
  <si>
    <t>B-26592</t>
  </si>
  <si>
    <t>James Hernandez</t>
  </si>
  <si>
    <t>B-26251</t>
  </si>
  <si>
    <t>Brenda Murphy</t>
  </si>
  <si>
    <t>B-25979</t>
  </si>
  <si>
    <t>Andrew Kirby</t>
  </si>
  <si>
    <t>B-25437</t>
  </si>
  <si>
    <t>Justin Thomas</t>
  </si>
  <si>
    <t>Jillian Johnson MD</t>
  </si>
  <si>
    <t>B-26986</t>
  </si>
  <si>
    <t>William Martin</t>
  </si>
  <si>
    <t>B-25990</t>
  </si>
  <si>
    <t>Mark Dixon</t>
  </si>
  <si>
    <t>B-25222</t>
  </si>
  <si>
    <t>Alicia Allen</t>
  </si>
  <si>
    <t>Cynthia Meyer</t>
  </si>
  <si>
    <t>Brandon Norton</t>
  </si>
  <si>
    <t>B-26402</t>
  </si>
  <si>
    <t>Christina Scott</t>
  </si>
  <si>
    <t>B-26792</t>
  </si>
  <si>
    <t>Andrew Macias</t>
  </si>
  <si>
    <t>Alejandro Williams</t>
  </si>
  <si>
    <t>B-25154</t>
  </si>
  <si>
    <t>Mark Rodriguez</t>
  </si>
  <si>
    <t>B-26114</t>
  </si>
  <si>
    <t>Sarah Montgomery</t>
  </si>
  <si>
    <t>B-26485</t>
  </si>
  <si>
    <t>Marisa Prince</t>
  </si>
  <si>
    <t>B-26191</t>
  </si>
  <si>
    <t>James Bonilla</t>
  </si>
  <si>
    <t>B-26754</t>
  </si>
  <si>
    <t>Robin Myers</t>
  </si>
  <si>
    <t>B-25953</t>
  </si>
  <si>
    <t>Nancy Sanchez</t>
  </si>
  <si>
    <t>Sydney Walls</t>
  </si>
  <si>
    <t>B-26516</t>
  </si>
  <si>
    <t>Deborah Hoffman</t>
  </si>
  <si>
    <t>B-26843</t>
  </si>
  <si>
    <t>B-26167</t>
  </si>
  <si>
    <t>Shane Clark</t>
  </si>
  <si>
    <t>B-26972</t>
  </si>
  <si>
    <t>Steven Haynes</t>
  </si>
  <si>
    <t>B-25673</t>
  </si>
  <si>
    <t>Kimberly Fuller</t>
  </si>
  <si>
    <t>B-26587</t>
  </si>
  <si>
    <t>Angela Lyons</t>
  </si>
  <si>
    <t>B-26668</t>
  </si>
  <si>
    <t>Betty Tucker</t>
  </si>
  <si>
    <t>B-26906</t>
  </si>
  <si>
    <t>Brianna Hunt</t>
  </si>
  <si>
    <t>Cathy Clark</t>
  </si>
  <si>
    <t>B-25226</t>
  </si>
  <si>
    <t>Nicole Warren</t>
  </si>
  <si>
    <t>B-25166</t>
  </si>
  <si>
    <t>Richard Castaneda</t>
  </si>
  <si>
    <t>Sarah Torres</t>
  </si>
  <si>
    <t>B-25454</t>
  </si>
  <si>
    <t>Vanessa Deleon</t>
  </si>
  <si>
    <t>B-26215</t>
  </si>
  <si>
    <t>Richard Lyons</t>
  </si>
  <si>
    <t>B-25777</t>
  </si>
  <si>
    <t>Eric Adams</t>
  </si>
  <si>
    <t>Chad Brown</t>
  </si>
  <si>
    <t>B-25383</t>
  </si>
  <si>
    <t>Kayla Becker</t>
  </si>
  <si>
    <t>Ashley Freeman</t>
  </si>
  <si>
    <t>B-26409</t>
  </si>
  <si>
    <t>Scott Harris</t>
  </si>
  <si>
    <t>John James</t>
  </si>
  <si>
    <t>B-26684</t>
  </si>
  <si>
    <t>Jesse Bond</t>
  </si>
  <si>
    <t>B-26726</t>
  </si>
  <si>
    <t>Brandon Hughes</t>
  </si>
  <si>
    <t>Lynn Reynolds</t>
  </si>
  <si>
    <t>B-26136</t>
  </si>
  <si>
    <t>Ronald Good</t>
  </si>
  <si>
    <t>B-26098</t>
  </si>
  <si>
    <t>Kyle Baker</t>
  </si>
  <si>
    <t>B-25430</t>
  </si>
  <si>
    <t>Michael Rivera</t>
  </si>
  <si>
    <t>B-25266</t>
  </si>
  <si>
    <t>Lori Adkins</t>
  </si>
  <si>
    <t>B-25283</t>
  </si>
  <si>
    <t>Luis Warner</t>
  </si>
  <si>
    <t>B-25227</t>
  </si>
  <si>
    <t>Donald Perry</t>
  </si>
  <si>
    <t>B-25669</t>
  </si>
  <si>
    <t>Adam Stevens</t>
  </si>
  <si>
    <t>B-25064</t>
  </si>
  <si>
    <t>Kimberly Johnson</t>
  </si>
  <si>
    <t>Kelly Jones</t>
  </si>
  <si>
    <t>B-26268</t>
  </si>
  <si>
    <t>Ashley Petty</t>
  </si>
  <si>
    <t>Crystal Ross</t>
  </si>
  <si>
    <t>B-25456</t>
  </si>
  <si>
    <t>Alexis Duffy</t>
  </si>
  <si>
    <t>Stephanie Sanchez</t>
  </si>
  <si>
    <t>Reginald Espinoza</t>
  </si>
  <si>
    <t>B-25495</t>
  </si>
  <si>
    <t>Sandra Hicks</t>
  </si>
  <si>
    <t>B-26552</t>
  </si>
  <si>
    <t>Olivia Orozco</t>
  </si>
  <si>
    <t>Larry Moore</t>
  </si>
  <si>
    <t>Mrs. Rachel Cannon DDS</t>
  </si>
  <si>
    <t>B-25203</t>
  </si>
  <si>
    <t>Daniel Flowers</t>
  </si>
  <si>
    <t>B-25462</t>
  </si>
  <si>
    <t>Randy Acosta</t>
  </si>
  <si>
    <t>B-26145</t>
  </si>
  <si>
    <t>Deborah Williams</t>
  </si>
  <si>
    <t>Robert Michael</t>
  </si>
  <si>
    <t>B-25552</t>
  </si>
  <si>
    <t>Danny Ramirez</t>
  </si>
  <si>
    <t>B-26069</t>
  </si>
  <si>
    <t>Stephen Baker</t>
  </si>
  <si>
    <t>Jeffrey Wilcox</t>
  </si>
  <si>
    <t>B-25120</t>
  </si>
  <si>
    <t>James Clarke</t>
  </si>
  <si>
    <t>Julia Gallagher</t>
  </si>
  <si>
    <t>Ronald Frey Jr.</t>
  </si>
  <si>
    <t>B-26146</t>
  </si>
  <si>
    <t>Megan Charles</t>
  </si>
  <si>
    <t>B-25549</t>
  </si>
  <si>
    <t>Amy Duran MD</t>
  </si>
  <si>
    <t>B-25488</t>
  </si>
  <si>
    <t>Christopher Thomas</t>
  </si>
  <si>
    <t>B-26885</t>
  </si>
  <si>
    <t>Peter Castro</t>
  </si>
  <si>
    <t>B-25703</t>
  </si>
  <si>
    <t>Steven Acosta</t>
  </si>
  <si>
    <t>Lindsay Jackson</t>
  </si>
  <si>
    <t>B-25809</t>
  </si>
  <si>
    <t>Kelly Smith</t>
  </si>
  <si>
    <t>Sabrina Hartman</t>
  </si>
  <si>
    <t>B-25477</t>
  </si>
  <si>
    <t>Cynthia Smith</t>
  </si>
  <si>
    <t>Olivia Dickerson</t>
  </si>
  <si>
    <t>B-26018</t>
  </si>
  <si>
    <t>Whitney Stout</t>
  </si>
  <si>
    <t>B-25329</t>
  </si>
  <si>
    <t>Stephanie Flores</t>
  </si>
  <si>
    <t>Gregory English</t>
  </si>
  <si>
    <t>B-25182</t>
  </si>
  <si>
    <t>Natalie Maxwell</t>
  </si>
  <si>
    <t>B-25492</t>
  </si>
  <si>
    <t>Tina Blake</t>
  </si>
  <si>
    <t>Clarence Cooke</t>
  </si>
  <si>
    <t>B-25517</t>
  </si>
  <si>
    <t>Tamara Guzman</t>
  </si>
  <si>
    <t>B-25200</t>
  </si>
  <si>
    <t>Marissa Hartman</t>
  </si>
  <si>
    <t>B-26009</t>
  </si>
  <si>
    <t>Sara Garcia</t>
  </si>
  <si>
    <t>B-26580</t>
  </si>
  <si>
    <t>Kathryn Rogers</t>
  </si>
  <si>
    <t>Kyle Dickson</t>
  </si>
  <si>
    <t>B-25679</t>
  </si>
  <si>
    <t>Jacob Decker</t>
  </si>
  <si>
    <t>B-26034</t>
  </si>
  <si>
    <t>Aaron Johnson</t>
  </si>
  <si>
    <t>B-25148</t>
  </si>
  <si>
    <t>William Morse</t>
  </si>
  <si>
    <t>Carrie Smith</t>
  </si>
  <si>
    <t>B-25830</t>
  </si>
  <si>
    <t>Vincent Roth</t>
  </si>
  <si>
    <t>Andrew Benson</t>
  </si>
  <si>
    <t>B-25762</t>
  </si>
  <si>
    <t>Jason Wilson</t>
  </si>
  <si>
    <t>B-26794</t>
  </si>
  <si>
    <t>Colin Patterson</t>
  </si>
  <si>
    <t>B-25011</t>
  </si>
  <si>
    <t>Eric Bates</t>
  </si>
  <si>
    <t>Steven Keith</t>
  </si>
  <si>
    <t>B-25515</t>
  </si>
  <si>
    <t>Seth Rodriguez</t>
  </si>
  <si>
    <t>B-25369</t>
  </si>
  <si>
    <t>Lauren Jones</t>
  </si>
  <si>
    <t>Thomas Wallace</t>
  </si>
  <si>
    <t>Mr. Daniel Wilson</t>
  </si>
  <si>
    <t>Julie Smith MD</t>
  </si>
  <si>
    <t>B-26222</t>
  </si>
  <si>
    <t>Carol Mitchell</t>
  </si>
  <si>
    <t>B-25316</t>
  </si>
  <si>
    <t>John Thompson</t>
  </si>
  <si>
    <t>B-25507</t>
  </si>
  <si>
    <t>Debra Rodriguez</t>
  </si>
  <si>
    <t>B-25846</t>
  </si>
  <si>
    <t>Erin Vasquez</t>
  </si>
  <si>
    <t>B-25763</t>
  </si>
  <si>
    <t>Clayton Lara</t>
  </si>
  <si>
    <t>B-25465</t>
  </si>
  <si>
    <t>Tony Ray</t>
  </si>
  <si>
    <t>Steven Frey</t>
  </si>
  <si>
    <t>Stephanie Leonard</t>
  </si>
  <si>
    <t>Crystal Chambers</t>
  </si>
  <si>
    <t>Robert White</t>
  </si>
  <si>
    <t>Sylvia Barron</t>
  </si>
  <si>
    <t>B-26352</t>
  </si>
  <si>
    <t>Marcus Brown</t>
  </si>
  <si>
    <t>Annette Pierce</t>
  </si>
  <si>
    <t>B-26528</t>
  </si>
  <si>
    <t>Donald Hernandez</t>
  </si>
  <si>
    <t>Megan Davis</t>
  </si>
  <si>
    <t>B-26670</t>
  </si>
  <si>
    <t>Robert Brooks</t>
  </si>
  <si>
    <t>B-25331</t>
  </si>
  <si>
    <t>Miguel Alvarez</t>
  </si>
  <si>
    <t>B-25832</t>
  </si>
  <si>
    <t>Jennifer Arnold</t>
  </si>
  <si>
    <t>B-25897</t>
  </si>
  <si>
    <t>Jessica Blankenship</t>
  </si>
  <si>
    <t>B-25713</t>
  </si>
  <si>
    <t>Peggy Campos</t>
  </si>
  <si>
    <t>B-25065</t>
  </si>
  <si>
    <t>Craig Ortega</t>
  </si>
  <si>
    <t>B-25949</t>
  </si>
  <si>
    <t>Johnny Simon</t>
  </si>
  <si>
    <t>B-26033</t>
  </si>
  <si>
    <t>Keith Brooks</t>
  </si>
  <si>
    <t>B-26017</t>
  </si>
  <si>
    <t>Jason Martinez</t>
  </si>
  <si>
    <t>B-26926</t>
  </si>
  <si>
    <t>Steven Herrera</t>
  </si>
  <si>
    <t>B-26258</t>
  </si>
  <si>
    <t>Beverly Lamb</t>
  </si>
  <si>
    <t>B-26240</t>
  </si>
  <si>
    <t>Michael Williams</t>
  </si>
  <si>
    <t>Zachary Carpenter</t>
  </si>
  <si>
    <t>B-26922</t>
  </si>
  <si>
    <t>Timothy Baker</t>
  </si>
  <si>
    <t>B-26894</t>
  </si>
  <si>
    <t>Adam James</t>
  </si>
  <si>
    <t>B-25330</t>
  </si>
  <si>
    <t>Katrina Wood</t>
  </si>
  <si>
    <t>B-26288</t>
  </si>
  <si>
    <t>James Murray</t>
  </si>
  <si>
    <t>Mr. Nathaniel Reeves</t>
  </si>
  <si>
    <t>B-25228</t>
  </si>
  <si>
    <t>Jodi Wood</t>
  </si>
  <si>
    <t>Dr. Thomas Peterson</t>
  </si>
  <si>
    <t>B-26457</t>
  </si>
  <si>
    <t>Mario Hall</t>
  </si>
  <si>
    <t>B-25790</t>
  </si>
  <si>
    <t>Justin Rosales</t>
  </si>
  <si>
    <t>B-25868</t>
  </si>
  <si>
    <t>Autumn Lee</t>
  </si>
  <si>
    <t>Victoria Duran</t>
  </si>
  <si>
    <t>B-25381</t>
  </si>
  <si>
    <t>Barry Garcia</t>
  </si>
  <si>
    <t>Dawn Webb</t>
  </si>
  <si>
    <t>B-25153</t>
  </si>
  <si>
    <t>Patricia Sanford</t>
  </si>
  <si>
    <t>B-26576</t>
  </si>
  <si>
    <t>William Walters</t>
  </si>
  <si>
    <t>B-26526</t>
  </si>
  <si>
    <t>Emma Scott</t>
  </si>
  <si>
    <t>Sabrina Buckley</t>
  </si>
  <si>
    <t>B-25819</t>
  </si>
  <si>
    <t>Robert Rojas</t>
  </si>
  <si>
    <t>Eric Johnson</t>
  </si>
  <si>
    <t>B-25698</t>
  </si>
  <si>
    <t>Heather Parker</t>
  </si>
  <si>
    <t>Thomas Matthews</t>
  </si>
  <si>
    <t>B-26820</t>
  </si>
  <si>
    <t>Kimberly Beard</t>
  </si>
  <si>
    <t>B-25396</t>
  </si>
  <si>
    <t>Lydia Donovan</t>
  </si>
  <si>
    <t>B-25529</t>
  </si>
  <si>
    <t>Edward Johnson</t>
  </si>
  <si>
    <t>B-26501</t>
  </si>
  <si>
    <t>Ricky Smith</t>
  </si>
  <si>
    <t>B-26910</t>
  </si>
  <si>
    <t>Mr. Ralph Garcia Jr.</t>
  </si>
  <si>
    <t>B-25978</t>
  </si>
  <si>
    <t>Malik Walker</t>
  </si>
  <si>
    <t>B-26537</t>
  </si>
  <si>
    <t>Tanya Walker</t>
  </si>
  <si>
    <t>B-25881</t>
  </si>
  <si>
    <t>Sherri Ferguson DVM</t>
  </si>
  <si>
    <t>Kristin Hart</t>
  </si>
  <si>
    <t>B-25237</t>
  </si>
  <si>
    <t>Jim Johnson</t>
  </si>
  <si>
    <t>David Hamilton</t>
  </si>
  <si>
    <t>B-26122</t>
  </si>
  <si>
    <t>Michael Jimenez</t>
  </si>
  <si>
    <t>Angela Norman</t>
  </si>
  <si>
    <t>B-25709</t>
  </si>
  <si>
    <t>Denise Mcdaniel</t>
  </si>
  <si>
    <t>B-26656</t>
  </si>
  <si>
    <t>Matthew Huff</t>
  </si>
  <si>
    <t>Linda Little</t>
  </si>
  <si>
    <t>B-25801</t>
  </si>
  <si>
    <t>Kerri Andrews</t>
  </si>
  <si>
    <t>B-25006</t>
  </si>
  <si>
    <t>Jeffrey Johnson III</t>
  </si>
  <si>
    <t>Daniel Dixon</t>
  </si>
  <si>
    <t>Tiffany Robinson</t>
  </si>
  <si>
    <t>B-26106</t>
  </si>
  <si>
    <t>Mr. Gregg Sawyer</t>
  </si>
  <si>
    <t>B-25789</t>
  </si>
  <si>
    <t>John Silva</t>
  </si>
  <si>
    <t>B-26292</t>
  </si>
  <si>
    <t>Nathan Moss</t>
  </si>
  <si>
    <t>B-25895</t>
  </si>
  <si>
    <t>Donald Medina</t>
  </si>
  <si>
    <t>B-25813</t>
  </si>
  <si>
    <t>Charles Henderson</t>
  </si>
  <si>
    <t>B-26863</t>
  </si>
  <si>
    <t>Brenda Davis</t>
  </si>
  <si>
    <t>B-25759</t>
  </si>
  <si>
    <t>Leah Calderon</t>
  </si>
  <si>
    <t>B-26357</t>
  </si>
  <si>
    <t>Brandi Vasquez</t>
  </si>
  <si>
    <t>B-26819</t>
  </si>
  <si>
    <t>Debra Richards</t>
  </si>
  <si>
    <t>B-25502</t>
  </si>
  <si>
    <t>Tammy Day</t>
  </si>
  <si>
    <t>B-25258</t>
  </si>
  <si>
    <t>Sheila Clay</t>
  </si>
  <si>
    <t>B-26878</t>
  </si>
  <si>
    <t>Nicholas Flores</t>
  </si>
  <si>
    <t>Jasmin Jones</t>
  </si>
  <si>
    <t>B-25170</t>
  </si>
  <si>
    <t>Matthew Gardner</t>
  </si>
  <si>
    <t>B-26842</t>
  </si>
  <si>
    <t>Joseph Perkins</t>
  </si>
  <si>
    <t>Ashley Adams MD</t>
  </si>
  <si>
    <t>B-26599</t>
  </si>
  <si>
    <t>Cheryl Stevens</t>
  </si>
  <si>
    <t>Jorge George</t>
  </si>
  <si>
    <t>B-25705</t>
  </si>
  <si>
    <t>Ann Mooney</t>
  </si>
  <si>
    <t>B-26366</t>
  </si>
  <si>
    <t>James Mendoza</t>
  </si>
  <si>
    <t>Kaitlin Garrison</t>
  </si>
  <si>
    <t>B-26116</t>
  </si>
  <si>
    <t>Jeremy Jackson</t>
  </si>
  <si>
    <t>B-26443</t>
  </si>
  <si>
    <t>Dale Craig</t>
  </si>
  <si>
    <t>Joseph Hooper</t>
  </si>
  <si>
    <t>B-25955</t>
  </si>
  <si>
    <t>Alexander Adams</t>
  </si>
  <si>
    <t>Ashlee Mills</t>
  </si>
  <si>
    <t>B-26383</t>
  </si>
  <si>
    <t>Brittany Jenkins</t>
  </si>
  <si>
    <t>Eddie Gonzales</t>
  </si>
  <si>
    <t>B-26999</t>
  </si>
  <si>
    <t>Edward Valencia</t>
  </si>
  <si>
    <t>B-26712</t>
  </si>
  <si>
    <t>Emma Bruce</t>
  </si>
  <si>
    <t>B-26066</t>
  </si>
  <si>
    <t>Carl Wade DDS</t>
  </si>
  <si>
    <t>B-25996</t>
  </si>
  <si>
    <t>Brandon Alvarado</t>
  </si>
  <si>
    <t>Jennifer Clark</t>
  </si>
  <si>
    <t>B-26924</t>
  </si>
  <si>
    <t>David Johnson</t>
  </si>
  <si>
    <t>B-25541</t>
  </si>
  <si>
    <t>April Marquez</t>
  </si>
  <si>
    <t>Joseph Guerrero</t>
  </si>
  <si>
    <t>Michael Hanson</t>
  </si>
  <si>
    <t>B-25196</t>
  </si>
  <si>
    <t>William Hill</t>
  </si>
  <si>
    <t>B-25855</t>
  </si>
  <si>
    <t>Kelsey Huber</t>
  </si>
  <si>
    <t>B-25071</t>
  </si>
  <si>
    <t>Hailey Chandler</t>
  </si>
  <si>
    <t>B-26159</t>
  </si>
  <si>
    <t>Cheyenne Rose</t>
  </si>
  <si>
    <t>Richard Petersen</t>
  </si>
  <si>
    <t>B-26228</t>
  </si>
  <si>
    <t>Kathryn Gray</t>
  </si>
  <si>
    <t>B-25888</t>
  </si>
  <si>
    <t>Victor Collins</t>
  </si>
  <si>
    <t>B-25574</t>
  </si>
  <si>
    <t>Jason Hernandez</t>
  </si>
  <si>
    <t>Jacob Torres</t>
  </si>
  <si>
    <t>B-26938</t>
  </si>
  <si>
    <t>Erin Hernandez</t>
  </si>
  <si>
    <t>Jacob Guzman</t>
  </si>
  <si>
    <t>B-26379</t>
  </si>
  <si>
    <t>Mike Armstrong</t>
  </si>
  <si>
    <t>B-26623</t>
  </si>
  <si>
    <t>Cindy Rowland</t>
  </si>
  <si>
    <t>B-25566</t>
  </si>
  <si>
    <t>Kenneth Matthews</t>
  </si>
  <si>
    <t>Susan Valdez</t>
  </si>
  <si>
    <t>B-26740</t>
  </si>
  <si>
    <t>Stephanie Manning</t>
  </si>
  <si>
    <t>Logan Galloway</t>
  </si>
  <si>
    <t>B-25024</t>
  </si>
  <si>
    <t>Christopher Stone</t>
  </si>
  <si>
    <t>Megan Pitts</t>
  </si>
  <si>
    <t>B-26367</t>
  </si>
  <si>
    <t>Richard Gardner</t>
  </si>
  <si>
    <t>B-26353</t>
  </si>
  <si>
    <t>Samuel Moore</t>
  </si>
  <si>
    <t>Robert Stokes</t>
  </si>
  <si>
    <t>Danielle Ramirez</t>
  </si>
  <si>
    <t>B-25742</t>
  </si>
  <si>
    <t>Taylor White</t>
  </si>
  <si>
    <t>B-26965</t>
  </si>
  <si>
    <t>Jordan Krause</t>
  </si>
  <si>
    <t>B-26038</t>
  </si>
  <si>
    <t>Kimberly King</t>
  </si>
  <si>
    <t>B-25317</t>
  </si>
  <si>
    <t>Sharon Russell</t>
  </si>
  <si>
    <t>B-25970</t>
  </si>
  <si>
    <t>Kevin Cooper</t>
  </si>
  <si>
    <t>B-25590</t>
  </si>
  <si>
    <t>Darrell Ramos</t>
  </si>
  <si>
    <t>B-25580</t>
  </si>
  <si>
    <t>Dr. Terry Alvarado</t>
  </si>
  <si>
    <t>B-25443</t>
  </si>
  <si>
    <t>Kathy Wilson</t>
  </si>
  <si>
    <t>B-25774</t>
  </si>
  <si>
    <t>Brandon Le</t>
  </si>
  <si>
    <t>B-26505</t>
  </si>
  <si>
    <t>Mary Wright</t>
  </si>
  <si>
    <t>B-25163</t>
  </si>
  <si>
    <t>Douglas Reynolds</t>
  </si>
  <si>
    <t>B-26095</t>
  </si>
  <si>
    <t>Leroy Harris</t>
  </si>
  <si>
    <t>B-25768</t>
  </si>
  <si>
    <t>Ricardo Dixon</t>
  </si>
  <si>
    <t>B-25328</t>
  </si>
  <si>
    <t>Debra Smith</t>
  </si>
  <si>
    <t>Jasmine James</t>
  </si>
  <si>
    <t>B-26573</t>
  </si>
  <si>
    <t>Felicia Morton</t>
  </si>
  <si>
    <t>B-25138</t>
  </si>
  <si>
    <t>Sylvia Jenkins</t>
  </si>
  <si>
    <t>B-26803</t>
  </si>
  <si>
    <t>Elizabeth White</t>
  </si>
  <si>
    <t>B-25101</t>
  </si>
  <si>
    <t>Steven Steele</t>
  </si>
  <si>
    <t>B-25827</t>
  </si>
  <si>
    <t>Amanda Ramirez</t>
  </si>
  <si>
    <t>B-25792</t>
  </si>
  <si>
    <t>Kyle Jackson</t>
  </si>
  <si>
    <t>B-25646</t>
  </si>
  <si>
    <t>Sharon Wilkins</t>
  </si>
  <si>
    <t>B-25043</t>
  </si>
  <si>
    <t>Austin Hammond</t>
  </si>
  <si>
    <t>B-26598</t>
  </si>
  <si>
    <t>Jessica Barajas</t>
  </si>
  <si>
    <t>Jamie Jimenez</t>
  </si>
  <si>
    <t>James Carter</t>
  </si>
  <si>
    <t>B-26643</t>
  </si>
  <si>
    <t>John Williams</t>
  </si>
  <si>
    <t>B-25992</t>
  </si>
  <si>
    <t>Alicia Oneill</t>
  </si>
  <si>
    <t>Rebecca Huff</t>
  </si>
  <si>
    <t>Diana Scott</t>
  </si>
  <si>
    <t>B-25532</t>
  </si>
  <si>
    <t>Brian Young</t>
  </si>
  <si>
    <t>B-25564</t>
  </si>
  <si>
    <t>Susan Wright</t>
  </si>
  <si>
    <t>Kayla Banks</t>
  </si>
  <si>
    <t>Zachary Pierce</t>
  </si>
  <si>
    <t>B-26543</t>
  </si>
  <si>
    <t>Nicolas Owen</t>
  </si>
  <si>
    <t>B-25976</t>
  </si>
  <si>
    <t>Martha Carney</t>
  </si>
  <si>
    <t>Francisco Hicks</t>
  </si>
  <si>
    <t>B-25929</t>
  </si>
  <si>
    <t>Matthew Parker</t>
  </si>
  <si>
    <t>B-25497</t>
  </si>
  <si>
    <t>Paul Bryant</t>
  </si>
  <si>
    <t>B-26735</t>
  </si>
  <si>
    <t>Bruce Dennis</t>
  </si>
  <si>
    <t>B-25036</t>
  </si>
  <si>
    <t>Joseph Bates</t>
  </si>
  <si>
    <t>B-25971</t>
  </si>
  <si>
    <t>Kelly Pacheco</t>
  </si>
  <si>
    <t>B-25441</t>
  </si>
  <si>
    <t>Jeffrey Weber</t>
  </si>
  <si>
    <t>Andrew Krueger</t>
  </si>
  <si>
    <t>B-25823</t>
  </si>
  <si>
    <t>Kathleen Cox</t>
  </si>
  <si>
    <t>B-25363</t>
  </si>
  <si>
    <t>Jamie Bradley</t>
  </si>
  <si>
    <t>Robert Martinez</t>
  </si>
  <si>
    <t>B-26445</t>
  </si>
  <si>
    <t>Christopher Rogers</t>
  </si>
  <si>
    <t>B-26724</t>
  </si>
  <si>
    <t>Roberto Parrish</t>
  </si>
  <si>
    <t>B-25447</t>
  </si>
  <si>
    <t>Amber Kennedy</t>
  </si>
  <si>
    <t>B-26904</t>
  </si>
  <si>
    <t>Maria Davis</t>
  </si>
  <si>
    <t>Terry Gilbert</t>
  </si>
  <si>
    <t>Devon Schmitt</t>
  </si>
  <si>
    <t>B-26456</t>
  </si>
  <si>
    <t>Robert Mosley</t>
  </si>
  <si>
    <t>B-25435</t>
  </si>
  <si>
    <t>Paul Scott</t>
  </si>
  <si>
    <t>B-26279</t>
  </si>
  <si>
    <t>Kristin Alvarez</t>
  </si>
  <si>
    <t>Kevin Jackson</t>
  </si>
  <si>
    <t>Mrs. Lauren Potter DDS</t>
  </si>
  <si>
    <t>Jason Brown</t>
  </si>
  <si>
    <t>Jamie Santos</t>
  </si>
  <si>
    <t>B-25770</t>
  </si>
  <si>
    <t>James Taylor</t>
  </si>
  <si>
    <t>B-25715</t>
  </si>
  <si>
    <t>Alicia Vincent</t>
  </si>
  <si>
    <t>Kenneth Adams</t>
  </si>
  <si>
    <t>Shelby Browning</t>
  </si>
  <si>
    <t>B-26961</t>
  </si>
  <si>
    <t>Johnny Hill</t>
  </si>
  <si>
    <t>Nicholas Tucker</t>
  </si>
  <si>
    <t>B-25902</t>
  </si>
  <si>
    <t>Theresa Cline</t>
  </si>
  <si>
    <t>B-26321</t>
  </si>
  <si>
    <t>Christine Wheeler</t>
  </si>
  <si>
    <t>B-25612</t>
  </si>
  <si>
    <t>Carlos Wells</t>
  </si>
  <si>
    <t>B-25605</t>
  </si>
  <si>
    <t>Randall Bell</t>
  </si>
  <si>
    <t>B-25810</t>
  </si>
  <si>
    <t>Kendra Mckinney</t>
  </si>
  <si>
    <t>B-25935</t>
  </si>
  <si>
    <t>Amanda Kim</t>
  </si>
  <si>
    <t>B-26245</t>
  </si>
  <si>
    <t>Megan Morgan</t>
  </si>
  <si>
    <t>Vincent Kramer</t>
  </si>
  <si>
    <t>Raymond Bean</t>
  </si>
  <si>
    <t>B-25346</t>
  </si>
  <si>
    <t>Reginald Hebert</t>
  </si>
  <si>
    <t>Jeremy Vazquez</t>
  </si>
  <si>
    <t>B-25594</t>
  </si>
  <si>
    <t>Michael Stewart</t>
  </si>
  <si>
    <t>Kevin Johnson</t>
  </si>
  <si>
    <t>B-25471</t>
  </si>
  <si>
    <t>Tara Hughes</t>
  </si>
  <si>
    <t>B-25398</t>
  </si>
  <si>
    <t>Sandra Perkins</t>
  </si>
  <si>
    <t>Heather Bell</t>
  </si>
  <si>
    <t>B-25999</t>
  </si>
  <si>
    <t>Nancy Boyd</t>
  </si>
  <si>
    <t>Raymond Reyes</t>
  </si>
  <si>
    <t>B-25159</t>
  </si>
  <si>
    <t>Cassandra Jordan</t>
  </si>
  <si>
    <t>Evelyn Harris</t>
  </si>
  <si>
    <t>Shannon Maynard</t>
  </si>
  <si>
    <t>Marie James</t>
  </si>
  <si>
    <t>B-25496</t>
  </si>
  <si>
    <t>Maria Carroll</t>
  </si>
  <si>
    <t>Jessica Sloan</t>
  </si>
  <si>
    <t>B-25401</t>
  </si>
  <si>
    <t>Scott Craig</t>
  </si>
  <si>
    <t>B-25707</t>
  </si>
  <si>
    <t>Kaitlin Brown</t>
  </si>
  <si>
    <t>B-26225</t>
  </si>
  <si>
    <t>William Beck</t>
  </si>
  <si>
    <t>B-25662</t>
  </si>
  <si>
    <t>Eric Mason</t>
  </si>
  <si>
    <t>Lisa Lowe</t>
  </si>
  <si>
    <t>B-26752</t>
  </si>
  <si>
    <t>Roy Miller</t>
  </si>
  <si>
    <t>Christopher Espinoza</t>
  </si>
  <si>
    <t>B-25640</t>
  </si>
  <si>
    <t>Claire Cole</t>
  </si>
  <si>
    <t>B-25030</t>
  </si>
  <si>
    <t>Eric Nunez</t>
  </si>
  <si>
    <t>B-25504</t>
  </si>
  <si>
    <t>David Bell</t>
  </si>
  <si>
    <t>B-26912</t>
  </si>
  <si>
    <t>Patrick Hensley MD</t>
  </si>
  <si>
    <t>John Cox</t>
  </si>
  <si>
    <t>Michelle Sullivan</t>
  </si>
  <si>
    <t>B-25193</t>
  </si>
  <si>
    <t>Angela Todd</t>
  </si>
  <si>
    <t>B-25106</t>
  </si>
  <si>
    <t>Luke Saunders</t>
  </si>
  <si>
    <t>Dr. Jennifer Benton DVM</t>
  </si>
  <si>
    <t>B-26835</t>
  </si>
  <si>
    <t>Keith Smith</t>
  </si>
  <si>
    <t>B-25836</t>
  </si>
  <si>
    <t>Danielle Mitchell</t>
  </si>
  <si>
    <t>Jesus Hernandez</t>
  </si>
  <si>
    <t>B-26661</t>
  </si>
  <si>
    <t>Jason Norman</t>
  </si>
  <si>
    <t>B-26317</t>
  </si>
  <si>
    <t>Laura Poole</t>
  </si>
  <si>
    <t>B-26839</t>
  </si>
  <si>
    <t>Sarah Wagner</t>
  </si>
  <si>
    <t>B-25735</t>
  </si>
  <si>
    <t>Bryan Baird</t>
  </si>
  <si>
    <t>B-25387</t>
  </si>
  <si>
    <t>Amy Thompson</t>
  </si>
  <si>
    <t>B-25192</t>
  </si>
  <si>
    <t>Ashley Wright</t>
  </si>
  <si>
    <t>B-26844</t>
  </si>
  <si>
    <t>Michelle Lynch</t>
  </si>
  <si>
    <t>Ryan Hale</t>
  </si>
  <si>
    <t>Marie Jefferson</t>
  </si>
  <si>
    <t>B-25236</t>
  </si>
  <si>
    <t>Vanessa Smith</t>
  </si>
  <si>
    <t>B-25940</t>
  </si>
  <si>
    <t>Ryan Foster</t>
  </si>
  <si>
    <t>David Lara</t>
  </si>
  <si>
    <t>B-26765</t>
  </si>
  <si>
    <t>Jonathan Young</t>
  </si>
  <si>
    <t>B-26817</t>
  </si>
  <si>
    <t>Debra Townsend</t>
  </si>
  <si>
    <t>B-26522</t>
  </si>
  <si>
    <t>John Thomas</t>
  </si>
  <si>
    <t>Bryan Anderson</t>
  </si>
  <si>
    <t>Sarah Miller</t>
  </si>
  <si>
    <t>B-25681</t>
  </si>
  <si>
    <t>Robert Hill</t>
  </si>
  <si>
    <t>B-25382</t>
  </si>
  <si>
    <t>Joshua Rojas</t>
  </si>
  <si>
    <t>B-25944</t>
  </si>
  <si>
    <t>Angelica Lewis</t>
  </si>
  <si>
    <t>Jessica Russell</t>
  </si>
  <si>
    <t>B-26980</t>
  </si>
  <si>
    <t>Mary Johnson</t>
  </si>
  <si>
    <t>Joseph Knight</t>
  </si>
  <si>
    <t>B-25780</t>
  </si>
  <si>
    <t>Jessica Greene</t>
  </si>
  <si>
    <t>B-25964</t>
  </si>
  <si>
    <t>Vincent Perez</t>
  </si>
  <si>
    <t>B-26767</t>
  </si>
  <si>
    <t>Dennis Rivera</t>
  </si>
  <si>
    <t>Nancy Keller</t>
  </si>
  <si>
    <t>B-25501</t>
  </si>
  <si>
    <t>Michelle Anderson</t>
  </si>
  <si>
    <t>B-26029</t>
  </si>
  <si>
    <t>Anthony May</t>
  </si>
  <si>
    <t>B-25292</t>
  </si>
  <si>
    <t>Michelle Guerra</t>
  </si>
  <si>
    <t>B-25873</t>
  </si>
  <si>
    <t>Meghan Ballard</t>
  </si>
  <si>
    <t>Brian Wheeler</t>
  </si>
  <si>
    <t>William Rosario</t>
  </si>
  <si>
    <t>B-25444</t>
  </si>
  <si>
    <t>Jessica Hunt</t>
  </si>
  <si>
    <t>Tony Chavez</t>
  </si>
  <si>
    <t>B-26796</t>
  </si>
  <si>
    <t>Mary Crawford</t>
  </si>
  <si>
    <t>B-25537</t>
  </si>
  <si>
    <t>Roger Morrison</t>
  </si>
  <si>
    <t>B-26083</t>
  </si>
  <si>
    <t>Bethany Harrison</t>
  </si>
  <si>
    <t>B-25298</t>
  </si>
  <si>
    <t>Lisa Mcintyre</t>
  </si>
  <si>
    <t>Carolyn Gonzalez</t>
  </si>
  <si>
    <t>Christina Oconnell</t>
  </si>
  <si>
    <t>B-26734</t>
  </si>
  <si>
    <t>James Garcia</t>
  </si>
  <si>
    <t>Emily Frederick</t>
  </si>
  <si>
    <t>Shawn Wise</t>
  </si>
  <si>
    <t>B-25483</t>
  </si>
  <si>
    <t>Carrie Alvarez</t>
  </si>
  <si>
    <t>B-26041</t>
  </si>
  <si>
    <t>Matthew James</t>
  </si>
  <si>
    <t>Jerry Alvarado</t>
  </si>
  <si>
    <t>B-26750</t>
  </si>
  <si>
    <t>Paul Zimmerman</t>
  </si>
  <si>
    <t>B-26138</t>
  </si>
  <si>
    <t>Carl Ryan</t>
  </si>
  <si>
    <t>B-26929</t>
  </si>
  <si>
    <t>Kelly Roberts</t>
  </si>
  <si>
    <t>B-25359</t>
  </si>
  <si>
    <t>Jack Woods</t>
  </si>
  <si>
    <t>B-25738</t>
  </si>
  <si>
    <t>Albert Alexander Jr.</t>
  </si>
  <si>
    <t>Teresa Perez</t>
  </si>
  <si>
    <t>B-25931</t>
  </si>
  <si>
    <t>Amanda Williams</t>
  </si>
  <si>
    <t>B-25706</t>
  </si>
  <si>
    <t>Kristen Lawson</t>
  </si>
  <si>
    <t>B-25352</t>
  </si>
  <si>
    <t>Jacob Stewart</t>
  </si>
  <si>
    <t>B-26909</t>
  </si>
  <si>
    <t>Daniel Brooks</t>
  </si>
  <si>
    <t>B-26296</t>
  </si>
  <si>
    <t>Aaron Dunn</t>
  </si>
  <si>
    <t>B-26112</t>
  </si>
  <si>
    <t>Jacob Martinez</t>
  </si>
  <si>
    <t>Raymond Burgess</t>
  </si>
  <si>
    <t>B-26790</t>
  </si>
  <si>
    <t>Jennifer Cooke</t>
  </si>
  <si>
    <t>B-25986</t>
  </si>
  <si>
    <t>Tyrone White</t>
  </si>
  <si>
    <t>B-25630</t>
  </si>
  <si>
    <t>Charles Williams</t>
  </si>
  <si>
    <t>Amy Page</t>
  </si>
  <si>
    <t>B-26872</t>
  </si>
  <si>
    <t>Scott Gibbs</t>
  </si>
  <si>
    <t>B-25870</t>
  </si>
  <si>
    <t>Angela Roberts</t>
  </si>
  <si>
    <t>B-25991</t>
  </si>
  <si>
    <t>Kyle Hernandez</t>
  </si>
  <si>
    <t>B-25198</t>
  </si>
  <si>
    <t>Cynthia Ferguson</t>
  </si>
  <si>
    <t>B-25189</t>
  </si>
  <si>
    <t>Brandi Garcia</t>
  </si>
  <si>
    <t>Matthew Blake</t>
  </si>
  <si>
    <t>B-26563</t>
  </si>
  <si>
    <t>Lauren Howell</t>
  </si>
  <si>
    <t>B-25548</t>
  </si>
  <si>
    <t>Joseph Wilson</t>
  </si>
  <si>
    <t>B-25965</t>
  </si>
  <si>
    <t>Tanner Vance</t>
  </si>
  <si>
    <t>Michael Nash</t>
  </si>
  <si>
    <t>B-26545</t>
  </si>
  <si>
    <t>Brent Thomas</t>
  </si>
  <si>
    <t>B-26603</t>
  </si>
  <si>
    <t>Harold Mitchell</t>
  </si>
  <si>
    <t>B-26393</t>
  </si>
  <si>
    <t>Ashley Palmer</t>
  </si>
  <si>
    <t>Stephen Hogan</t>
  </si>
  <si>
    <t>B-26628</t>
  </si>
  <si>
    <t>George Ashley</t>
  </si>
  <si>
    <t>Sara Bailey</t>
  </si>
  <si>
    <t>B-25945</t>
  </si>
  <si>
    <t>Tanya Thomas MD</t>
  </si>
  <si>
    <t>B-26565</t>
  </si>
  <si>
    <t>Maria Galvan</t>
  </si>
  <si>
    <t>B-25684</t>
  </si>
  <si>
    <t>Duane Kelly</t>
  </si>
  <si>
    <t>Frank Reynolds</t>
  </si>
  <si>
    <t>B-26612</t>
  </si>
  <si>
    <t>Aaron Kim</t>
  </si>
  <si>
    <t>B-25839</t>
  </si>
  <si>
    <t>David Allen</t>
  </si>
  <si>
    <t>B-25898</t>
  </si>
  <si>
    <t>Monica Lee</t>
  </si>
  <si>
    <t>B-26120</t>
  </si>
  <si>
    <t>Erica Scott</t>
  </si>
  <si>
    <t>B-26426</t>
  </si>
  <si>
    <t>Melissa Mitchell</t>
  </si>
  <si>
    <t>B-26309</t>
  </si>
  <si>
    <t>Joshua Murray</t>
  </si>
  <si>
    <t>John Jones</t>
  </si>
  <si>
    <t>B-26789</t>
  </si>
  <si>
    <t>Cheryl Johnson</t>
  </si>
  <si>
    <t>B-26420</t>
  </si>
  <si>
    <t>Lisa Farmer</t>
  </si>
  <si>
    <t>Christopher Walker</t>
  </si>
  <si>
    <t>B-26257</t>
  </si>
  <si>
    <t>Elizabeth Coffey</t>
  </si>
  <si>
    <t>Joseph Clark</t>
  </si>
  <si>
    <t>B-25603</t>
  </si>
  <si>
    <t>Jamie Brewer</t>
  </si>
  <si>
    <t>Lauren Boyer</t>
  </si>
  <si>
    <t>B-25010</t>
  </si>
  <si>
    <t>Howard Esparza</t>
  </si>
  <si>
    <t>James Hickman</t>
  </si>
  <si>
    <t>B-25889</t>
  </si>
  <si>
    <t>Jennifer Hernandez</t>
  </si>
  <si>
    <t>Shannon Warren</t>
  </si>
  <si>
    <t>Ashley Aguilar</t>
  </si>
  <si>
    <t>B-26675</t>
  </si>
  <si>
    <t>Daniel Price</t>
  </si>
  <si>
    <t>James Perez</t>
  </si>
  <si>
    <t>B-26168</t>
  </si>
  <si>
    <t>Jerry Smith</t>
  </si>
  <si>
    <t>B-25436</t>
  </si>
  <si>
    <t>Andre Fernandez</t>
  </si>
  <si>
    <t>Anthony West</t>
  </si>
  <si>
    <t>B-25794</t>
  </si>
  <si>
    <t>Amber Flowers</t>
  </si>
  <si>
    <t>B-26495</t>
  </si>
  <si>
    <t>Patricia Davis</t>
  </si>
  <si>
    <t>B-25815</t>
  </si>
  <si>
    <t>Jasmine Gibbs</t>
  </si>
  <si>
    <t>B-25022</t>
  </si>
  <si>
    <t>Nicole Dudley</t>
  </si>
  <si>
    <t>Lori Colon</t>
  </si>
  <si>
    <t>B-26928</t>
  </si>
  <si>
    <t>William Carr</t>
  </si>
  <si>
    <t>B-25905</t>
  </si>
  <si>
    <t>Jeffrey Dixon</t>
  </si>
  <si>
    <t>B-26739</t>
  </si>
  <si>
    <t>Robert Sexton</t>
  </si>
  <si>
    <t>Brooke Gonzalez</t>
  </si>
  <si>
    <t>B-25697</t>
  </si>
  <si>
    <t>Victoria Bryant MD</t>
  </si>
  <si>
    <t>B-25234</t>
  </si>
  <si>
    <t>Nancy Kennedy</t>
  </si>
  <si>
    <t>Andrew Barry</t>
  </si>
  <si>
    <t>B-25665</t>
  </si>
  <si>
    <t>Carlos Wheeler</t>
  </si>
  <si>
    <t>Isabella Roach</t>
  </si>
  <si>
    <t>B-25028</t>
  </si>
  <si>
    <t>Samantha Williams</t>
  </si>
  <si>
    <t>B-26659</t>
  </si>
  <si>
    <t>Samuel Little MD</t>
  </si>
  <si>
    <t>B-25966</t>
  </si>
  <si>
    <t>Paul Taylor</t>
  </si>
  <si>
    <t>Susan Baker</t>
  </si>
  <si>
    <t>B-25350</t>
  </si>
  <si>
    <t>Mark Fry</t>
  </si>
  <si>
    <t>B-26370</t>
  </si>
  <si>
    <t>Megan Mclean</t>
  </si>
  <si>
    <t>B-26298</t>
  </si>
  <si>
    <t>Caitlin Hunt</t>
  </si>
  <si>
    <t>Jenna Holland</t>
  </si>
  <si>
    <t>Stephanie Oconnell</t>
  </si>
  <si>
    <t>B-25068</t>
  </si>
  <si>
    <t>Andrea Hill</t>
  </si>
  <si>
    <t>STD DEV POPULATION</t>
  </si>
  <si>
    <t>RANGE</t>
  </si>
  <si>
    <t>VARIANCE POPULATION</t>
  </si>
  <si>
    <t>VARIANCE SAMPLE</t>
  </si>
  <si>
    <t>MEAN DEVIATION</t>
  </si>
  <si>
    <t xml:space="preserve">MEAN </t>
  </si>
  <si>
    <t>MEDIAN</t>
  </si>
  <si>
    <t>MODE.MUL</t>
  </si>
  <si>
    <t>MODE SINGLE</t>
  </si>
  <si>
    <t>MODE MULTIPLE</t>
  </si>
  <si>
    <t>INTERQUARTILE</t>
  </si>
  <si>
    <t>ID</t>
  </si>
  <si>
    <t>Age</t>
  </si>
  <si>
    <t>Gender</t>
  </si>
  <si>
    <t>Department</t>
  </si>
  <si>
    <t>Salary</t>
  </si>
  <si>
    <t>Male</t>
  </si>
  <si>
    <t>Sales</t>
  </si>
  <si>
    <t>Female</t>
  </si>
  <si>
    <t>HR</t>
  </si>
  <si>
    <t>IT</t>
  </si>
  <si>
    <t>Finance</t>
  </si>
  <si>
    <t>PROBABILITY SAMPLING</t>
  </si>
  <si>
    <t>GENDER</t>
  </si>
  <si>
    <t>NUMBER OF STUDENTS</t>
  </si>
  <si>
    <t>MALE</t>
  </si>
  <si>
    <t>FEMALE</t>
  </si>
  <si>
    <t>TOTAL</t>
  </si>
  <si>
    <t>SALARY</t>
  </si>
  <si>
    <t>RANDOM</t>
  </si>
  <si>
    <t>MAX</t>
  </si>
  <si>
    <t>MIN</t>
  </si>
  <si>
    <t>GOAL</t>
  </si>
  <si>
    <t>SELECT 5 EMPS</t>
  </si>
  <si>
    <t xml:space="preserve">SUPPOSE YOU WANT TO SELECT SAMPLE OF 5 STUDENTS </t>
  </si>
  <si>
    <t>STRATUM 1</t>
  </si>
  <si>
    <t>STRATUM 2</t>
  </si>
  <si>
    <t>SELECT 3 MALES RANDOMNLY</t>
  </si>
  <si>
    <t>SELECT 2 FEMALES RANDOMNLY</t>
  </si>
  <si>
    <t xml:space="preserve">RANDOM </t>
  </si>
  <si>
    <t>TOTAL RECORDS</t>
  </si>
  <si>
    <t>SAMPLE RECORS</t>
  </si>
  <si>
    <t>K</t>
  </si>
  <si>
    <t>30// 6</t>
  </si>
  <si>
    <t>Stratified Sampling</t>
  </si>
  <si>
    <t>Selected Ids</t>
  </si>
  <si>
    <t>1,5</t>
  </si>
  <si>
    <t>2,6</t>
  </si>
  <si>
    <t>3,7</t>
  </si>
  <si>
    <t>4,8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</si>
</sst>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ED799-B518-42AE-8F21-AC5DB4D2B2CA}">
  <dimension ref="A1:AJ1195"/>
  <sheetViews>
    <sheetView tabSelected="1" topLeftCell="M1" workbookViewId="0">
      <selection activeCell="N27" sqref="N27"/>
    </sheetView>
  </sheetViews>
  <sheetFormatPr defaultRowHeight="15" x14ac:dyDescent="0.25"/>
  <cols>
    <col min="1" max="1" width="14.28515625" customWidth="1"/>
    <col min="2" max="2" width="12.28515625" customWidth="1"/>
    <col min="3" max="3" width="12.42578125" customWidth="1"/>
    <col min="4" max="4" width="13.28515625" customWidth="1"/>
    <col min="5" max="5" width="21.28515625" customWidth="1"/>
    <col min="6" max="6" width="21.7109375" customWidth="1"/>
    <col min="7" max="7" width="16.140625" customWidth="1"/>
    <col min="8" max="8" width="16.85546875" customWidth="1"/>
    <col min="9" max="9" width="22.42578125" customWidth="1"/>
    <col min="10" max="10" width="17.140625" customWidth="1"/>
    <col min="11" max="11" width="15.5703125" customWidth="1"/>
    <col min="12" max="12" width="14" customWidth="1"/>
    <col min="13" max="13" width="25.28515625" customWidth="1"/>
    <col min="14" max="14" width="24.85546875" customWidth="1"/>
    <col min="15" max="15" width="20.85546875" customWidth="1"/>
    <col min="20" max="20" width="14.7109375" customWidth="1"/>
    <col min="23" max="23" width="28.5703125" customWidth="1"/>
    <col min="25" max="25" width="20.5703125" customWidth="1"/>
    <col min="26" max="26" width="12.85546875" customWidth="1"/>
  </cols>
  <sheetData>
    <row r="1" spans="1: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1466</v>
      </c>
      <c r="N1" t="s">
        <v>1466</v>
      </c>
      <c r="O1" t="s">
        <v>1467</v>
      </c>
      <c r="Q1" t="s">
        <v>1488</v>
      </c>
    </row>
    <row r="2" spans="1:36" ht="19.5" customHeight="1" x14ac:dyDescent="0.25">
      <c r="A2" t="s">
        <v>12</v>
      </c>
      <c r="B2">
        <v>9726</v>
      </c>
      <c r="C2">
        <v>1275</v>
      </c>
      <c r="D2">
        <v>5</v>
      </c>
      <c r="E2" t="s">
        <v>13</v>
      </c>
      <c r="F2" t="s">
        <v>14</v>
      </c>
      <c r="G2" t="s">
        <v>15</v>
      </c>
      <c r="H2" s="1">
        <v>45104</v>
      </c>
      <c r="I2" t="s">
        <v>16</v>
      </c>
      <c r="J2" t="s">
        <v>17</v>
      </c>
      <c r="K2" t="s">
        <v>18</v>
      </c>
      <c r="L2" t="s">
        <v>19</v>
      </c>
      <c r="M2">
        <f>_xlfn.STDEV.P(B2:B1195)</f>
        <v>2803.7471187153351</v>
      </c>
      <c r="N2">
        <f>_xlfn.STDEV.S(B2:B1195)</f>
        <v>2804.9219551878932</v>
      </c>
      <c r="O2">
        <f>MAX(B2)-MIN(C2)</f>
        <v>8451</v>
      </c>
      <c r="Q2" s="2" t="s">
        <v>1477</v>
      </c>
      <c r="R2" s="2" t="s">
        <v>1478</v>
      </c>
      <c r="S2" s="2" t="s">
        <v>1479</v>
      </c>
      <c r="T2" s="2" t="s">
        <v>1480</v>
      </c>
      <c r="U2" s="2" t="s">
        <v>1481</v>
      </c>
      <c r="V2" s="2" t="s">
        <v>1505</v>
      </c>
      <c r="W2" s="2"/>
    </row>
    <row r="3" spans="1:36" x14ac:dyDescent="0.25">
      <c r="A3" t="s">
        <v>12</v>
      </c>
      <c r="B3">
        <v>9726</v>
      </c>
      <c r="C3">
        <v>1275</v>
      </c>
      <c r="D3">
        <v>5</v>
      </c>
      <c r="E3" t="s">
        <v>13</v>
      </c>
      <c r="F3" t="s">
        <v>14</v>
      </c>
      <c r="G3" t="s">
        <v>15</v>
      </c>
      <c r="H3" s="1">
        <v>45653</v>
      </c>
      <c r="I3" t="s">
        <v>20</v>
      </c>
      <c r="J3" t="s">
        <v>21</v>
      </c>
      <c r="K3" t="s">
        <v>22</v>
      </c>
      <c r="L3" t="s">
        <v>23</v>
      </c>
      <c r="O3">
        <f>MAX(B3)-MIN(C3)</f>
        <v>8451</v>
      </c>
      <c r="Q3" s="3">
        <v>1</v>
      </c>
      <c r="R3" s="3">
        <v>22</v>
      </c>
      <c r="S3" s="3" t="s">
        <v>1482</v>
      </c>
      <c r="T3" s="3" t="s">
        <v>1483</v>
      </c>
      <c r="U3" s="3">
        <v>25000</v>
      </c>
      <c r="V3">
        <f ca="1">RAND()</f>
        <v>0.8936970532289894</v>
      </c>
      <c r="X3" t="s">
        <v>1489</v>
      </c>
      <c r="Y3" t="s">
        <v>1490</v>
      </c>
      <c r="Z3" t="s">
        <v>1495</v>
      </c>
      <c r="AC3" t="s">
        <v>1494</v>
      </c>
      <c r="AF3" s="2" t="s">
        <v>1477</v>
      </c>
      <c r="AG3" s="2" t="s">
        <v>1481</v>
      </c>
    </row>
    <row r="4" spans="1:36" x14ac:dyDescent="0.25">
      <c r="A4" t="s">
        <v>12</v>
      </c>
      <c r="B4">
        <v>9726</v>
      </c>
      <c r="C4">
        <v>1275</v>
      </c>
      <c r="D4">
        <v>5</v>
      </c>
      <c r="E4" t="s">
        <v>13</v>
      </c>
      <c r="F4" t="s">
        <v>14</v>
      </c>
      <c r="G4" t="s">
        <v>15</v>
      </c>
      <c r="H4" s="1">
        <v>44402</v>
      </c>
      <c r="I4" t="s">
        <v>24</v>
      </c>
      <c r="J4" t="s">
        <v>25</v>
      </c>
      <c r="K4" t="s">
        <v>26</v>
      </c>
      <c r="L4" t="s">
        <v>27</v>
      </c>
      <c r="O4">
        <f>MAX(B2:B1195)-MIN(C2:C1195)</f>
        <v>9942</v>
      </c>
      <c r="Q4" s="3">
        <v>10</v>
      </c>
      <c r="R4" s="3">
        <v>30</v>
      </c>
      <c r="S4" s="3" t="s">
        <v>1484</v>
      </c>
      <c r="T4" s="3" t="s">
        <v>1485</v>
      </c>
      <c r="U4" s="3">
        <v>24000</v>
      </c>
      <c r="V4">
        <f ca="1">RAND()</f>
        <v>0.17949431603981325</v>
      </c>
      <c r="X4" t="s">
        <v>1491</v>
      </c>
      <c r="Y4">
        <f>COUNTIF(S3:S32,"Male")</f>
        <v>15</v>
      </c>
      <c r="Z4">
        <f ca="1">RAND()</f>
        <v>0.87873452191936319</v>
      </c>
      <c r="AC4" s="3">
        <v>25000</v>
      </c>
      <c r="AF4" s="3">
        <v>28</v>
      </c>
      <c r="AG4" s="3">
        <v>54000</v>
      </c>
    </row>
    <row r="5" spans="1:36" x14ac:dyDescent="0.25">
      <c r="A5" t="s">
        <v>12</v>
      </c>
      <c r="B5">
        <v>4975</v>
      </c>
      <c r="C5">
        <v>1330</v>
      </c>
      <c r="D5">
        <v>14</v>
      </c>
      <c r="E5" t="s">
        <v>13</v>
      </c>
      <c r="F5" t="s">
        <v>28</v>
      </c>
      <c r="G5" t="s">
        <v>15</v>
      </c>
      <c r="H5" s="1">
        <v>45104</v>
      </c>
      <c r="I5" t="s">
        <v>16</v>
      </c>
      <c r="J5" t="s">
        <v>17</v>
      </c>
      <c r="K5" t="s">
        <v>18</v>
      </c>
      <c r="L5" t="s">
        <v>19</v>
      </c>
      <c r="Q5" s="3">
        <v>5</v>
      </c>
      <c r="R5" s="3">
        <v>24</v>
      </c>
      <c r="S5" s="3" t="s">
        <v>1482</v>
      </c>
      <c r="T5" s="3" t="s">
        <v>1483</v>
      </c>
      <c r="U5" s="3">
        <v>25500</v>
      </c>
      <c r="V5">
        <f ca="1">RAND()</f>
        <v>9.6061433597664503E-2</v>
      </c>
      <c r="X5" t="s">
        <v>1492</v>
      </c>
      <c r="Y5">
        <f>COUNTIF(S3:S32,"Female")</f>
        <v>15</v>
      </c>
      <c r="Z5">
        <f ca="1">RAND()</f>
        <v>0.77856351347897812</v>
      </c>
      <c r="AC5" s="3">
        <v>28000</v>
      </c>
      <c r="AF5" s="3">
        <v>16</v>
      </c>
      <c r="AG5" s="3">
        <v>52000</v>
      </c>
    </row>
    <row r="6" spans="1:36" x14ac:dyDescent="0.25">
      <c r="A6" t="s">
        <v>12</v>
      </c>
      <c r="B6">
        <v>4975</v>
      </c>
      <c r="C6">
        <v>1330</v>
      </c>
      <c r="D6">
        <v>14</v>
      </c>
      <c r="E6" t="s">
        <v>13</v>
      </c>
      <c r="F6" t="s">
        <v>28</v>
      </c>
      <c r="G6" t="s">
        <v>15</v>
      </c>
      <c r="H6" s="1">
        <v>45653</v>
      </c>
      <c r="I6" t="s">
        <v>20</v>
      </c>
      <c r="J6" t="s">
        <v>21</v>
      </c>
      <c r="K6" t="s">
        <v>22</v>
      </c>
      <c r="L6" t="s">
        <v>23</v>
      </c>
      <c r="M6" t="s">
        <v>1468</v>
      </c>
      <c r="N6" t="s">
        <v>1469</v>
      </c>
      <c r="O6" t="s">
        <v>1470</v>
      </c>
      <c r="Q6" s="3">
        <v>23</v>
      </c>
      <c r="R6" s="3">
        <v>26</v>
      </c>
      <c r="S6" s="3" t="s">
        <v>1482</v>
      </c>
      <c r="T6" s="3" t="s">
        <v>1486</v>
      </c>
      <c r="U6" s="3">
        <v>26000</v>
      </c>
      <c r="V6">
        <f ca="1">RAND()</f>
        <v>2.1611922572901676E-2</v>
      </c>
      <c r="X6" t="s">
        <v>1493</v>
      </c>
      <c r="Y6">
        <v>30</v>
      </c>
      <c r="Z6">
        <f ca="1">RAND()</f>
        <v>0.16269388076920532</v>
      </c>
      <c r="AC6" s="3">
        <v>35000</v>
      </c>
      <c r="AF6" s="3">
        <v>7</v>
      </c>
      <c r="AG6" s="3">
        <v>50000</v>
      </c>
    </row>
    <row r="7" spans="1:36" x14ac:dyDescent="0.25">
      <c r="A7" t="s">
        <v>12</v>
      </c>
      <c r="B7">
        <v>4975</v>
      </c>
      <c r="C7">
        <v>1330</v>
      </c>
      <c r="D7">
        <v>14</v>
      </c>
      <c r="E7" t="s">
        <v>13</v>
      </c>
      <c r="F7" t="s">
        <v>28</v>
      </c>
      <c r="G7" t="s">
        <v>15</v>
      </c>
      <c r="H7" s="1">
        <v>44402</v>
      </c>
      <c r="I7" t="s">
        <v>24</v>
      </c>
      <c r="J7" t="s">
        <v>25</v>
      </c>
      <c r="K7" t="s">
        <v>26</v>
      </c>
      <c r="L7" t="s">
        <v>27</v>
      </c>
      <c r="M7">
        <f>_xlfn.VAR.P(C2:C1195)</f>
        <v>1248860.5686199002</v>
      </c>
      <c r="N7">
        <f>_xlfn.VAR.S(B2:B1195)</f>
        <v>7867587.1746950746</v>
      </c>
      <c r="O7">
        <f>AVEDEV(B2:B1195)</f>
        <v>2420.2144684898481</v>
      </c>
      <c r="Q7" s="3">
        <v>16</v>
      </c>
      <c r="R7" s="3">
        <v>36</v>
      </c>
      <c r="S7" s="3" t="s">
        <v>1484</v>
      </c>
      <c r="T7" s="3" t="s">
        <v>1487</v>
      </c>
      <c r="U7" s="3">
        <v>26500</v>
      </c>
      <c r="V7">
        <f ca="1">RAND()</f>
        <v>0.22860610092511191</v>
      </c>
      <c r="AC7" s="3">
        <v>42000</v>
      </c>
      <c r="AF7" s="3">
        <v>24</v>
      </c>
      <c r="AG7" s="3">
        <v>49000</v>
      </c>
    </row>
    <row r="8" spans="1:36" x14ac:dyDescent="0.25">
      <c r="A8" t="s">
        <v>29</v>
      </c>
      <c r="B8">
        <v>1525</v>
      </c>
      <c r="C8">
        <v>185</v>
      </c>
      <c r="D8">
        <v>12</v>
      </c>
      <c r="E8" t="s">
        <v>30</v>
      </c>
      <c r="F8" t="s">
        <v>31</v>
      </c>
      <c r="G8" t="s">
        <v>32</v>
      </c>
      <c r="H8" s="1">
        <v>45423</v>
      </c>
      <c r="I8" t="s">
        <v>33</v>
      </c>
      <c r="J8" t="s">
        <v>17</v>
      </c>
      <c r="K8" t="s">
        <v>34</v>
      </c>
      <c r="L8" t="s">
        <v>35</v>
      </c>
      <c r="M8">
        <f>_xlfn.VAR.P(B2:B1195)</f>
        <v>7860997.9057045421</v>
      </c>
      <c r="N8">
        <f>_xlfn.VAR.S(C2:C1195)</f>
        <v>1249907.3922314844</v>
      </c>
      <c r="O8">
        <f>AVEDEV(C2:C1195)</f>
        <v>915.85524355445386</v>
      </c>
      <c r="Q8" s="3">
        <v>19</v>
      </c>
      <c r="R8" s="3">
        <v>33</v>
      </c>
      <c r="S8" s="3" t="s">
        <v>1482</v>
      </c>
      <c r="T8" s="3" t="s">
        <v>1486</v>
      </c>
      <c r="U8" s="3">
        <v>27000</v>
      </c>
      <c r="V8">
        <f ca="1">RAND()</f>
        <v>0.12459105646137947</v>
      </c>
      <c r="AC8" s="3">
        <v>27000</v>
      </c>
      <c r="AF8" s="3">
        <v>12</v>
      </c>
      <c r="AG8" s="3">
        <v>48000</v>
      </c>
    </row>
    <row r="9" spans="1:36" x14ac:dyDescent="0.25">
      <c r="A9" t="s">
        <v>29</v>
      </c>
      <c r="B9">
        <v>1525</v>
      </c>
      <c r="C9">
        <v>185</v>
      </c>
      <c r="D9">
        <v>12</v>
      </c>
      <c r="E9" t="s">
        <v>30</v>
      </c>
      <c r="F9" t="s">
        <v>31</v>
      </c>
      <c r="G9" t="s">
        <v>32</v>
      </c>
      <c r="H9" s="1">
        <v>44478</v>
      </c>
      <c r="I9" t="s">
        <v>36</v>
      </c>
      <c r="J9" t="s">
        <v>17</v>
      </c>
      <c r="K9" t="s">
        <v>18</v>
      </c>
      <c r="L9" t="s">
        <v>37</v>
      </c>
      <c r="Q9" s="3">
        <v>3</v>
      </c>
      <c r="R9" s="3">
        <v>28</v>
      </c>
      <c r="S9" s="3" t="s">
        <v>1482</v>
      </c>
      <c r="T9" s="3" t="s">
        <v>1486</v>
      </c>
      <c r="U9" s="3">
        <v>27500</v>
      </c>
      <c r="V9">
        <f ca="1">RAND()</f>
        <v>0.81829118199055162</v>
      </c>
      <c r="AB9" t="s">
        <v>1496</v>
      </c>
      <c r="AC9">
        <f>MAX(AC4:AC8)</f>
        <v>42000</v>
      </c>
    </row>
    <row r="10" spans="1:36" x14ac:dyDescent="0.25">
      <c r="A10" t="s">
        <v>38</v>
      </c>
      <c r="B10">
        <v>883</v>
      </c>
      <c r="C10">
        <v>117</v>
      </c>
      <c r="D10">
        <v>10</v>
      </c>
      <c r="E10" t="s">
        <v>13</v>
      </c>
      <c r="F10" t="s">
        <v>39</v>
      </c>
      <c r="G10" t="s">
        <v>40</v>
      </c>
      <c r="H10" s="1">
        <v>44883</v>
      </c>
      <c r="I10" t="s">
        <v>41</v>
      </c>
      <c r="J10" t="s">
        <v>42</v>
      </c>
      <c r="K10" t="s">
        <v>43</v>
      </c>
      <c r="L10" t="s">
        <v>44</v>
      </c>
      <c r="Q10" s="3">
        <v>26</v>
      </c>
      <c r="R10" s="3">
        <v>30</v>
      </c>
      <c r="S10" s="3" t="s">
        <v>1484</v>
      </c>
      <c r="T10" s="3" t="s">
        <v>1485</v>
      </c>
      <c r="U10" s="3">
        <v>28000</v>
      </c>
      <c r="V10">
        <f ca="1">RAND()</f>
        <v>0.63654735785715277</v>
      </c>
      <c r="AB10" t="s">
        <v>1497</v>
      </c>
      <c r="AC10">
        <f>MIN(AC4:AC8)</f>
        <v>25000</v>
      </c>
    </row>
    <row r="11" spans="1:36" x14ac:dyDescent="0.25">
      <c r="A11" t="s">
        <v>38</v>
      </c>
      <c r="B11">
        <v>8127</v>
      </c>
      <c r="C11">
        <v>3551</v>
      </c>
      <c r="D11">
        <v>16</v>
      </c>
      <c r="E11" t="s">
        <v>45</v>
      </c>
      <c r="F11" t="s">
        <v>46</v>
      </c>
      <c r="G11" t="s">
        <v>47</v>
      </c>
      <c r="H11" s="1">
        <v>44883</v>
      </c>
      <c r="I11" t="s">
        <v>41</v>
      </c>
      <c r="J11" t="s">
        <v>42</v>
      </c>
      <c r="K11" t="s">
        <v>43</v>
      </c>
      <c r="L11" t="s">
        <v>44</v>
      </c>
      <c r="M11" t="s">
        <v>1471</v>
      </c>
      <c r="N11" t="s">
        <v>1474</v>
      </c>
      <c r="O11" t="s">
        <v>1472</v>
      </c>
      <c r="Q11" s="3">
        <v>24</v>
      </c>
      <c r="R11" s="3">
        <v>35</v>
      </c>
      <c r="S11" s="3" t="s">
        <v>1484</v>
      </c>
      <c r="T11" s="3" t="s">
        <v>1487</v>
      </c>
      <c r="U11" s="3">
        <v>29000</v>
      </c>
      <c r="V11">
        <f ca="1">RAND()</f>
        <v>0.21088446817953899</v>
      </c>
      <c r="AB11" t="s">
        <v>1467</v>
      </c>
      <c r="AC11">
        <f>MAX(AC9)-MIN(AC10)</f>
        <v>17000</v>
      </c>
    </row>
    <row r="12" spans="1:36" x14ac:dyDescent="0.25">
      <c r="A12" t="s">
        <v>48</v>
      </c>
      <c r="B12">
        <v>2516</v>
      </c>
      <c r="C12">
        <v>734</v>
      </c>
      <c r="D12">
        <v>19</v>
      </c>
      <c r="E12" t="s">
        <v>45</v>
      </c>
      <c r="F12" t="s">
        <v>49</v>
      </c>
      <c r="G12" t="s">
        <v>15</v>
      </c>
      <c r="H12" s="1">
        <v>45242</v>
      </c>
      <c r="I12" t="s">
        <v>50</v>
      </c>
      <c r="J12" t="s">
        <v>25</v>
      </c>
      <c r="K12" t="s">
        <v>51</v>
      </c>
      <c r="L12" t="s">
        <v>52</v>
      </c>
      <c r="M12">
        <f>AVERAGE(B2:B1195)</f>
        <v>5178.0896147403682</v>
      </c>
      <c r="N12">
        <f>_xlfn.MODE.SNGL(B2:B1195)</f>
        <v>717</v>
      </c>
      <c r="O12">
        <f>MEDIAN(B2:B1195)</f>
        <v>5152</v>
      </c>
      <c r="Q12" s="3">
        <v>14</v>
      </c>
      <c r="R12" s="3">
        <v>32</v>
      </c>
      <c r="S12" s="3" t="s">
        <v>1484</v>
      </c>
      <c r="T12" s="3" t="s">
        <v>1485</v>
      </c>
      <c r="U12" s="3">
        <v>30000</v>
      </c>
      <c r="V12">
        <f ca="1">RAND()</f>
        <v>0.19153493908951047</v>
      </c>
    </row>
    <row r="13" spans="1:36" x14ac:dyDescent="0.25">
      <c r="A13" t="s">
        <v>53</v>
      </c>
      <c r="B13">
        <v>2975</v>
      </c>
      <c r="C13">
        <v>462</v>
      </c>
      <c r="D13">
        <v>14</v>
      </c>
      <c r="E13" t="s">
        <v>30</v>
      </c>
      <c r="F13" t="s">
        <v>31</v>
      </c>
      <c r="G13" t="s">
        <v>47</v>
      </c>
      <c r="H13" s="1">
        <v>43913</v>
      </c>
      <c r="I13" t="s">
        <v>54</v>
      </c>
      <c r="J13" t="s">
        <v>25</v>
      </c>
      <c r="K13" t="s">
        <v>51</v>
      </c>
      <c r="L13" t="s">
        <v>55</v>
      </c>
      <c r="M13">
        <f>AVERAGE(C2:C1195)</f>
        <v>1348.9924623115578</v>
      </c>
      <c r="N13">
        <f>_xlfn.MODE.SNGL(C2:C1195)</f>
        <v>177</v>
      </c>
      <c r="O13">
        <f>MEDIAN(C2:C1195)</f>
        <v>1014</v>
      </c>
      <c r="Q13" s="3">
        <v>9</v>
      </c>
      <c r="R13" s="3">
        <v>23</v>
      </c>
      <c r="S13" s="3" t="s">
        <v>1482</v>
      </c>
      <c r="T13" s="3" t="s">
        <v>1483</v>
      </c>
      <c r="U13" s="3">
        <v>31000</v>
      </c>
      <c r="V13">
        <f ca="1">RAND()</f>
        <v>0.6456558702728421</v>
      </c>
      <c r="X13" t="s">
        <v>1498</v>
      </c>
      <c r="Z13" t="s">
        <v>1500</v>
      </c>
      <c r="AG13" t="s">
        <v>1506</v>
      </c>
      <c r="AI13">
        <v>30</v>
      </c>
    </row>
    <row r="14" spans="1:36" x14ac:dyDescent="0.25">
      <c r="A14" t="s">
        <v>56</v>
      </c>
      <c r="B14">
        <v>6851</v>
      </c>
      <c r="C14">
        <v>2812</v>
      </c>
      <c r="D14">
        <v>1</v>
      </c>
      <c r="E14" t="s">
        <v>30</v>
      </c>
      <c r="F14" t="s">
        <v>57</v>
      </c>
      <c r="G14" t="s">
        <v>32</v>
      </c>
      <c r="H14" s="1">
        <v>43955</v>
      </c>
      <c r="I14" t="s">
        <v>58</v>
      </c>
      <c r="J14" t="s">
        <v>17</v>
      </c>
      <c r="K14" t="s">
        <v>34</v>
      </c>
      <c r="L14" t="s">
        <v>59</v>
      </c>
      <c r="Q14" s="3">
        <v>4</v>
      </c>
      <c r="R14" s="3">
        <v>31</v>
      </c>
      <c r="S14" s="3" t="s">
        <v>1484</v>
      </c>
      <c r="T14" s="3" t="s">
        <v>1487</v>
      </c>
      <c r="U14" s="3">
        <v>32000</v>
      </c>
      <c r="V14">
        <f ca="1">RAND()</f>
        <v>0.70119467512445777</v>
      </c>
      <c r="X14" t="s">
        <v>1499</v>
      </c>
      <c r="Z14" t="s">
        <v>1501</v>
      </c>
      <c r="AA14" t="s">
        <v>1491</v>
      </c>
      <c r="AG14" s="4" t="s">
        <v>1507</v>
      </c>
      <c r="AI14">
        <v>6</v>
      </c>
    </row>
    <row r="15" spans="1:36" x14ac:dyDescent="0.25">
      <c r="A15" t="s">
        <v>56</v>
      </c>
      <c r="B15">
        <v>7626</v>
      </c>
      <c r="C15">
        <v>1046</v>
      </c>
      <c r="D15">
        <v>15</v>
      </c>
      <c r="E15" t="s">
        <v>45</v>
      </c>
      <c r="F15" t="s">
        <v>60</v>
      </c>
      <c r="G15" t="s">
        <v>47</v>
      </c>
      <c r="H15" s="1">
        <v>43955</v>
      </c>
      <c r="I15" t="s">
        <v>58</v>
      </c>
      <c r="J15" t="s">
        <v>17</v>
      </c>
      <c r="K15" t="s">
        <v>34</v>
      </c>
      <c r="L15" t="s">
        <v>59</v>
      </c>
      <c r="M15" t="s">
        <v>1473</v>
      </c>
      <c r="N15" t="s">
        <v>1475</v>
      </c>
      <c r="Q15" s="3">
        <v>27</v>
      </c>
      <c r="R15" s="3">
        <v>28</v>
      </c>
      <c r="S15" s="3" t="s">
        <v>1482</v>
      </c>
      <c r="T15" s="3" t="s">
        <v>1486</v>
      </c>
      <c r="U15" s="3">
        <v>32500</v>
      </c>
      <c r="V15">
        <f ca="1">RAND()</f>
        <v>6.202018561184186E-3</v>
      </c>
      <c r="Z15" t="s">
        <v>1502</v>
      </c>
      <c r="AA15" t="s">
        <v>1492</v>
      </c>
      <c r="AG15" t="s">
        <v>1508</v>
      </c>
      <c r="AI15" s="4" t="s">
        <v>1509</v>
      </c>
      <c r="AJ15">
        <v>5</v>
      </c>
    </row>
    <row r="16" spans="1:36" x14ac:dyDescent="0.25">
      <c r="A16" t="s">
        <v>56</v>
      </c>
      <c r="B16">
        <v>1023</v>
      </c>
      <c r="C16">
        <v>78</v>
      </c>
      <c r="D16">
        <v>9</v>
      </c>
      <c r="E16" t="s">
        <v>45</v>
      </c>
      <c r="F16" t="s">
        <v>46</v>
      </c>
      <c r="G16" t="s">
        <v>15</v>
      </c>
      <c r="H16" s="1">
        <v>43955</v>
      </c>
      <c r="I16" t="s">
        <v>58</v>
      </c>
      <c r="J16" t="s">
        <v>17</v>
      </c>
      <c r="K16" t="s">
        <v>34</v>
      </c>
      <c r="L16" t="s">
        <v>59</v>
      </c>
      <c r="M16" cm="1">
        <f t="array" ref="M16:M17">_xlfn.MODE.MULT(B2:B1195)</f>
        <v>717</v>
      </c>
      <c r="N16" cm="1">
        <f t="array" ref="N16">_xlfn.MODE.MULT(C2:D1195)</f>
        <v>14</v>
      </c>
      <c r="Q16" s="3">
        <v>17</v>
      </c>
      <c r="R16" s="3">
        <v>25</v>
      </c>
      <c r="S16" s="3" t="s">
        <v>1482</v>
      </c>
      <c r="T16" s="3" t="s">
        <v>1483</v>
      </c>
      <c r="U16" s="3">
        <v>33500</v>
      </c>
      <c r="V16">
        <f ca="1">RAND()</f>
        <v>7.7494250424147815E-2</v>
      </c>
      <c r="AH16">
        <v>2</v>
      </c>
    </row>
    <row r="17" spans="1:34" x14ac:dyDescent="0.25">
      <c r="A17" t="s">
        <v>61</v>
      </c>
      <c r="B17">
        <v>7600</v>
      </c>
      <c r="C17">
        <v>1098</v>
      </c>
      <c r="D17">
        <v>10</v>
      </c>
      <c r="E17" t="s">
        <v>30</v>
      </c>
      <c r="F17" t="s">
        <v>31</v>
      </c>
      <c r="G17" t="s">
        <v>15</v>
      </c>
      <c r="H17" s="1">
        <v>45239</v>
      </c>
      <c r="I17" t="s">
        <v>62</v>
      </c>
      <c r="J17" t="s">
        <v>21</v>
      </c>
      <c r="K17" t="s">
        <v>63</v>
      </c>
      <c r="L17" t="s">
        <v>52</v>
      </c>
      <c r="M17">
        <v>508</v>
      </c>
      <c r="N17" cm="1">
        <f t="array" ref="N17">_xlfn.MODE.MULT(C2:C1195)</f>
        <v>177</v>
      </c>
      <c r="Q17" s="3">
        <v>11</v>
      </c>
      <c r="R17" s="3">
        <v>26</v>
      </c>
      <c r="S17" s="3" t="s">
        <v>1482</v>
      </c>
      <c r="T17" s="3" t="s">
        <v>1486</v>
      </c>
      <c r="U17" s="3">
        <v>34000</v>
      </c>
      <c r="V17">
        <f ca="1">RAND()</f>
        <v>0.47445771808634463</v>
      </c>
      <c r="Z17" t="s">
        <v>1503</v>
      </c>
      <c r="AH17">
        <v>7</v>
      </c>
    </row>
    <row r="18" spans="1:34" x14ac:dyDescent="0.25">
      <c r="A18" t="s">
        <v>61</v>
      </c>
      <c r="B18">
        <v>7501</v>
      </c>
      <c r="C18">
        <v>262</v>
      </c>
      <c r="D18">
        <v>18</v>
      </c>
      <c r="E18" t="s">
        <v>30</v>
      </c>
      <c r="F18" t="s">
        <v>64</v>
      </c>
      <c r="G18" t="s">
        <v>65</v>
      </c>
      <c r="H18" s="1">
        <v>45239</v>
      </c>
      <c r="I18" t="s">
        <v>62</v>
      </c>
      <c r="J18" t="s">
        <v>21</v>
      </c>
      <c r="K18" t="s">
        <v>63</v>
      </c>
      <c r="L18" t="s">
        <v>52</v>
      </c>
      <c r="N18" cm="1">
        <f t="array" ref="N18">_xlfn.MODE.MULT(D2:D1195)</f>
        <v>14</v>
      </c>
      <c r="Q18" s="3">
        <v>28</v>
      </c>
      <c r="R18" s="3">
        <v>37</v>
      </c>
      <c r="S18" s="3" t="s">
        <v>1484</v>
      </c>
      <c r="T18" s="3" t="s">
        <v>1487</v>
      </c>
      <c r="U18" s="3">
        <v>34500</v>
      </c>
      <c r="V18">
        <f ca="1">RAND()</f>
        <v>0.16825422106465149</v>
      </c>
      <c r="Z18" t="s">
        <v>1504</v>
      </c>
      <c r="AH18">
        <v>12</v>
      </c>
    </row>
    <row r="19" spans="1:34" x14ac:dyDescent="0.25">
      <c r="A19" t="s">
        <v>66</v>
      </c>
      <c r="B19">
        <v>725</v>
      </c>
      <c r="C19">
        <v>133</v>
      </c>
      <c r="D19">
        <v>6</v>
      </c>
      <c r="E19" t="s">
        <v>30</v>
      </c>
      <c r="F19" t="s">
        <v>64</v>
      </c>
      <c r="G19" t="s">
        <v>47</v>
      </c>
      <c r="H19" s="1">
        <v>45656</v>
      </c>
      <c r="I19" t="s">
        <v>67</v>
      </c>
      <c r="J19" t="s">
        <v>25</v>
      </c>
      <c r="K19" t="s">
        <v>68</v>
      </c>
      <c r="L19" t="s">
        <v>23</v>
      </c>
      <c r="M19" t="s">
        <v>1476</v>
      </c>
      <c r="Q19" s="3">
        <v>29</v>
      </c>
      <c r="R19" s="3">
        <v>23</v>
      </c>
      <c r="S19" s="3" t="s">
        <v>1482</v>
      </c>
      <c r="T19" s="3" t="s">
        <v>1483</v>
      </c>
      <c r="U19" s="3">
        <v>35000</v>
      </c>
      <c r="V19">
        <f ca="1">RAND()</f>
        <v>0.36117305062945759</v>
      </c>
      <c r="AH19">
        <v>17</v>
      </c>
    </row>
    <row r="20" spans="1:34" x14ac:dyDescent="0.25">
      <c r="A20" t="s">
        <v>66</v>
      </c>
      <c r="B20">
        <v>7201</v>
      </c>
      <c r="C20">
        <v>2685</v>
      </c>
      <c r="D20">
        <v>2</v>
      </c>
      <c r="E20" t="s">
        <v>45</v>
      </c>
      <c r="F20" t="s">
        <v>46</v>
      </c>
      <c r="G20" t="s">
        <v>47</v>
      </c>
      <c r="H20" s="1">
        <v>45656</v>
      </c>
      <c r="I20" t="s">
        <v>67</v>
      </c>
      <c r="J20" t="s">
        <v>25</v>
      </c>
      <c r="K20" t="s">
        <v>68</v>
      </c>
      <c r="L20" t="s">
        <v>23</v>
      </c>
      <c r="M20">
        <f>_xlfn.QUARTILE.INC(C2:C1195,1)</f>
        <v>410</v>
      </c>
      <c r="N20">
        <f>_xlfn.QUARTILE.EXC(D2:D1195,3)</f>
        <v>16</v>
      </c>
      <c r="Q20" s="3">
        <v>25</v>
      </c>
      <c r="R20" s="3">
        <v>24</v>
      </c>
      <c r="S20" s="3" t="s">
        <v>1482</v>
      </c>
      <c r="T20" s="3" t="s">
        <v>1483</v>
      </c>
      <c r="U20" s="3">
        <v>36000</v>
      </c>
      <c r="V20">
        <f ca="1">RAND()</f>
        <v>0.91734003424553023</v>
      </c>
      <c r="AH20">
        <v>22</v>
      </c>
    </row>
    <row r="21" spans="1:34" x14ac:dyDescent="0.25">
      <c r="A21" t="s">
        <v>69</v>
      </c>
      <c r="B21">
        <v>1629</v>
      </c>
      <c r="C21">
        <v>265</v>
      </c>
      <c r="D21">
        <v>1</v>
      </c>
      <c r="E21" t="s">
        <v>30</v>
      </c>
      <c r="F21" t="s">
        <v>64</v>
      </c>
      <c r="G21" t="s">
        <v>15</v>
      </c>
      <c r="H21" s="1">
        <v>45699</v>
      </c>
      <c r="I21" t="s">
        <v>70</v>
      </c>
      <c r="J21" t="s">
        <v>71</v>
      </c>
      <c r="K21" t="s">
        <v>72</v>
      </c>
      <c r="L21" t="s">
        <v>73</v>
      </c>
      <c r="M21">
        <f>_xlfn.QUARTILE.INC(D2:D1195,2)</f>
        <v>11</v>
      </c>
      <c r="N21">
        <f>_xlfn.QUARTILE.EXC(C2:C1195,2)</f>
        <v>1014</v>
      </c>
      <c r="Q21" s="3">
        <v>22</v>
      </c>
      <c r="R21" s="3">
        <v>31</v>
      </c>
      <c r="S21" s="3" t="s">
        <v>1484</v>
      </c>
      <c r="T21" s="3" t="s">
        <v>1485</v>
      </c>
      <c r="U21" s="3">
        <v>37000</v>
      </c>
      <c r="V21">
        <f ca="1">RAND()</f>
        <v>0.88686113972924452</v>
      </c>
      <c r="AH21">
        <v>27</v>
      </c>
    </row>
    <row r="22" spans="1:34" ht="30" x14ac:dyDescent="0.25">
      <c r="A22" t="s">
        <v>69</v>
      </c>
      <c r="B22">
        <v>1629</v>
      </c>
      <c r="C22">
        <v>265</v>
      </c>
      <c r="D22">
        <v>1</v>
      </c>
      <c r="E22" t="s">
        <v>30</v>
      </c>
      <c r="F22" t="s">
        <v>64</v>
      </c>
      <c r="G22" t="s">
        <v>15</v>
      </c>
      <c r="H22" s="1">
        <v>45314</v>
      </c>
      <c r="I22" t="s">
        <v>74</v>
      </c>
      <c r="J22" t="s">
        <v>42</v>
      </c>
      <c r="K22" t="s">
        <v>75</v>
      </c>
      <c r="L22" t="s">
        <v>76</v>
      </c>
      <c r="Q22" s="3">
        <v>8</v>
      </c>
      <c r="R22" s="3">
        <v>27</v>
      </c>
      <c r="S22" s="3" t="s">
        <v>1484</v>
      </c>
      <c r="T22" s="3" t="s">
        <v>1487</v>
      </c>
      <c r="U22" s="3">
        <v>38000</v>
      </c>
      <c r="V22">
        <f ca="1">RAND()</f>
        <v>0.43118753074270455</v>
      </c>
      <c r="Y22" t="s">
        <v>1510</v>
      </c>
      <c r="Z22" t="s">
        <v>1511</v>
      </c>
      <c r="AB22" s="2" t="s">
        <v>1477</v>
      </c>
      <c r="AC22" s="2" t="s">
        <v>1480</v>
      </c>
    </row>
    <row r="23" spans="1:34" x14ac:dyDescent="0.25">
      <c r="A23" t="s">
        <v>77</v>
      </c>
      <c r="B23">
        <v>8971</v>
      </c>
      <c r="C23">
        <v>2971</v>
      </c>
      <c r="D23">
        <v>19</v>
      </c>
      <c r="E23" t="s">
        <v>30</v>
      </c>
      <c r="F23" t="s">
        <v>78</v>
      </c>
      <c r="G23" t="s">
        <v>32</v>
      </c>
      <c r="H23" s="1">
        <v>44163</v>
      </c>
      <c r="I23" t="s">
        <v>79</v>
      </c>
      <c r="J23" t="s">
        <v>42</v>
      </c>
      <c r="K23" t="s">
        <v>75</v>
      </c>
      <c r="L23" t="s">
        <v>80</v>
      </c>
      <c r="Q23" s="3">
        <v>2</v>
      </c>
      <c r="R23" s="3">
        <v>25</v>
      </c>
      <c r="S23" s="3" t="s">
        <v>1484</v>
      </c>
      <c r="T23" s="3" t="s">
        <v>1485</v>
      </c>
      <c r="U23" s="3">
        <v>39000</v>
      </c>
      <c r="V23">
        <f ca="1">RAND()</f>
        <v>0.39277477842505282</v>
      </c>
      <c r="Y23" t="s">
        <v>1483</v>
      </c>
      <c r="Z23" t="s">
        <v>1512</v>
      </c>
      <c r="AB23" s="3">
        <v>3</v>
      </c>
      <c r="AC23" s="3" t="s">
        <v>1486</v>
      </c>
    </row>
    <row r="24" spans="1:34" x14ac:dyDescent="0.25">
      <c r="A24" t="s">
        <v>77</v>
      </c>
      <c r="B24">
        <v>2939</v>
      </c>
      <c r="C24">
        <v>894</v>
      </c>
      <c r="D24">
        <v>20</v>
      </c>
      <c r="E24" t="s">
        <v>30</v>
      </c>
      <c r="F24" t="s">
        <v>78</v>
      </c>
      <c r="G24" t="s">
        <v>65</v>
      </c>
      <c r="H24" s="1">
        <v>44163</v>
      </c>
      <c r="I24" t="s">
        <v>79</v>
      </c>
      <c r="J24" t="s">
        <v>42</v>
      </c>
      <c r="K24" t="s">
        <v>75</v>
      </c>
      <c r="L24" t="s">
        <v>80</v>
      </c>
      <c r="Q24" s="3">
        <v>18</v>
      </c>
      <c r="R24" s="3">
        <v>28</v>
      </c>
      <c r="S24" s="3" t="s">
        <v>1484</v>
      </c>
      <c r="T24" s="3" t="s">
        <v>1485</v>
      </c>
      <c r="U24" s="3">
        <v>40000</v>
      </c>
      <c r="V24">
        <f ca="1">RAND()</f>
        <v>0.80791355745197679</v>
      </c>
      <c r="Y24" t="s">
        <v>1485</v>
      </c>
      <c r="Z24" t="s">
        <v>1513</v>
      </c>
      <c r="AB24" s="3">
        <v>7</v>
      </c>
      <c r="AC24" s="3" t="s">
        <v>1486</v>
      </c>
    </row>
    <row r="25" spans="1:34" x14ac:dyDescent="0.25">
      <c r="A25" t="s">
        <v>81</v>
      </c>
      <c r="B25">
        <v>9380</v>
      </c>
      <c r="C25">
        <v>414</v>
      </c>
      <c r="D25">
        <v>11</v>
      </c>
      <c r="E25" t="s">
        <v>13</v>
      </c>
      <c r="F25" t="s">
        <v>82</v>
      </c>
      <c r="G25" t="s">
        <v>15</v>
      </c>
      <c r="H25" s="1">
        <v>45442</v>
      </c>
      <c r="I25" t="s">
        <v>83</v>
      </c>
      <c r="J25" t="s">
        <v>25</v>
      </c>
      <c r="K25" t="s">
        <v>68</v>
      </c>
      <c r="L25" t="s">
        <v>35</v>
      </c>
      <c r="Q25" s="3">
        <v>7</v>
      </c>
      <c r="R25" s="3">
        <v>35</v>
      </c>
      <c r="S25" s="3" t="s">
        <v>1482</v>
      </c>
      <c r="T25" s="3" t="s">
        <v>1486</v>
      </c>
      <c r="U25" s="3">
        <v>41000</v>
      </c>
      <c r="V25">
        <f ca="1">RAND()</f>
        <v>0.94299862120051847</v>
      </c>
      <c r="Y25" t="s">
        <v>1486</v>
      </c>
      <c r="Z25" t="s">
        <v>1514</v>
      </c>
      <c r="AB25" s="3">
        <v>11</v>
      </c>
      <c r="AC25" s="3" t="s">
        <v>1486</v>
      </c>
    </row>
    <row r="26" spans="1:34" x14ac:dyDescent="0.25">
      <c r="A26" t="s">
        <v>81</v>
      </c>
      <c r="B26">
        <v>8558</v>
      </c>
      <c r="C26">
        <v>1644</v>
      </c>
      <c r="D26">
        <v>18</v>
      </c>
      <c r="E26" t="s">
        <v>30</v>
      </c>
      <c r="F26" t="s">
        <v>78</v>
      </c>
      <c r="G26" t="s">
        <v>47</v>
      </c>
      <c r="H26" s="1">
        <v>45442</v>
      </c>
      <c r="I26" t="s">
        <v>83</v>
      </c>
      <c r="J26" t="s">
        <v>25</v>
      </c>
      <c r="K26" t="s">
        <v>68</v>
      </c>
      <c r="L26" t="s">
        <v>35</v>
      </c>
      <c r="Q26" s="3">
        <v>15</v>
      </c>
      <c r="R26" s="3">
        <v>29</v>
      </c>
      <c r="S26" s="3" t="s">
        <v>1482</v>
      </c>
      <c r="T26" s="3" t="s">
        <v>1486</v>
      </c>
      <c r="U26" s="3">
        <v>42000</v>
      </c>
      <c r="V26">
        <f ca="1">RAND()</f>
        <v>0.313685654029078</v>
      </c>
      <c r="Y26" t="s">
        <v>1487</v>
      </c>
      <c r="Z26" t="s">
        <v>1515</v>
      </c>
      <c r="AB26" s="3">
        <v>15</v>
      </c>
      <c r="AC26" s="3" t="s">
        <v>1486</v>
      </c>
    </row>
    <row r="27" spans="1:34" x14ac:dyDescent="0.25">
      <c r="A27" t="s">
        <v>81</v>
      </c>
      <c r="B27">
        <v>4080</v>
      </c>
      <c r="C27">
        <v>72</v>
      </c>
      <c r="D27">
        <v>17</v>
      </c>
      <c r="E27" t="s">
        <v>30</v>
      </c>
      <c r="F27" t="s">
        <v>64</v>
      </c>
      <c r="G27" t="s">
        <v>65</v>
      </c>
      <c r="H27" s="1">
        <v>45442</v>
      </c>
      <c r="I27" t="s">
        <v>83</v>
      </c>
      <c r="J27" t="s">
        <v>25</v>
      </c>
      <c r="K27" t="s">
        <v>68</v>
      </c>
      <c r="L27" t="s">
        <v>35</v>
      </c>
      <c r="Q27" s="3">
        <v>12</v>
      </c>
      <c r="R27" s="3">
        <v>34</v>
      </c>
      <c r="S27" s="3" t="s">
        <v>1484</v>
      </c>
      <c r="T27" s="3" t="s">
        <v>1487</v>
      </c>
      <c r="U27" s="3">
        <v>47000</v>
      </c>
      <c r="V27">
        <f ca="1">RAND()</f>
        <v>0.79987231963659899</v>
      </c>
      <c r="AB27" s="3">
        <v>19</v>
      </c>
      <c r="AC27" s="3" t="s">
        <v>1486</v>
      </c>
    </row>
    <row r="28" spans="1:34" x14ac:dyDescent="0.25">
      <c r="A28" t="s">
        <v>84</v>
      </c>
      <c r="B28">
        <v>4206</v>
      </c>
      <c r="C28">
        <v>1821</v>
      </c>
      <c r="D28">
        <v>17</v>
      </c>
      <c r="E28" t="s">
        <v>13</v>
      </c>
      <c r="F28" t="s">
        <v>14</v>
      </c>
      <c r="G28" t="s">
        <v>40</v>
      </c>
      <c r="H28" s="1">
        <v>44584</v>
      </c>
      <c r="I28" t="s">
        <v>85</v>
      </c>
      <c r="J28" t="s">
        <v>71</v>
      </c>
      <c r="K28" t="s">
        <v>86</v>
      </c>
      <c r="L28" t="s">
        <v>87</v>
      </c>
      <c r="Q28" s="3">
        <v>20</v>
      </c>
      <c r="R28" s="3">
        <v>27</v>
      </c>
      <c r="S28" s="3" t="s">
        <v>1484</v>
      </c>
      <c r="T28" s="3" t="s">
        <v>1487</v>
      </c>
      <c r="U28" s="3">
        <v>48000</v>
      </c>
      <c r="V28">
        <f ca="1">RAND()</f>
        <v>0.5625643199185002</v>
      </c>
      <c r="AB28" s="3">
        <v>23</v>
      </c>
      <c r="AC28" s="3" t="s">
        <v>1486</v>
      </c>
    </row>
    <row r="29" spans="1:34" x14ac:dyDescent="0.25">
      <c r="A29" t="s">
        <v>88</v>
      </c>
      <c r="B29">
        <v>5219</v>
      </c>
      <c r="C29">
        <v>1180</v>
      </c>
      <c r="D29">
        <v>20</v>
      </c>
      <c r="E29" t="s">
        <v>30</v>
      </c>
      <c r="F29" t="s">
        <v>78</v>
      </c>
      <c r="G29" t="s">
        <v>65</v>
      </c>
      <c r="H29" s="1">
        <v>44547</v>
      </c>
      <c r="I29" t="s">
        <v>89</v>
      </c>
      <c r="J29" t="s">
        <v>25</v>
      </c>
      <c r="K29" t="s">
        <v>51</v>
      </c>
      <c r="L29" t="s">
        <v>90</v>
      </c>
      <c r="Q29" s="3">
        <v>13</v>
      </c>
      <c r="R29" s="3">
        <v>21</v>
      </c>
      <c r="S29" s="3" t="s">
        <v>1482</v>
      </c>
      <c r="T29" s="3" t="s">
        <v>1483</v>
      </c>
      <c r="U29" s="3">
        <v>49000</v>
      </c>
      <c r="V29">
        <f ca="1">RAND()</f>
        <v>0.6483802642417047</v>
      </c>
      <c r="AB29" s="3">
        <v>27</v>
      </c>
      <c r="AC29" s="3" t="s">
        <v>1486</v>
      </c>
    </row>
    <row r="30" spans="1:34" x14ac:dyDescent="0.25">
      <c r="A30" t="s">
        <v>88</v>
      </c>
      <c r="B30">
        <v>5219</v>
      </c>
      <c r="C30">
        <v>1180</v>
      </c>
      <c r="D30">
        <v>20</v>
      </c>
      <c r="E30" t="s">
        <v>30</v>
      </c>
      <c r="F30" t="s">
        <v>78</v>
      </c>
      <c r="G30" t="s">
        <v>65</v>
      </c>
      <c r="H30" s="1">
        <v>44960</v>
      </c>
      <c r="I30" t="s">
        <v>91</v>
      </c>
      <c r="J30" t="s">
        <v>42</v>
      </c>
      <c r="K30" t="s">
        <v>92</v>
      </c>
      <c r="L30" t="s">
        <v>93</v>
      </c>
      <c r="Q30" s="3">
        <v>30</v>
      </c>
      <c r="R30" s="3">
        <v>32</v>
      </c>
      <c r="S30" s="3" t="s">
        <v>1484</v>
      </c>
      <c r="T30" s="3" t="s">
        <v>1485</v>
      </c>
      <c r="U30" s="3">
        <v>50000</v>
      </c>
      <c r="V30">
        <f ca="1">RAND()</f>
        <v>0.1172902631401892</v>
      </c>
    </row>
    <row r="31" spans="1:34" x14ac:dyDescent="0.25">
      <c r="A31" t="s">
        <v>94</v>
      </c>
      <c r="B31">
        <v>3686</v>
      </c>
      <c r="C31">
        <v>760</v>
      </c>
      <c r="D31">
        <v>20</v>
      </c>
      <c r="E31" t="s">
        <v>30</v>
      </c>
      <c r="F31" t="s">
        <v>31</v>
      </c>
      <c r="G31" t="s">
        <v>32</v>
      </c>
      <c r="H31" s="1">
        <v>44864</v>
      </c>
      <c r="I31" t="s">
        <v>95</v>
      </c>
      <c r="J31" t="s">
        <v>42</v>
      </c>
      <c r="K31" t="s">
        <v>92</v>
      </c>
      <c r="L31" t="s">
        <v>96</v>
      </c>
      <c r="Q31" s="3">
        <v>6</v>
      </c>
      <c r="R31" s="3">
        <v>29</v>
      </c>
      <c r="S31" s="3" t="s">
        <v>1484</v>
      </c>
      <c r="T31" s="3" t="s">
        <v>1485</v>
      </c>
      <c r="U31" s="3">
        <v>52000</v>
      </c>
      <c r="V31">
        <f ca="1">RAND()</f>
        <v>0.84470447887767819</v>
      </c>
    </row>
    <row r="32" spans="1:34" x14ac:dyDescent="0.25">
      <c r="A32" t="s">
        <v>94</v>
      </c>
      <c r="B32">
        <v>3686</v>
      </c>
      <c r="C32">
        <v>760</v>
      </c>
      <c r="D32">
        <v>20</v>
      </c>
      <c r="E32" t="s">
        <v>30</v>
      </c>
      <c r="F32" t="s">
        <v>31</v>
      </c>
      <c r="G32" t="s">
        <v>32</v>
      </c>
      <c r="H32" s="1">
        <v>44576</v>
      </c>
      <c r="I32" t="s">
        <v>97</v>
      </c>
      <c r="J32" t="s">
        <v>98</v>
      </c>
      <c r="K32" t="s">
        <v>99</v>
      </c>
      <c r="L32" t="s">
        <v>87</v>
      </c>
      <c r="Q32" s="3">
        <v>21</v>
      </c>
      <c r="R32" s="3">
        <v>22</v>
      </c>
      <c r="S32" s="3" t="s">
        <v>1482</v>
      </c>
      <c r="T32" s="3" t="s">
        <v>1483</v>
      </c>
      <c r="U32" s="3">
        <v>54000</v>
      </c>
      <c r="V32">
        <f ca="1">RAND()</f>
        <v>9.5061247343157573E-2</v>
      </c>
    </row>
    <row r="33" spans="1:12" x14ac:dyDescent="0.25">
      <c r="A33" t="s">
        <v>100</v>
      </c>
      <c r="B33">
        <v>6045</v>
      </c>
      <c r="C33">
        <v>1606</v>
      </c>
      <c r="D33">
        <v>4</v>
      </c>
      <c r="E33" t="s">
        <v>30</v>
      </c>
      <c r="F33" t="s">
        <v>64</v>
      </c>
      <c r="G33" t="s">
        <v>65</v>
      </c>
      <c r="H33" s="1">
        <v>45274</v>
      </c>
      <c r="I33" t="s">
        <v>101</v>
      </c>
      <c r="J33" t="s">
        <v>17</v>
      </c>
      <c r="K33" t="s">
        <v>34</v>
      </c>
      <c r="L33" t="s">
        <v>102</v>
      </c>
    </row>
    <row r="34" spans="1:12" x14ac:dyDescent="0.25">
      <c r="A34" t="s">
        <v>100</v>
      </c>
      <c r="B34">
        <v>9337</v>
      </c>
      <c r="C34">
        <v>554</v>
      </c>
      <c r="D34">
        <v>11</v>
      </c>
      <c r="E34" t="s">
        <v>30</v>
      </c>
      <c r="F34" t="s">
        <v>31</v>
      </c>
      <c r="G34" t="s">
        <v>65</v>
      </c>
      <c r="H34" s="1">
        <v>45274</v>
      </c>
      <c r="I34" t="s">
        <v>101</v>
      </c>
      <c r="J34" t="s">
        <v>17</v>
      </c>
      <c r="K34" t="s">
        <v>34</v>
      </c>
      <c r="L34" t="s">
        <v>102</v>
      </c>
    </row>
    <row r="35" spans="1:12" x14ac:dyDescent="0.25">
      <c r="A35" t="s">
        <v>103</v>
      </c>
      <c r="B35">
        <v>4051</v>
      </c>
      <c r="C35">
        <v>1848</v>
      </c>
      <c r="D35">
        <v>12</v>
      </c>
      <c r="E35" t="s">
        <v>13</v>
      </c>
      <c r="F35" t="s">
        <v>82</v>
      </c>
      <c r="G35" t="s">
        <v>47</v>
      </c>
      <c r="H35" s="1">
        <v>45110</v>
      </c>
      <c r="I35" t="s">
        <v>104</v>
      </c>
      <c r="J35" t="s">
        <v>42</v>
      </c>
      <c r="K35" t="s">
        <v>75</v>
      </c>
      <c r="L35" t="s">
        <v>105</v>
      </c>
    </row>
    <row r="36" spans="1:12" x14ac:dyDescent="0.25">
      <c r="A36" t="s">
        <v>103</v>
      </c>
      <c r="B36">
        <v>4051</v>
      </c>
      <c r="C36">
        <v>1848</v>
      </c>
      <c r="D36">
        <v>12</v>
      </c>
      <c r="E36" t="s">
        <v>13</v>
      </c>
      <c r="F36" t="s">
        <v>82</v>
      </c>
      <c r="G36" t="s">
        <v>47</v>
      </c>
      <c r="H36" s="1">
        <v>44324</v>
      </c>
      <c r="I36" t="s">
        <v>106</v>
      </c>
      <c r="J36" t="s">
        <v>98</v>
      </c>
      <c r="K36" t="s">
        <v>107</v>
      </c>
      <c r="L36" t="s">
        <v>108</v>
      </c>
    </row>
    <row r="37" spans="1:12" x14ac:dyDescent="0.25">
      <c r="A37" t="s">
        <v>103</v>
      </c>
      <c r="B37">
        <v>5011</v>
      </c>
      <c r="C37">
        <v>866</v>
      </c>
      <c r="D37">
        <v>11</v>
      </c>
      <c r="E37" t="s">
        <v>45</v>
      </c>
      <c r="F37" t="s">
        <v>109</v>
      </c>
      <c r="G37" t="s">
        <v>47</v>
      </c>
      <c r="H37" s="1">
        <v>45110</v>
      </c>
      <c r="I37" t="s">
        <v>104</v>
      </c>
      <c r="J37" t="s">
        <v>42</v>
      </c>
      <c r="K37" t="s">
        <v>75</v>
      </c>
      <c r="L37" t="s">
        <v>105</v>
      </c>
    </row>
    <row r="38" spans="1:12" x14ac:dyDescent="0.25">
      <c r="A38" t="s">
        <v>103</v>
      </c>
      <c r="B38">
        <v>5011</v>
      </c>
      <c r="C38">
        <v>866</v>
      </c>
      <c r="D38">
        <v>11</v>
      </c>
      <c r="E38" t="s">
        <v>45</v>
      </c>
      <c r="F38" t="s">
        <v>109</v>
      </c>
      <c r="G38" t="s">
        <v>47</v>
      </c>
      <c r="H38" s="1">
        <v>44324</v>
      </c>
      <c r="I38" t="s">
        <v>106</v>
      </c>
      <c r="J38" t="s">
        <v>98</v>
      </c>
      <c r="K38" t="s">
        <v>107</v>
      </c>
      <c r="L38" t="s">
        <v>108</v>
      </c>
    </row>
    <row r="39" spans="1:12" x14ac:dyDescent="0.25">
      <c r="A39" t="s">
        <v>110</v>
      </c>
      <c r="B39">
        <v>3958</v>
      </c>
      <c r="C39">
        <v>630</v>
      </c>
      <c r="D39">
        <v>15</v>
      </c>
      <c r="E39" t="s">
        <v>45</v>
      </c>
      <c r="F39" t="s">
        <v>60</v>
      </c>
      <c r="G39" t="s">
        <v>40</v>
      </c>
      <c r="H39" s="1">
        <v>44841</v>
      </c>
      <c r="I39" t="s">
        <v>111</v>
      </c>
      <c r="J39" t="s">
        <v>17</v>
      </c>
      <c r="K39" t="s">
        <v>34</v>
      </c>
      <c r="L39" t="s">
        <v>96</v>
      </c>
    </row>
    <row r="40" spans="1:12" x14ac:dyDescent="0.25">
      <c r="A40" t="s">
        <v>110</v>
      </c>
      <c r="B40">
        <v>3132</v>
      </c>
      <c r="C40">
        <v>963</v>
      </c>
      <c r="D40">
        <v>1</v>
      </c>
      <c r="E40" t="s">
        <v>45</v>
      </c>
      <c r="F40" t="s">
        <v>46</v>
      </c>
      <c r="G40" t="s">
        <v>32</v>
      </c>
      <c r="H40" s="1">
        <v>44841</v>
      </c>
      <c r="I40" t="s">
        <v>111</v>
      </c>
      <c r="J40" t="s">
        <v>17</v>
      </c>
      <c r="K40" t="s">
        <v>34</v>
      </c>
      <c r="L40" t="s">
        <v>96</v>
      </c>
    </row>
    <row r="41" spans="1:12" x14ac:dyDescent="0.25">
      <c r="A41" t="s">
        <v>112</v>
      </c>
      <c r="B41">
        <v>7784</v>
      </c>
      <c r="C41">
        <v>2937</v>
      </c>
      <c r="D41">
        <v>12</v>
      </c>
      <c r="E41" t="s">
        <v>30</v>
      </c>
      <c r="F41" t="s">
        <v>57</v>
      </c>
      <c r="G41" t="s">
        <v>15</v>
      </c>
      <c r="H41" s="1">
        <v>45510</v>
      </c>
      <c r="I41" t="s">
        <v>113</v>
      </c>
      <c r="J41" t="s">
        <v>42</v>
      </c>
      <c r="K41" t="s">
        <v>92</v>
      </c>
      <c r="L41" t="s">
        <v>114</v>
      </c>
    </row>
    <row r="42" spans="1:12" x14ac:dyDescent="0.25">
      <c r="A42" t="s">
        <v>112</v>
      </c>
      <c r="B42">
        <v>5591</v>
      </c>
      <c r="C42">
        <v>1696</v>
      </c>
      <c r="D42">
        <v>3</v>
      </c>
      <c r="E42" t="s">
        <v>30</v>
      </c>
      <c r="F42" t="s">
        <v>31</v>
      </c>
      <c r="G42" t="s">
        <v>65</v>
      </c>
      <c r="H42" s="1">
        <v>45510</v>
      </c>
      <c r="I42" t="s">
        <v>113</v>
      </c>
      <c r="J42" t="s">
        <v>42</v>
      </c>
      <c r="K42" t="s">
        <v>92</v>
      </c>
      <c r="L42" t="s">
        <v>114</v>
      </c>
    </row>
    <row r="43" spans="1:12" x14ac:dyDescent="0.25">
      <c r="A43" t="s">
        <v>112</v>
      </c>
      <c r="B43">
        <v>5122</v>
      </c>
      <c r="C43">
        <v>2413</v>
      </c>
      <c r="D43">
        <v>12</v>
      </c>
      <c r="E43" t="s">
        <v>13</v>
      </c>
      <c r="F43" t="s">
        <v>14</v>
      </c>
      <c r="G43" t="s">
        <v>65</v>
      </c>
      <c r="H43" s="1">
        <v>45510</v>
      </c>
      <c r="I43" t="s">
        <v>113</v>
      </c>
      <c r="J43" t="s">
        <v>42</v>
      </c>
      <c r="K43" t="s">
        <v>92</v>
      </c>
      <c r="L43" t="s">
        <v>114</v>
      </c>
    </row>
    <row r="44" spans="1:12" x14ac:dyDescent="0.25">
      <c r="A44" t="s">
        <v>115</v>
      </c>
      <c r="B44">
        <v>8293</v>
      </c>
      <c r="C44">
        <v>2632</v>
      </c>
      <c r="D44">
        <v>8</v>
      </c>
      <c r="E44" t="s">
        <v>30</v>
      </c>
      <c r="F44" t="s">
        <v>78</v>
      </c>
      <c r="G44" t="s">
        <v>65</v>
      </c>
      <c r="H44" s="1">
        <v>44566</v>
      </c>
      <c r="I44" t="s">
        <v>116</v>
      </c>
      <c r="J44" t="s">
        <v>98</v>
      </c>
      <c r="K44" t="s">
        <v>117</v>
      </c>
      <c r="L44" t="s">
        <v>87</v>
      </c>
    </row>
    <row r="45" spans="1:12" x14ac:dyDescent="0.25">
      <c r="A45" t="s">
        <v>115</v>
      </c>
      <c r="B45">
        <v>8293</v>
      </c>
      <c r="C45">
        <v>2632</v>
      </c>
      <c r="D45">
        <v>8</v>
      </c>
      <c r="E45" t="s">
        <v>30</v>
      </c>
      <c r="F45" t="s">
        <v>78</v>
      </c>
      <c r="G45" t="s">
        <v>65</v>
      </c>
      <c r="H45" s="1">
        <v>44121</v>
      </c>
      <c r="I45" t="s">
        <v>118</v>
      </c>
      <c r="J45" t="s">
        <v>25</v>
      </c>
      <c r="K45" t="s">
        <v>68</v>
      </c>
      <c r="L45" t="s">
        <v>119</v>
      </c>
    </row>
    <row r="46" spans="1:12" x14ac:dyDescent="0.25">
      <c r="A46" t="s">
        <v>115</v>
      </c>
      <c r="B46">
        <v>8293</v>
      </c>
      <c r="C46">
        <v>2632</v>
      </c>
      <c r="D46">
        <v>8</v>
      </c>
      <c r="E46" t="s">
        <v>30</v>
      </c>
      <c r="F46" t="s">
        <v>78</v>
      </c>
      <c r="G46" t="s">
        <v>65</v>
      </c>
      <c r="H46" s="1">
        <v>45159</v>
      </c>
      <c r="I46" t="s">
        <v>120</v>
      </c>
      <c r="J46" t="s">
        <v>42</v>
      </c>
      <c r="K46" t="s">
        <v>43</v>
      </c>
      <c r="L46" t="s">
        <v>121</v>
      </c>
    </row>
    <row r="47" spans="1:12" x14ac:dyDescent="0.25">
      <c r="A47" t="s">
        <v>115</v>
      </c>
      <c r="B47">
        <v>2863</v>
      </c>
      <c r="C47">
        <v>205</v>
      </c>
      <c r="D47">
        <v>17</v>
      </c>
      <c r="E47" t="s">
        <v>13</v>
      </c>
      <c r="F47" t="s">
        <v>82</v>
      </c>
      <c r="G47" t="s">
        <v>15</v>
      </c>
      <c r="H47" s="1">
        <v>44566</v>
      </c>
      <c r="I47" t="s">
        <v>116</v>
      </c>
      <c r="J47" t="s">
        <v>98</v>
      </c>
      <c r="K47" t="s">
        <v>117</v>
      </c>
      <c r="L47" t="s">
        <v>87</v>
      </c>
    </row>
    <row r="48" spans="1:12" x14ac:dyDescent="0.25">
      <c r="A48" t="s">
        <v>115</v>
      </c>
      <c r="B48">
        <v>2863</v>
      </c>
      <c r="C48">
        <v>205</v>
      </c>
      <c r="D48">
        <v>17</v>
      </c>
      <c r="E48" t="s">
        <v>13</v>
      </c>
      <c r="F48" t="s">
        <v>82</v>
      </c>
      <c r="G48" t="s">
        <v>15</v>
      </c>
      <c r="H48" s="1">
        <v>44121</v>
      </c>
      <c r="I48" t="s">
        <v>118</v>
      </c>
      <c r="J48" t="s">
        <v>25</v>
      </c>
      <c r="K48" t="s">
        <v>68</v>
      </c>
      <c r="L48" t="s">
        <v>119</v>
      </c>
    </row>
    <row r="49" spans="1:12" x14ac:dyDescent="0.25">
      <c r="A49" t="s">
        <v>115</v>
      </c>
      <c r="B49">
        <v>2863</v>
      </c>
      <c r="C49">
        <v>205</v>
      </c>
      <c r="D49">
        <v>17</v>
      </c>
      <c r="E49" t="s">
        <v>13</v>
      </c>
      <c r="F49" t="s">
        <v>82</v>
      </c>
      <c r="G49" t="s">
        <v>15</v>
      </c>
      <c r="H49" s="1">
        <v>45159</v>
      </c>
      <c r="I49" t="s">
        <v>120</v>
      </c>
      <c r="J49" t="s">
        <v>42</v>
      </c>
      <c r="K49" t="s">
        <v>43</v>
      </c>
      <c r="L49" t="s">
        <v>121</v>
      </c>
    </row>
    <row r="50" spans="1:12" x14ac:dyDescent="0.25">
      <c r="A50" t="s">
        <v>122</v>
      </c>
      <c r="B50">
        <v>3090</v>
      </c>
      <c r="C50">
        <v>573</v>
      </c>
      <c r="D50">
        <v>6</v>
      </c>
      <c r="E50" t="s">
        <v>45</v>
      </c>
      <c r="F50" t="s">
        <v>46</v>
      </c>
      <c r="G50" t="s">
        <v>40</v>
      </c>
      <c r="H50" s="1">
        <v>45653</v>
      </c>
      <c r="I50" t="s">
        <v>123</v>
      </c>
      <c r="J50" t="s">
        <v>42</v>
      </c>
      <c r="K50" t="s">
        <v>75</v>
      </c>
      <c r="L50" t="s">
        <v>23</v>
      </c>
    </row>
    <row r="51" spans="1:12" x14ac:dyDescent="0.25">
      <c r="A51" t="s">
        <v>122</v>
      </c>
      <c r="B51">
        <v>3090</v>
      </c>
      <c r="C51">
        <v>573</v>
      </c>
      <c r="D51">
        <v>6</v>
      </c>
      <c r="E51" t="s">
        <v>45</v>
      </c>
      <c r="F51" t="s">
        <v>46</v>
      </c>
      <c r="G51" t="s">
        <v>40</v>
      </c>
      <c r="H51" s="1">
        <v>44365</v>
      </c>
      <c r="I51" t="s">
        <v>124</v>
      </c>
      <c r="J51" t="s">
        <v>98</v>
      </c>
      <c r="K51" t="s">
        <v>107</v>
      </c>
      <c r="L51" t="s">
        <v>125</v>
      </c>
    </row>
    <row r="52" spans="1:12" x14ac:dyDescent="0.25">
      <c r="A52" t="s">
        <v>122</v>
      </c>
      <c r="B52">
        <v>3090</v>
      </c>
      <c r="C52">
        <v>573</v>
      </c>
      <c r="D52">
        <v>6</v>
      </c>
      <c r="E52" t="s">
        <v>45</v>
      </c>
      <c r="F52" t="s">
        <v>46</v>
      </c>
      <c r="G52" t="s">
        <v>40</v>
      </c>
      <c r="H52" s="1">
        <v>45073</v>
      </c>
      <c r="I52" t="s">
        <v>126</v>
      </c>
      <c r="J52" t="s">
        <v>71</v>
      </c>
      <c r="K52" t="s">
        <v>86</v>
      </c>
      <c r="L52" t="s">
        <v>127</v>
      </c>
    </row>
    <row r="53" spans="1:12" x14ac:dyDescent="0.25">
      <c r="A53" t="s">
        <v>122</v>
      </c>
      <c r="B53">
        <v>3090</v>
      </c>
      <c r="C53">
        <v>573</v>
      </c>
      <c r="D53">
        <v>6</v>
      </c>
      <c r="E53" t="s">
        <v>45</v>
      </c>
      <c r="F53" t="s">
        <v>46</v>
      </c>
      <c r="G53" t="s">
        <v>40</v>
      </c>
      <c r="H53" s="1">
        <v>44481</v>
      </c>
      <c r="I53" t="s">
        <v>128</v>
      </c>
      <c r="J53" t="s">
        <v>71</v>
      </c>
      <c r="K53" t="s">
        <v>72</v>
      </c>
      <c r="L53" t="s">
        <v>37</v>
      </c>
    </row>
    <row r="54" spans="1:12" x14ac:dyDescent="0.25">
      <c r="A54" t="s">
        <v>122</v>
      </c>
      <c r="B54">
        <v>9683</v>
      </c>
      <c r="C54">
        <v>1014</v>
      </c>
      <c r="D54">
        <v>5</v>
      </c>
      <c r="E54" t="s">
        <v>13</v>
      </c>
      <c r="F54" t="s">
        <v>28</v>
      </c>
      <c r="G54" t="s">
        <v>15</v>
      </c>
      <c r="H54" s="1">
        <v>45653</v>
      </c>
      <c r="I54" t="s">
        <v>123</v>
      </c>
      <c r="J54" t="s">
        <v>42</v>
      </c>
      <c r="K54" t="s">
        <v>75</v>
      </c>
      <c r="L54" t="s">
        <v>23</v>
      </c>
    </row>
    <row r="55" spans="1:12" x14ac:dyDescent="0.25">
      <c r="A55" t="s">
        <v>122</v>
      </c>
      <c r="B55">
        <v>9683</v>
      </c>
      <c r="C55">
        <v>1014</v>
      </c>
      <c r="D55">
        <v>5</v>
      </c>
      <c r="E55" t="s">
        <v>13</v>
      </c>
      <c r="F55" t="s">
        <v>28</v>
      </c>
      <c r="G55" t="s">
        <v>15</v>
      </c>
      <c r="H55" s="1">
        <v>44365</v>
      </c>
      <c r="I55" t="s">
        <v>124</v>
      </c>
      <c r="J55" t="s">
        <v>98</v>
      </c>
      <c r="K55" t="s">
        <v>107</v>
      </c>
      <c r="L55" t="s">
        <v>125</v>
      </c>
    </row>
    <row r="56" spans="1:12" x14ac:dyDescent="0.25">
      <c r="A56" t="s">
        <v>122</v>
      </c>
      <c r="B56">
        <v>9683</v>
      </c>
      <c r="C56">
        <v>1014</v>
      </c>
      <c r="D56">
        <v>5</v>
      </c>
      <c r="E56" t="s">
        <v>13</v>
      </c>
      <c r="F56" t="s">
        <v>28</v>
      </c>
      <c r="G56" t="s">
        <v>15</v>
      </c>
      <c r="H56" s="1">
        <v>45073</v>
      </c>
      <c r="I56" t="s">
        <v>126</v>
      </c>
      <c r="J56" t="s">
        <v>71</v>
      </c>
      <c r="K56" t="s">
        <v>86</v>
      </c>
      <c r="L56" t="s">
        <v>127</v>
      </c>
    </row>
    <row r="57" spans="1:12" x14ac:dyDescent="0.25">
      <c r="A57" t="s">
        <v>122</v>
      </c>
      <c r="B57">
        <v>9683</v>
      </c>
      <c r="C57">
        <v>1014</v>
      </c>
      <c r="D57">
        <v>5</v>
      </c>
      <c r="E57" t="s">
        <v>13</v>
      </c>
      <c r="F57" t="s">
        <v>28</v>
      </c>
      <c r="G57" t="s">
        <v>15</v>
      </c>
      <c r="H57" s="1">
        <v>44481</v>
      </c>
      <c r="I57" t="s">
        <v>128</v>
      </c>
      <c r="J57" t="s">
        <v>71</v>
      </c>
      <c r="K57" t="s">
        <v>72</v>
      </c>
      <c r="L57" t="s">
        <v>37</v>
      </c>
    </row>
    <row r="58" spans="1:12" x14ac:dyDescent="0.25">
      <c r="A58" t="s">
        <v>129</v>
      </c>
      <c r="B58">
        <v>2463</v>
      </c>
      <c r="C58">
        <v>648</v>
      </c>
      <c r="D58">
        <v>18</v>
      </c>
      <c r="E58" t="s">
        <v>45</v>
      </c>
      <c r="F58" t="s">
        <v>46</v>
      </c>
      <c r="G58" t="s">
        <v>40</v>
      </c>
      <c r="H58" s="1">
        <v>44823</v>
      </c>
      <c r="I58" t="s">
        <v>130</v>
      </c>
      <c r="J58" t="s">
        <v>98</v>
      </c>
      <c r="K58" t="s">
        <v>107</v>
      </c>
      <c r="L58" t="s">
        <v>131</v>
      </c>
    </row>
    <row r="59" spans="1:12" x14ac:dyDescent="0.25">
      <c r="A59" t="s">
        <v>132</v>
      </c>
      <c r="B59">
        <v>7811</v>
      </c>
      <c r="C59">
        <v>1538</v>
      </c>
      <c r="D59">
        <v>12</v>
      </c>
      <c r="E59" t="s">
        <v>45</v>
      </c>
      <c r="F59" t="s">
        <v>60</v>
      </c>
      <c r="G59" t="s">
        <v>65</v>
      </c>
      <c r="H59" s="1">
        <v>44645</v>
      </c>
      <c r="I59" t="s">
        <v>133</v>
      </c>
      <c r="J59" t="s">
        <v>17</v>
      </c>
      <c r="K59" t="s">
        <v>18</v>
      </c>
      <c r="L59" t="s">
        <v>134</v>
      </c>
    </row>
    <row r="60" spans="1:12" x14ac:dyDescent="0.25">
      <c r="A60" t="s">
        <v>135</v>
      </c>
      <c r="B60">
        <v>6139</v>
      </c>
      <c r="C60">
        <v>451</v>
      </c>
      <c r="D60">
        <v>10</v>
      </c>
      <c r="E60" t="s">
        <v>45</v>
      </c>
      <c r="F60" t="s">
        <v>46</v>
      </c>
      <c r="G60" t="s">
        <v>32</v>
      </c>
      <c r="H60" s="1">
        <v>44618</v>
      </c>
      <c r="I60" t="s">
        <v>136</v>
      </c>
      <c r="J60" t="s">
        <v>17</v>
      </c>
      <c r="K60" t="s">
        <v>34</v>
      </c>
      <c r="L60" t="s">
        <v>137</v>
      </c>
    </row>
    <row r="61" spans="1:12" x14ac:dyDescent="0.25">
      <c r="A61" t="s">
        <v>135</v>
      </c>
      <c r="B61">
        <v>6139</v>
      </c>
      <c r="C61">
        <v>451</v>
      </c>
      <c r="D61">
        <v>10</v>
      </c>
      <c r="E61" t="s">
        <v>45</v>
      </c>
      <c r="F61" t="s">
        <v>46</v>
      </c>
      <c r="G61" t="s">
        <v>32</v>
      </c>
      <c r="H61" s="1">
        <v>44291</v>
      </c>
      <c r="I61" t="s">
        <v>91</v>
      </c>
      <c r="J61" t="s">
        <v>71</v>
      </c>
      <c r="K61" t="s">
        <v>138</v>
      </c>
      <c r="L61" t="s">
        <v>139</v>
      </c>
    </row>
    <row r="62" spans="1:12" x14ac:dyDescent="0.25">
      <c r="A62" t="s">
        <v>135</v>
      </c>
      <c r="B62">
        <v>8636</v>
      </c>
      <c r="C62">
        <v>3192</v>
      </c>
      <c r="D62">
        <v>3</v>
      </c>
      <c r="E62" t="s">
        <v>45</v>
      </c>
      <c r="F62" t="s">
        <v>49</v>
      </c>
      <c r="G62" t="s">
        <v>65</v>
      </c>
      <c r="H62" s="1">
        <v>44618</v>
      </c>
      <c r="I62" t="s">
        <v>136</v>
      </c>
      <c r="J62" t="s">
        <v>17</v>
      </c>
      <c r="K62" t="s">
        <v>34</v>
      </c>
      <c r="L62" t="s">
        <v>137</v>
      </c>
    </row>
    <row r="63" spans="1:12" x14ac:dyDescent="0.25">
      <c r="A63" t="s">
        <v>135</v>
      </c>
      <c r="B63">
        <v>8636</v>
      </c>
      <c r="C63">
        <v>3192</v>
      </c>
      <c r="D63">
        <v>3</v>
      </c>
      <c r="E63" t="s">
        <v>45</v>
      </c>
      <c r="F63" t="s">
        <v>49</v>
      </c>
      <c r="G63" t="s">
        <v>65</v>
      </c>
      <c r="H63" s="1">
        <v>44291</v>
      </c>
      <c r="I63" t="s">
        <v>91</v>
      </c>
      <c r="J63" t="s">
        <v>71</v>
      </c>
      <c r="K63" t="s">
        <v>138</v>
      </c>
      <c r="L63" t="s">
        <v>139</v>
      </c>
    </row>
    <row r="64" spans="1:12" x14ac:dyDescent="0.25">
      <c r="A64" t="s">
        <v>135</v>
      </c>
      <c r="B64">
        <v>4439</v>
      </c>
      <c r="C64">
        <v>1712</v>
      </c>
      <c r="D64">
        <v>19</v>
      </c>
      <c r="E64" t="s">
        <v>45</v>
      </c>
      <c r="F64" t="s">
        <v>60</v>
      </c>
      <c r="G64" t="s">
        <v>47</v>
      </c>
      <c r="H64" s="1">
        <v>44618</v>
      </c>
      <c r="I64" t="s">
        <v>136</v>
      </c>
      <c r="J64" t="s">
        <v>17</v>
      </c>
      <c r="K64" t="s">
        <v>34</v>
      </c>
      <c r="L64" t="s">
        <v>137</v>
      </c>
    </row>
    <row r="65" spans="1:12" x14ac:dyDescent="0.25">
      <c r="A65" t="s">
        <v>135</v>
      </c>
      <c r="B65">
        <v>4439</v>
      </c>
      <c r="C65">
        <v>1712</v>
      </c>
      <c r="D65">
        <v>19</v>
      </c>
      <c r="E65" t="s">
        <v>45</v>
      </c>
      <c r="F65" t="s">
        <v>60</v>
      </c>
      <c r="G65" t="s">
        <v>47</v>
      </c>
      <c r="H65" s="1">
        <v>44291</v>
      </c>
      <c r="I65" t="s">
        <v>91</v>
      </c>
      <c r="J65" t="s">
        <v>71</v>
      </c>
      <c r="K65" t="s">
        <v>138</v>
      </c>
      <c r="L65" t="s">
        <v>139</v>
      </c>
    </row>
    <row r="66" spans="1:12" x14ac:dyDescent="0.25">
      <c r="A66" t="s">
        <v>140</v>
      </c>
      <c r="B66">
        <v>1016</v>
      </c>
      <c r="C66">
        <v>172</v>
      </c>
      <c r="D66">
        <v>20</v>
      </c>
      <c r="E66" t="s">
        <v>45</v>
      </c>
      <c r="F66" t="s">
        <v>46</v>
      </c>
      <c r="G66" t="s">
        <v>32</v>
      </c>
      <c r="H66" s="1">
        <v>44151</v>
      </c>
      <c r="I66" t="s">
        <v>141</v>
      </c>
      <c r="J66" t="s">
        <v>25</v>
      </c>
      <c r="K66" t="s">
        <v>26</v>
      </c>
      <c r="L66" t="s">
        <v>80</v>
      </c>
    </row>
    <row r="67" spans="1:12" x14ac:dyDescent="0.25">
      <c r="A67" t="s">
        <v>140</v>
      </c>
      <c r="B67">
        <v>5768</v>
      </c>
      <c r="C67">
        <v>2059</v>
      </c>
      <c r="D67">
        <v>14</v>
      </c>
      <c r="E67" t="s">
        <v>45</v>
      </c>
      <c r="F67" t="s">
        <v>46</v>
      </c>
      <c r="G67" t="s">
        <v>15</v>
      </c>
      <c r="H67" s="1">
        <v>44151</v>
      </c>
      <c r="I67" t="s">
        <v>141</v>
      </c>
      <c r="J67" t="s">
        <v>25</v>
      </c>
      <c r="K67" t="s">
        <v>26</v>
      </c>
      <c r="L67" t="s">
        <v>80</v>
      </c>
    </row>
    <row r="68" spans="1:12" x14ac:dyDescent="0.25">
      <c r="A68" t="s">
        <v>140</v>
      </c>
      <c r="B68">
        <v>1217</v>
      </c>
      <c r="C68">
        <v>151</v>
      </c>
      <c r="D68">
        <v>3</v>
      </c>
      <c r="E68" t="s">
        <v>45</v>
      </c>
      <c r="F68" t="s">
        <v>46</v>
      </c>
      <c r="G68" t="s">
        <v>47</v>
      </c>
      <c r="H68" s="1">
        <v>44151</v>
      </c>
      <c r="I68" t="s">
        <v>141</v>
      </c>
      <c r="J68" t="s">
        <v>25</v>
      </c>
      <c r="K68" t="s">
        <v>26</v>
      </c>
      <c r="L68" t="s">
        <v>80</v>
      </c>
    </row>
    <row r="69" spans="1:12" x14ac:dyDescent="0.25">
      <c r="A69" t="s">
        <v>142</v>
      </c>
      <c r="B69">
        <v>953</v>
      </c>
      <c r="C69">
        <v>93</v>
      </c>
      <c r="D69">
        <v>2</v>
      </c>
      <c r="E69" t="s">
        <v>30</v>
      </c>
      <c r="F69" t="s">
        <v>64</v>
      </c>
      <c r="G69" t="s">
        <v>32</v>
      </c>
      <c r="H69" s="1">
        <v>45638</v>
      </c>
      <c r="I69" t="s">
        <v>143</v>
      </c>
      <c r="J69" t="s">
        <v>98</v>
      </c>
      <c r="K69" t="s">
        <v>117</v>
      </c>
      <c r="L69" t="s">
        <v>23</v>
      </c>
    </row>
    <row r="70" spans="1:12" x14ac:dyDescent="0.25">
      <c r="A70" t="s">
        <v>142</v>
      </c>
      <c r="B70">
        <v>953</v>
      </c>
      <c r="C70">
        <v>93</v>
      </c>
      <c r="D70">
        <v>2</v>
      </c>
      <c r="E70" t="s">
        <v>30</v>
      </c>
      <c r="F70" t="s">
        <v>64</v>
      </c>
      <c r="G70" t="s">
        <v>32</v>
      </c>
      <c r="H70" s="1">
        <v>45022</v>
      </c>
      <c r="I70" t="s">
        <v>144</v>
      </c>
      <c r="J70" t="s">
        <v>42</v>
      </c>
      <c r="K70" t="s">
        <v>43</v>
      </c>
      <c r="L70" t="s">
        <v>145</v>
      </c>
    </row>
    <row r="71" spans="1:12" x14ac:dyDescent="0.25">
      <c r="A71" t="s">
        <v>142</v>
      </c>
      <c r="B71">
        <v>7355</v>
      </c>
      <c r="C71">
        <v>1034</v>
      </c>
      <c r="D71">
        <v>3</v>
      </c>
      <c r="E71" t="s">
        <v>45</v>
      </c>
      <c r="F71" t="s">
        <v>60</v>
      </c>
      <c r="G71" t="s">
        <v>65</v>
      </c>
      <c r="H71" s="1">
        <v>45638</v>
      </c>
      <c r="I71" t="s">
        <v>143</v>
      </c>
      <c r="J71" t="s">
        <v>98</v>
      </c>
      <c r="K71" t="s">
        <v>117</v>
      </c>
      <c r="L71" t="s">
        <v>23</v>
      </c>
    </row>
    <row r="72" spans="1:12" x14ac:dyDescent="0.25">
      <c r="A72" t="s">
        <v>142</v>
      </c>
      <c r="B72">
        <v>7355</v>
      </c>
      <c r="C72">
        <v>1034</v>
      </c>
      <c r="D72">
        <v>3</v>
      </c>
      <c r="E72" t="s">
        <v>45</v>
      </c>
      <c r="F72" t="s">
        <v>60</v>
      </c>
      <c r="G72" t="s">
        <v>65</v>
      </c>
      <c r="H72" s="1">
        <v>45022</v>
      </c>
      <c r="I72" t="s">
        <v>144</v>
      </c>
      <c r="J72" t="s">
        <v>42</v>
      </c>
      <c r="K72" t="s">
        <v>43</v>
      </c>
      <c r="L72" t="s">
        <v>145</v>
      </c>
    </row>
    <row r="73" spans="1:12" x14ac:dyDescent="0.25">
      <c r="A73" t="s">
        <v>142</v>
      </c>
      <c r="B73">
        <v>1843</v>
      </c>
      <c r="C73">
        <v>248</v>
      </c>
      <c r="D73">
        <v>3</v>
      </c>
      <c r="E73" t="s">
        <v>13</v>
      </c>
      <c r="F73" t="s">
        <v>82</v>
      </c>
      <c r="G73" t="s">
        <v>47</v>
      </c>
      <c r="H73" s="1">
        <v>45638</v>
      </c>
      <c r="I73" t="s">
        <v>143</v>
      </c>
      <c r="J73" t="s">
        <v>98</v>
      </c>
      <c r="K73" t="s">
        <v>117</v>
      </c>
      <c r="L73" t="s">
        <v>23</v>
      </c>
    </row>
    <row r="74" spans="1:12" x14ac:dyDescent="0.25">
      <c r="A74" t="s">
        <v>142</v>
      </c>
      <c r="B74">
        <v>1843</v>
      </c>
      <c r="C74">
        <v>248</v>
      </c>
      <c r="D74">
        <v>3</v>
      </c>
      <c r="E74" t="s">
        <v>13</v>
      </c>
      <c r="F74" t="s">
        <v>82</v>
      </c>
      <c r="G74" t="s">
        <v>47</v>
      </c>
      <c r="H74" s="1">
        <v>45022</v>
      </c>
      <c r="I74" t="s">
        <v>144</v>
      </c>
      <c r="J74" t="s">
        <v>42</v>
      </c>
      <c r="K74" t="s">
        <v>43</v>
      </c>
      <c r="L74" t="s">
        <v>145</v>
      </c>
    </row>
    <row r="75" spans="1:12" x14ac:dyDescent="0.25">
      <c r="A75" t="s">
        <v>142</v>
      </c>
      <c r="B75">
        <v>1603</v>
      </c>
      <c r="C75">
        <v>361</v>
      </c>
      <c r="D75">
        <v>10</v>
      </c>
      <c r="E75" t="s">
        <v>30</v>
      </c>
      <c r="F75" t="s">
        <v>31</v>
      </c>
      <c r="G75" t="s">
        <v>32</v>
      </c>
      <c r="H75" s="1">
        <v>45638</v>
      </c>
      <c r="I75" t="s">
        <v>143</v>
      </c>
      <c r="J75" t="s">
        <v>98</v>
      </c>
      <c r="K75" t="s">
        <v>117</v>
      </c>
      <c r="L75" t="s">
        <v>23</v>
      </c>
    </row>
    <row r="76" spans="1:12" x14ac:dyDescent="0.25">
      <c r="A76" t="s">
        <v>142</v>
      </c>
      <c r="B76">
        <v>1603</v>
      </c>
      <c r="C76">
        <v>361</v>
      </c>
      <c r="D76">
        <v>10</v>
      </c>
      <c r="E76" t="s">
        <v>30</v>
      </c>
      <c r="F76" t="s">
        <v>31</v>
      </c>
      <c r="G76" t="s">
        <v>32</v>
      </c>
      <c r="H76" s="1">
        <v>45022</v>
      </c>
      <c r="I76" t="s">
        <v>144</v>
      </c>
      <c r="J76" t="s">
        <v>42</v>
      </c>
      <c r="K76" t="s">
        <v>43</v>
      </c>
      <c r="L76" t="s">
        <v>145</v>
      </c>
    </row>
    <row r="77" spans="1:12" x14ac:dyDescent="0.25">
      <c r="A77" t="s">
        <v>146</v>
      </c>
      <c r="B77">
        <v>2025</v>
      </c>
      <c r="C77">
        <v>528</v>
      </c>
      <c r="D77">
        <v>1</v>
      </c>
      <c r="E77" t="s">
        <v>30</v>
      </c>
      <c r="F77" t="s">
        <v>31</v>
      </c>
      <c r="G77" t="s">
        <v>47</v>
      </c>
      <c r="H77" s="1">
        <v>45319</v>
      </c>
      <c r="I77" t="s">
        <v>147</v>
      </c>
      <c r="J77" t="s">
        <v>17</v>
      </c>
      <c r="K77" t="s">
        <v>18</v>
      </c>
      <c r="L77" t="s">
        <v>76</v>
      </c>
    </row>
    <row r="78" spans="1:12" x14ac:dyDescent="0.25">
      <c r="A78" t="s">
        <v>146</v>
      </c>
      <c r="B78">
        <v>6800</v>
      </c>
      <c r="C78">
        <v>167</v>
      </c>
      <c r="D78">
        <v>16</v>
      </c>
      <c r="E78" t="s">
        <v>30</v>
      </c>
      <c r="F78" t="s">
        <v>78</v>
      </c>
      <c r="G78" t="s">
        <v>40</v>
      </c>
      <c r="H78" s="1">
        <v>45319</v>
      </c>
      <c r="I78" t="s">
        <v>147</v>
      </c>
      <c r="J78" t="s">
        <v>17</v>
      </c>
      <c r="K78" t="s">
        <v>18</v>
      </c>
      <c r="L78" t="s">
        <v>76</v>
      </c>
    </row>
    <row r="79" spans="1:12" x14ac:dyDescent="0.25">
      <c r="A79" t="s">
        <v>148</v>
      </c>
      <c r="B79">
        <v>1126</v>
      </c>
      <c r="C79">
        <v>55</v>
      </c>
      <c r="D79">
        <v>1</v>
      </c>
      <c r="E79" t="s">
        <v>45</v>
      </c>
      <c r="F79" t="s">
        <v>109</v>
      </c>
      <c r="G79" t="s">
        <v>15</v>
      </c>
      <c r="H79" s="1">
        <v>44577</v>
      </c>
      <c r="I79" t="s">
        <v>149</v>
      </c>
      <c r="J79" t="s">
        <v>17</v>
      </c>
      <c r="K79" t="s">
        <v>150</v>
      </c>
      <c r="L79" t="s">
        <v>87</v>
      </c>
    </row>
    <row r="80" spans="1:12" x14ac:dyDescent="0.25">
      <c r="A80" t="s">
        <v>148</v>
      </c>
      <c r="B80">
        <v>1126</v>
      </c>
      <c r="C80">
        <v>55</v>
      </c>
      <c r="D80">
        <v>1</v>
      </c>
      <c r="E80" t="s">
        <v>45</v>
      </c>
      <c r="F80" t="s">
        <v>109</v>
      </c>
      <c r="G80" t="s">
        <v>15</v>
      </c>
      <c r="H80" s="1">
        <v>44911</v>
      </c>
      <c r="I80" t="s">
        <v>151</v>
      </c>
      <c r="J80" t="s">
        <v>25</v>
      </c>
      <c r="K80" t="s">
        <v>26</v>
      </c>
      <c r="L80" t="s">
        <v>152</v>
      </c>
    </row>
    <row r="81" spans="1:12" x14ac:dyDescent="0.25">
      <c r="A81" t="s">
        <v>153</v>
      </c>
      <c r="B81">
        <v>7533</v>
      </c>
      <c r="C81">
        <v>3508</v>
      </c>
      <c r="D81">
        <v>12</v>
      </c>
      <c r="E81" t="s">
        <v>45</v>
      </c>
      <c r="F81" t="s">
        <v>46</v>
      </c>
      <c r="G81" t="s">
        <v>15</v>
      </c>
      <c r="H81" s="1">
        <v>45120</v>
      </c>
      <c r="I81" t="s">
        <v>154</v>
      </c>
      <c r="J81" t="s">
        <v>42</v>
      </c>
      <c r="K81" t="s">
        <v>75</v>
      </c>
      <c r="L81" t="s">
        <v>105</v>
      </c>
    </row>
    <row r="82" spans="1:12" x14ac:dyDescent="0.25">
      <c r="A82" t="s">
        <v>153</v>
      </c>
      <c r="B82">
        <v>4734</v>
      </c>
      <c r="C82">
        <v>1178</v>
      </c>
      <c r="D82">
        <v>16</v>
      </c>
      <c r="E82" t="s">
        <v>30</v>
      </c>
      <c r="F82" t="s">
        <v>78</v>
      </c>
      <c r="G82" t="s">
        <v>47</v>
      </c>
      <c r="H82" s="1">
        <v>45120</v>
      </c>
      <c r="I82" t="s">
        <v>154</v>
      </c>
      <c r="J82" t="s">
        <v>42</v>
      </c>
      <c r="K82" t="s">
        <v>75</v>
      </c>
      <c r="L82" t="s">
        <v>105</v>
      </c>
    </row>
    <row r="83" spans="1:12" x14ac:dyDescent="0.25">
      <c r="A83" t="s">
        <v>153</v>
      </c>
      <c r="B83">
        <v>4074</v>
      </c>
      <c r="C83">
        <v>1175</v>
      </c>
      <c r="D83">
        <v>6</v>
      </c>
      <c r="E83" t="s">
        <v>13</v>
      </c>
      <c r="F83" t="s">
        <v>14</v>
      </c>
      <c r="G83" t="s">
        <v>32</v>
      </c>
      <c r="H83" s="1">
        <v>45120</v>
      </c>
      <c r="I83" t="s">
        <v>154</v>
      </c>
      <c r="J83" t="s">
        <v>42</v>
      </c>
      <c r="K83" t="s">
        <v>75</v>
      </c>
      <c r="L83" t="s">
        <v>105</v>
      </c>
    </row>
    <row r="84" spans="1:12" x14ac:dyDescent="0.25">
      <c r="A84" t="s">
        <v>153</v>
      </c>
      <c r="B84">
        <v>2334</v>
      </c>
      <c r="C84">
        <v>484</v>
      </c>
      <c r="D84">
        <v>3</v>
      </c>
      <c r="E84" t="s">
        <v>45</v>
      </c>
      <c r="F84" t="s">
        <v>60</v>
      </c>
      <c r="G84" t="s">
        <v>47</v>
      </c>
      <c r="H84" s="1">
        <v>45120</v>
      </c>
      <c r="I84" t="s">
        <v>154</v>
      </c>
      <c r="J84" t="s">
        <v>42</v>
      </c>
      <c r="K84" t="s">
        <v>75</v>
      </c>
      <c r="L84" t="s">
        <v>105</v>
      </c>
    </row>
    <row r="85" spans="1:12" x14ac:dyDescent="0.25">
      <c r="A85" t="s">
        <v>155</v>
      </c>
      <c r="B85">
        <v>2750</v>
      </c>
      <c r="C85">
        <v>1239</v>
      </c>
      <c r="D85">
        <v>11</v>
      </c>
      <c r="E85" t="s">
        <v>13</v>
      </c>
      <c r="F85" t="s">
        <v>82</v>
      </c>
      <c r="G85" t="s">
        <v>32</v>
      </c>
      <c r="H85" s="1">
        <v>45726</v>
      </c>
      <c r="I85" t="s">
        <v>156</v>
      </c>
      <c r="J85" t="s">
        <v>25</v>
      </c>
      <c r="K85" t="s">
        <v>26</v>
      </c>
      <c r="L85" t="s">
        <v>157</v>
      </c>
    </row>
    <row r="86" spans="1:12" x14ac:dyDescent="0.25">
      <c r="A86" t="s">
        <v>155</v>
      </c>
      <c r="B86">
        <v>2750</v>
      </c>
      <c r="C86">
        <v>1239</v>
      </c>
      <c r="D86">
        <v>11</v>
      </c>
      <c r="E86" t="s">
        <v>13</v>
      </c>
      <c r="F86" t="s">
        <v>82</v>
      </c>
      <c r="G86" t="s">
        <v>32</v>
      </c>
      <c r="H86" s="1">
        <v>45559</v>
      </c>
      <c r="I86" t="s">
        <v>158</v>
      </c>
      <c r="J86" t="s">
        <v>98</v>
      </c>
      <c r="K86" t="s">
        <v>117</v>
      </c>
      <c r="L86" t="s">
        <v>159</v>
      </c>
    </row>
    <row r="87" spans="1:12" x14ac:dyDescent="0.25">
      <c r="A87" t="s">
        <v>155</v>
      </c>
      <c r="B87">
        <v>8639</v>
      </c>
      <c r="C87">
        <v>3104</v>
      </c>
      <c r="D87">
        <v>19</v>
      </c>
      <c r="E87" t="s">
        <v>30</v>
      </c>
      <c r="F87" t="s">
        <v>31</v>
      </c>
      <c r="G87" t="s">
        <v>40</v>
      </c>
      <c r="H87" s="1">
        <v>45726</v>
      </c>
      <c r="I87" t="s">
        <v>156</v>
      </c>
      <c r="J87" t="s">
        <v>25</v>
      </c>
      <c r="K87" t="s">
        <v>26</v>
      </c>
      <c r="L87" t="s">
        <v>157</v>
      </c>
    </row>
    <row r="88" spans="1:12" x14ac:dyDescent="0.25">
      <c r="A88" t="s">
        <v>155</v>
      </c>
      <c r="B88">
        <v>8639</v>
      </c>
      <c r="C88">
        <v>3104</v>
      </c>
      <c r="D88">
        <v>19</v>
      </c>
      <c r="E88" t="s">
        <v>30</v>
      </c>
      <c r="F88" t="s">
        <v>31</v>
      </c>
      <c r="G88" t="s">
        <v>40</v>
      </c>
      <c r="H88" s="1">
        <v>45559</v>
      </c>
      <c r="I88" t="s">
        <v>158</v>
      </c>
      <c r="J88" t="s">
        <v>98</v>
      </c>
      <c r="K88" t="s">
        <v>117</v>
      </c>
      <c r="L88" t="s">
        <v>159</v>
      </c>
    </row>
    <row r="89" spans="1:12" x14ac:dyDescent="0.25">
      <c r="A89" t="s">
        <v>160</v>
      </c>
      <c r="B89">
        <v>3808</v>
      </c>
      <c r="C89">
        <v>1192</v>
      </c>
      <c r="D89">
        <v>4</v>
      </c>
      <c r="E89" t="s">
        <v>30</v>
      </c>
      <c r="F89" t="s">
        <v>57</v>
      </c>
      <c r="G89" t="s">
        <v>15</v>
      </c>
      <c r="H89" s="1">
        <v>43934</v>
      </c>
      <c r="I89" t="s">
        <v>161</v>
      </c>
      <c r="J89" t="s">
        <v>25</v>
      </c>
      <c r="K89" t="s">
        <v>51</v>
      </c>
      <c r="L89" t="s">
        <v>162</v>
      </c>
    </row>
    <row r="90" spans="1:12" x14ac:dyDescent="0.25">
      <c r="A90" t="s">
        <v>160</v>
      </c>
      <c r="B90">
        <v>2588</v>
      </c>
      <c r="C90">
        <v>705</v>
      </c>
      <c r="D90">
        <v>16</v>
      </c>
      <c r="E90" t="s">
        <v>30</v>
      </c>
      <c r="F90" t="s">
        <v>31</v>
      </c>
      <c r="G90" t="s">
        <v>47</v>
      </c>
      <c r="H90" s="1">
        <v>43934</v>
      </c>
      <c r="I90" t="s">
        <v>161</v>
      </c>
      <c r="J90" t="s">
        <v>25</v>
      </c>
      <c r="K90" t="s">
        <v>51</v>
      </c>
      <c r="L90" t="s">
        <v>162</v>
      </c>
    </row>
    <row r="91" spans="1:12" x14ac:dyDescent="0.25">
      <c r="A91" t="s">
        <v>163</v>
      </c>
      <c r="B91">
        <v>1591</v>
      </c>
      <c r="C91">
        <v>727</v>
      </c>
      <c r="D91">
        <v>5</v>
      </c>
      <c r="E91" t="s">
        <v>13</v>
      </c>
      <c r="F91" t="s">
        <v>14</v>
      </c>
      <c r="G91" t="s">
        <v>47</v>
      </c>
      <c r="H91" s="1">
        <v>44739</v>
      </c>
      <c r="I91" t="s">
        <v>164</v>
      </c>
      <c r="J91" t="s">
        <v>21</v>
      </c>
      <c r="K91" t="s">
        <v>63</v>
      </c>
      <c r="L91" t="s">
        <v>165</v>
      </c>
    </row>
    <row r="92" spans="1:12" x14ac:dyDescent="0.25">
      <c r="A92" t="s">
        <v>163</v>
      </c>
      <c r="B92">
        <v>1591</v>
      </c>
      <c r="C92">
        <v>727</v>
      </c>
      <c r="D92">
        <v>5</v>
      </c>
      <c r="E92" t="s">
        <v>13</v>
      </c>
      <c r="F92" t="s">
        <v>14</v>
      </c>
      <c r="G92" t="s">
        <v>47</v>
      </c>
      <c r="H92" s="1">
        <v>44269</v>
      </c>
      <c r="I92" t="s">
        <v>166</v>
      </c>
      <c r="J92" t="s">
        <v>17</v>
      </c>
      <c r="K92" t="s">
        <v>150</v>
      </c>
      <c r="L92" t="s">
        <v>167</v>
      </c>
    </row>
    <row r="93" spans="1:12" x14ac:dyDescent="0.25">
      <c r="A93" t="s">
        <v>163</v>
      </c>
      <c r="B93">
        <v>1591</v>
      </c>
      <c r="C93">
        <v>727</v>
      </c>
      <c r="D93">
        <v>5</v>
      </c>
      <c r="E93" t="s">
        <v>13</v>
      </c>
      <c r="F93" t="s">
        <v>14</v>
      </c>
      <c r="G93" t="s">
        <v>47</v>
      </c>
      <c r="H93" s="1">
        <v>44615</v>
      </c>
      <c r="I93" t="s">
        <v>168</v>
      </c>
      <c r="J93" t="s">
        <v>98</v>
      </c>
      <c r="K93" t="s">
        <v>107</v>
      </c>
      <c r="L93" t="s">
        <v>137</v>
      </c>
    </row>
    <row r="94" spans="1:12" x14ac:dyDescent="0.25">
      <c r="A94" t="s">
        <v>169</v>
      </c>
      <c r="B94">
        <v>1757</v>
      </c>
      <c r="C94">
        <v>622</v>
      </c>
      <c r="D94">
        <v>10</v>
      </c>
      <c r="E94" t="s">
        <v>45</v>
      </c>
      <c r="F94" t="s">
        <v>49</v>
      </c>
      <c r="G94" t="s">
        <v>15</v>
      </c>
      <c r="H94" s="1">
        <v>44649</v>
      </c>
      <c r="I94" t="s">
        <v>170</v>
      </c>
      <c r="J94" t="s">
        <v>98</v>
      </c>
      <c r="K94" t="s">
        <v>117</v>
      </c>
      <c r="L94" t="s">
        <v>134</v>
      </c>
    </row>
    <row r="95" spans="1:12" x14ac:dyDescent="0.25">
      <c r="A95" t="s">
        <v>169</v>
      </c>
      <c r="B95">
        <v>1757</v>
      </c>
      <c r="C95">
        <v>622</v>
      </c>
      <c r="D95">
        <v>10</v>
      </c>
      <c r="E95" t="s">
        <v>45</v>
      </c>
      <c r="F95" t="s">
        <v>49</v>
      </c>
      <c r="G95" t="s">
        <v>15</v>
      </c>
      <c r="H95" s="1">
        <v>44885</v>
      </c>
      <c r="I95" t="s">
        <v>171</v>
      </c>
      <c r="J95" t="s">
        <v>21</v>
      </c>
      <c r="K95" t="s">
        <v>172</v>
      </c>
      <c r="L95" t="s">
        <v>44</v>
      </c>
    </row>
    <row r="96" spans="1:12" x14ac:dyDescent="0.25">
      <c r="A96" t="s">
        <v>173</v>
      </c>
      <c r="B96">
        <v>6940</v>
      </c>
      <c r="C96">
        <v>253</v>
      </c>
      <c r="D96">
        <v>15</v>
      </c>
      <c r="E96" t="s">
        <v>45</v>
      </c>
      <c r="F96" t="s">
        <v>109</v>
      </c>
      <c r="G96" t="s">
        <v>32</v>
      </c>
      <c r="H96" s="1">
        <v>44512</v>
      </c>
      <c r="I96" t="s">
        <v>174</v>
      </c>
      <c r="J96" t="s">
        <v>17</v>
      </c>
      <c r="K96" t="s">
        <v>34</v>
      </c>
      <c r="L96" t="s">
        <v>175</v>
      </c>
    </row>
    <row r="97" spans="1:12" x14ac:dyDescent="0.25">
      <c r="A97" t="s">
        <v>173</v>
      </c>
      <c r="B97">
        <v>5105</v>
      </c>
      <c r="C97">
        <v>465</v>
      </c>
      <c r="D97">
        <v>5</v>
      </c>
      <c r="E97" t="s">
        <v>13</v>
      </c>
      <c r="F97" t="s">
        <v>28</v>
      </c>
      <c r="G97" t="s">
        <v>15</v>
      </c>
      <c r="H97" s="1">
        <v>44512</v>
      </c>
      <c r="I97" t="s">
        <v>174</v>
      </c>
      <c r="J97" t="s">
        <v>17</v>
      </c>
      <c r="K97" t="s">
        <v>34</v>
      </c>
      <c r="L97" t="s">
        <v>175</v>
      </c>
    </row>
    <row r="98" spans="1:12" x14ac:dyDescent="0.25">
      <c r="A98" t="s">
        <v>176</v>
      </c>
      <c r="B98">
        <v>5578</v>
      </c>
      <c r="C98">
        <v>277</v>
      </c>
      <c r="D98">
        <v>16</v>
      </c>
      <c r="E98" t="s">
        <v>45</v>
      </c>
      <c r="F98" t="s">
        <v>46</v>
      </c>
      <c r="G98" t="s">
        <v>65</v>
      </c>
      <c r="H98" s="1">
        <v>44425</v>
      </c>
      <c r="I98" t="s">
        <v>177</v>
      </c>
      <c r="J98" t="s">
        <v>17</v>
      </c>
      <c r="K98" t="s">
        <v>18</v>
      </c>
      <c r="L98" t="s">
        <v>178</v>
      </c>
    </row>
    <row r="99" spans="1:12" x14ac:dyDescent="0.25">
      <c r="A99" t="s">
        <v>176</v>
      </c>
      <c r="B99">
        <v>5578</v>
      </c>
      <c r="C99">
        <v>277</v>
      </c>
      <c r="D99">
        <v>16</v>
      </c>
      <c r="E99" t="s">
        <v>45</v>
      </c>
      <c r="F99" t="s">
        <v>46</v>
      </c>
      <c r="G99" t="s">
        <v>65</v>
      </c>
      <c r="H99" s="1">
        <v>44697</v>
      </c>
      <c r="I99" t="s">
        <v>179</v>
      </c>
      <c r="J99" t="s">
        <v>98</v>
      </c>
      <c r="K99" t="s">
        <v>99</v>
      </c>
      <c r="L99" t="s">
        <v>180</v>
      </c>
    </row>
    <row r="100" spans="1:12" x14ac:dyDescent="0.25">
      <c r="A100" t="s">
        <v>181</v>
      </c>
      <c r="B100">
        <v>5224</v>
      </c>
      <c r="C100">
        <v>1958</v>
      </c>
      <c r="D100">
        <v>16</v>
      </c>
      <c r="E100" t="s">
        <v>45</v>
      </c>
      <c r="F100" t="s">
        <v>49</v>
      </c>
      <c r="G100" t="s">
        <v>47</v>
      </c>
      <c r="H100" s="1">
        <v>45123</v>
      </c>
      <c r="I100" t="s">
        <v>182</v>
      </c>
      <c r="J100" t="s">
        <v>71</v>
      </c>
      <c r="K100" t="s">
        <v>138</v>
      </c>
      <c r="L100" t="s">
        <v>105</v>
      </c>
    </row>
    <row r="101" spans="1:12" x14ac:dyDescent="0.25">
      <c r="A101" t="s">
        <v>181</v>
      </c>
      <c r="B101">
        <v>5002</v>
      </c>
      <c r="C101">
        <v>1801</v>
      </c>
      <c r="D101">
        <v>11</v>
      </c>
      <c r="E101" t="s">
        <v>30</v>
      </c>
      <c r="F101" t="s">
        <v>57</v>
      </c>
      <c r="G101" t="s">
        <v>47</v>
      </c>
      <c r="H101" s="1">
        <v>45123</v>
      </c>
      <c r="I101" t="s">
        <v>182</v>
      </c>
      <c r="J101" t="s">
        <v>71</v>
      </c>
      <c r="K101" t="s">
        <v>138</v>
      </c>
      <c r="L101" t="s">
        <v>105</v>
      </c>
    </row>
    <row r="102" spans="1:12" x14ac:dyDescent="0.25">
      <c r="A102" t="s">
        <v>181</v>
      </c>
      <c r="B102">
        <v>7380</v>
      </c>
      <c r="C102">
        <v>1673</v>
      </c>
      <c r="D102">
        <v>18</v>
      </c>
      <c r="E102" t="s">
        <v>30</v>
      </c>
      <c r="F102" t="s">
        <v>57</v>
      </c>
      <c r="G102" t="s">
        <v>65</v>
      </c>
      <c r="H102" s="1">
        <v>45123</v>
      </c>
      <c r="I102" t="s">
        <v>182</v>
      </c>
      <c r="J102" t="s">
        <v>71</v>
      </c>
      <c r="K102" t="s">
        <v>138</v>
      </c>
      <c r="L102" t="s">
        <v>105</v>
      </c>
    </row>
    <row r="103" spans="1:12" x14ac:dyDescent="0.25">
      <c r="A103" t="s">
        <v>183</v>
      </c>
      <c r="B103">
        <v>7595</v>
      </c>
      <c r="C103">
        <v>2873</v>
      </c>
      <c r="D103">
        <v>4</v>
      </c>
      <c r="E103" t="s">
        <v>45</v>
      </c>
      <c r="F103" t="s">
        <v>49</v>
      </c>
      <c r="G103" t="s">
        <v>32</v>
      </c>
      <c r="H103" s="1">
        <v>44061</v>
      </c>
      <c r="I103" t="s">
        <v>184</v>
      </c>
      <c r="J103" t="s">
        <v>42</v>
      </c>
      <c r="K103" t="s">
        <v>43</v>
      </c>
      <c r="L103" t="s">
        <v>185</v>
      </c>
    </row>
    <row r="104" spans="1:12" x14ac:dyDescent="0.25">
      <c r="A104" t="s">
        <v>183</v>
      </c>
      <c r="B104">
        <v>7595</v>
      </c>
      <c r="C104">
        <v>2873</v>
      </c>
      <c r="D104">
        <v>4</v>
      </c>
      <c r="E104" t="s">
        <v>45</v>
      </c>
      <c r="F104" t="s">
        <v>49</v>
      </c>
      <c r="G104" t="s">
        <v>32</v>
      </c>
      <c r="H104" s="1">
        <v>44670</v>
      </c>
      <c r="I104" t="s">
        <v>186</v>
      </c>
      <c r="J104" t="s">
        <v>25</v>
      </c>
      <c r="K104" t="s">
        <v>68</v>
      </c>
      <c r="L104" t="s">
        <v>187</v>
      </c>
    </row>
    <row r="105" spans="1:12" x14ac:dyDescent="0.25">
      <c r="A105" t="s">
        <v>188</v>
      </c>
      <c r="B105">
        <v>1954</v>
      </c>
      <c r="C105">
        <v>294</v>
      </c>
      <c r="D105">
        <v>7</v>
      </c>
      <c r="E105" t="s">
        <v>45</v>
      </c>
      <c r="F105" t="s">
        <v>60</v>
      </c>
      <c r="G105" t="s">
        <v>32</v>
      </c>
      <c r="H105" s="1">
        <v>44918</v>
      </c>
      <c r="I105" t="s">
        <v>189</v>
      </c>
      <c r="J105" t="s">
        <v>71</v>
      </c>
      <c r="K105" t="s">
        <v>86</v>
      </c>
      <c r="L105" t="s">
        <v>152</v>
      </c>
    </row>
    <row r="106" spans="1:12" x14ac:dyDescent="0.25">
      <c r="A106" t="s">
        <v>190</v>
      </c>
      <c r="B106">
        <v>523</v>
      </c>
      <c r="C106">
        <v>95</v>
      </c>
      <c r="D106">
        <v>20</v>
      </c>
      <c r="E106" t="s">
        <v>13</v>
      </c>
      <c r="F106" t="s">
        <v>28</v>
      </c>
      <c r="G106" t="s">
        <v>40</v>
      </c>
      <c r="H106" s="1">
        <v>45633</v>
      </c>
      <c r="I106" t="s">
        <v>191</v>
      </c>
      <c r="J106" t="s">
        <v>71</v>
      </c>
      <c r="K106" t="s">
        <v>72</v>
      </c>
      <c r="L106" t="s">
        <v>23</v>
      </c>
    </row>
    <row r="107" spans="1:12" x14ac:dyDescent="0.25">
      <c r="A107" t="s">
        <v>192</v>
      </c>
      <c r="B107">
        <v>5704</v>
      </c>
      <c r="C107">
        <v>714</v>
      </c>
      <c r="D107">
        <v>13</v>
      </c>
      <c r="E107" t="s">
        <v>13</v>
      </c>
      <c r="F107" t="s">
        <v>39</v>
      </c>
      <c r="G107" t="s">
        <v>40</v>
      </c>
      <c r="H107" s="1">
        <v>44595</v>
      </c>
      <c r="I107" t="s">
        <v>193</v>
      </c>
      <c r="J107" t="s">
        <v>71</v>
      </c>
      <c r="K107" t="s">
        <v>86</v>
      </c>
      <c r="L107" t="s">
        <v>137</v>
      </c>
    </row>
    <row r="108" spans="1:12" x14ac:dyDescent="0.25">
      <c r="A108" t="s">
        <v>192</v>
      </c>
      <c r="B108">
        <v>5704</v>
      </c>
      <c r="C108">
        <v>714</v>
      </c>
      <c r="D108">
        <v>13</v>
      </c>
      <c r="E108" t="s">
        <v>13</v>
      </c>
      <c r="F108" t="s">
        <v>39</v>
      </c>
      <c r="G108" t="s">
        <v>40</v>
      </c>
      <c r="H108" s="1">
        <v>44542</v>
      </c>
      <c r="I108" t="s">
        <v>194</v>
      </c>
      <c r="J108" t="s">
        <v>42</v>
      </c>
      <c r="K108" t="s">
        <v>75</v>
      </c>
      <c r="L108" t="s">
        <v>90</v>
      </c>
    </row>
    <row r="109" spans="1:12" x14ac:dyDescent="0.25">
      <c r="A109" t="s">
        <v>192</v>
      </c>
      <c r="B109">
        <v>8797</v>
      </c>
      <c r="C109">
        <v>1010</v>
      </c>
      <c r="D109">
        <v>8</v>
      </c>
      <c r="E109" t="s">
        <v>45</v>
      </c>
      <c r="F109" t="s">
        <v>46</v>
      </c>
      <c r="G109" t="s">
        <v>15</v>
      </c>
      <c r="H109" s="1">
        <v>44595</v>
      </c>
      <c r="I109" t="s">
        <v>193</v>
      </c>
      <c r="J109" t="s">
        <v>71</v>
      </c>
      <c r="K109" t="s">
        <v>86</v>
      </c>
      <c r="L109" t="s">
        <v>137</v>
      </c>
    </row>
    <row r="110" spans="1:12" x14ac:dyDescent="0.25">
      <c r="A110" t="s">
        <v>192</v>
      </c>
      <c r="B110">
        <v>8797</v>
      </c>
      <c r="C110">
        <v>1010</v>
      </c>
      <c r="D110">
        <v>8</v>
      </c>
      <c r="E110" t="s">
        <v>45</v>
      </c>
      <c r="F110" t="s">
        <v>46</v>
      </c>
      <c r="G110" t="s">
        <v>15</v>
      </c>
      <c r="H110" s="1">
        <v>44542</v>
      </c>
      <c r="I110" t="s">
        <v>194</v>
      </c>
      <c r="J110" t="s">
        <v>42</v>
      </c>
      <c r="K110" t="s">
        <v>75</v>
      </c>
      <c r="L110" t="s">
        <v>90</v>
      </c>
    </row>
    <row r="111" spans="1:12" x14ac:dyDescent="0.25">
      <c r="A111" t="s">
        <v>192</v>
      </c>
      <c r="B111">
        <v>9236</v>
      </c>
      <c r="C111">
        <v>2899</v>
      </c>
      <c r="D111">
        <v>5</v>
      </c>
      <c r="E111" t="s">
        <v>13</v>
      </c>
      <c r="F111" t="s">
        <v>39</v>
      </c>
      <c r="G111" t="s">
        <v>32</v>
      </c>
      <c r="H111" s="1">
        <v>44595</v>
      </c>
      <c r="I111" t="s">
        <v>193</v>
      </c>
      <c r="J111" t="s">
        <v>71</v>
      </c>
      <c r="K111" t="s">
        <v>86</v>
      </c>
      <c r="L111" t="s">
        <v>137</v>
      </c>
    </row>
    <row r="112" spans="1:12" x14ac:dyDescent="0.25">
      <c r="A112" t="s">
        <v>192</v>
      </c>
      <c r="B112">
        <v>9236</v>
      </c>
      <c r="C112">
        <v>2899</v>
      </c>
      <c r="D112">
        <v>5</v>
      </c>
      <c r="E112" t="s">
        <v>13</v>
      </c>
      <c r="F112" t="s">
        <v>39</v>
      </c>
      <c r="G112" t="s">
        <v>32</v>
      </c>
      <c r="H112" s="1">
        <v>44542</v>
      </c>
      <c r="I112" t="s">
        <v>194</v>
      </c>
      <c r="J112" t="s">
        <v>42</v>
      </c>
      <c r="K112" t="s">
        <v>75</v>
      </c>
      <c r="L112" t="s">
        <v>90</v>
      </c>
    </row>
    <row r="113" spans="1:12" x14ac:dyDescent="0.25">
      <c r="A113" t="s">
        <v>195</v>
      </c>
      <c r="B113">
        <v>9109</v>
      </c>
      <c r="C113">
        <v>586</v>
      </c>
      <c r="D113">
        <v>17</v>
      </c>
      <c r="E113" t="s">
        <v>45</v>
      </c>
      <c r="F113" t="s">
        <v>60</v>
      </c>
      <c r="G113" t="s">
        <v>40</v>
      </c>
      <c r="H113" s="1">
        <v>43968</v>
      </c>
      <c r="I113" t="s">
        <v>196</v>
      </c>
      <c r="J113" t="s">
        <v>17</v>
      </c>
      <c r="K113" t="s">
        <v>18</v>
      </c>
      <c r="L113" t="s">
        <v>59</v>
      </c>
    </row>
    <row r="114" spans="1:12" x14ac:dyDescent="0.25">
      <c r="A114" t="s">
        <v>197</v>
      </c>
      <c r="B114">
        <v>4358</v>
      </c>
      <c r="C114">
        <v>526</v>
      </c>
      <c r="D114">
        <v>19</v>
      </c>
      <c r="E114" t="s">
        <v>13</v>
      </c>
      <c r="F114" t="s">
        <v>82</v>
      </c>
      <c r="G114" t="s">
        <v>47</v>
      </c>
      <c r="H114" s="1">
        <v>44900</v>
      </c>
      <c r="I114" t="s">
        <v>198</v>
      </c>
      <c r="J114" t="s">
        <v>71</v>
      </c>
      <c r="K114" t="s">
        <v>72</v>
      </c>
      <c r="L114" t="s">
        <v>152</v>
      </c>
    </row>
    <row r="115" spans="1:12" x14ac:dyDescent="0.25">
      <c r="A115" t="s">
        <v>197</v>
      </c>
      <c r="B115">
        <v>4358</v>
      </c>
      <c r="C115">
        <v>526</v>
      </c>
      <c r="D115">
        <v>19</v>
      </c>
      <c r="E115" t="s">
        <v>13</v>
      </c>
      <c r="F115" t="s">
        <v>82</v>
      </c>
      <c r="G115" t="s">
        <v>47</v>
      </c>
      <c r="H115" s="1">
        <v>45552</v>
      </c>
      <c r="I115" t="s">
        <v>199</v>
      </c>
      <c r="J115" t="s">
        <v>42</v>
      </c>
      <c r="K115" t="s">
        <v>92</v>
      </c>
      <c r="L115" t="s">
        <v>159</v>
      </c>
    </row>
    <row r="116" spans="1:12" x14ac:dyDescent="0.25">
      <c r="A116" t="s">
        <v>197</v>
      </c>
      <c r="B116">
        <v>6459</v>
      </c>
      <c r="C116">
        <v>825</v>
      </c>
      <c r="D116">
        <v>8</v>
      </c>
      <c r="E116" t="s">
        <v>13</v>
      </c>
      <c r="F116" t="s">
        <v>82</v>
      </c>
      <c r="G116" t="s">
        <v>47</v>
      </c>
      <c r="H116" s="1">
        <v>44900</v>
      </c>
      <c r="I116" t="s">
        <v>198</v>
      </c>
      <c r="J116" t="s">
        <v>71</v>
      </c>
      <c r="K116" t="s">
        <v>72</v>
      </c>
      <c r="L116" t="s">
        <v>152</v>
      </c>
    </row>
    <row r="117" spans="1:12" x14ac:dyDescent="0.25">
      <c r="A117" t="s">
        <v>197</v>
      </c>
      <c r="B117">
        <v>6459</v>
      </c>
      <c r="C117">
        <v>825</v>
      </c>
      <c r="D117">
        <v>8</v>
      </c>
      <c r="E117" t="s">
        <v>13</v>
      </c>
      <c r="F117" t="s">
        <v>82</v>
      </c>
      <c r="G117" t="s">
        <v>47</v>
      </c>
      <c r="H117" s="1">
        <v>45552</v>
      </c>
      <c r="I117" t="s">
        <v>199</v>
      </c>
      <c r="J117" t="s">
        <v>42</v>
      </c>
      <c r="K117" t="s">
        <v>92</v>
      </c>
      <c r="L117" t="s">
        <v>159</v>
      </c>
    </row>
    <row r="118" spans="1:12" x14ac:dyDescent="0.25">
      <c r="A118" t="s">
        <v>200</v>
      </c>
      <c r="B118">
        <v>2478</v>
      </c>
      <c r="C118">
        <v>92</v>
      </c>
      <c r="D118">
        <v>12</v>
      </c>
      <c r="E118" t="s">
        <v>45</v>
      </c>
      <c r="F118" t="s">
        <v>109</v>
      </c>
      <c r="G118" t="s">
        <v>65</v>
      </c>
      <c r="H118" s="1">
        <v>45054</v>
      </c>
      <c r="I118" t="s">
        <v>201</v>
      </c>
      <c r="J118" t="s">
        <v>42</v>
      </c>
      <c r="K118" t="s">
        <v>92</v>
      </c>
      <c r="L118" t="s">
        <v>127</v>
      </c>
    </row>
    <row r="119" spans="1:12" x14ac:dyDescent="0.25">
      <c r="A119" t="s">
        <v>200</v>
      </c>
      <c r="B119">
        <v>2478</v>
      </c>
      <c r="C119">
        <v>92</v>
      </c>
      <c r="D119">
        <v>12</v>
      </c>
      <c r="E119" t="s">
        <v>45</v>
      </c>
      <c r="F119" t="s">
        <v>109</v>
      </c>
      <c r="G119" t="s">
        <v>65</v>
      </c>
      <c r="H119" s="1">
        <v>44258</v>
      </c>
      <c r="I119" t="s">
        <v>202</v>
      </c>
      <c r="J119" t="s">
        <v>25</v>
      </c>
      <c r="K119" t="s">
        <v>51</v>
      </c>
      <c r="L119" t="s">
        <v>167</v>
      </c>
    </row>
    <row r="120" spans="1:12" x14ac:dyDescent="0.25">
      <c r="A120" t="s">
        <v>200</v>
      </c>
      <c r="B120">
        <v>2478</v>
      </c>
      <c r="C120">
        <v>92</v>
      </c>
      <c r="D120">
        <v>12</v>
      </c>
      <c r="E120" t="s">
        <v>45</v>
      </c>
      <c r="F120" t="s">
        <v>109</v>
      </c>
      <c r="G120" t="s">
        <v>65</v>
      </c>
      <c r="H120" s="1">
        <v>44273</v>
      </c>
      <c r="I120" t="s">
        <v>203</v>
      </c>
      <c r="J120" t="s">
        <v>42</v>
      </c>
      <c r="K120" t="s">
        <v>92</v>
      </c>
      <c r="L120" t="s">
        <v>167</v>
      </c>
    </row>
    <row r="121" spans="1:12" x14ac:dyDescent="0.25">
      <c r="A121" t="s">
        <v>200</v>
      </c>
      <c r="B121">
        <v>2478</v>
      </c>
      <c r="C121">
        <v>92</v>
      </c>
      <c r="D121">
        <v>12</v>
      </c>
      <c r="E121" t="s">
        <v>45</v>
      </c>
      <c r="F121" t="s">
        <v>109</v>
      </c>
      <c r="G121" t="s">
        <v>65</v>
      </c>
      <c r="H121" s="1">
        <v>45040</v>
      </c>
      <c r="I121" t="s">
        <v>204</v>
      </c>
      <c r="J121" t="s">
        <v>98</v>
      </c>
      <c r="K121" t="s">
        <v>117</v>
      </c>
      <c r="L121" t="s">
        <v>145</v>
      </c>
    </row>
    <row r="122" spans="1:12" x14ac:dyDescent="0.25">
      <c r="A122" t="s">
        <v>205</v>
      </c>
      <c r="B122">
        <v>9992</v>
      </c>
      <c r="C122">
        <v>3696</v>
      </c>
      <c r="D122">
        <v>20</v>
      </c>
      <c r="E122" t="s">
        <v>30</v>
      </c>
      <c r="F122" t="s">
        <v>31</v>
      </c>
      <c r="G122" t="s">
        <v>32</v>
      </c>
      <c r="H122" s="1">
        <v>44478</v>
      </c>
      <c r="I122" t="s">
        <v>206</v>
      </c>
      <c r="J122" t="s">
        <v>25</v>
      </c>
      <c r="K122" t="s">
        <v>68</v>
      </c>
      <c r="L122" t="s">
        <v>37</v>
      </c>
    </row>
    <row r="123" spans="1:12" x14ac:dyDescent="0.25">
      <c r="A123" t="s">
        <v>205</v>
      </c>
      <c r="B123">
        <v>9992</v>
      </c>
      <c r="C123">
        <v>3696</v>
      </c>
      <c r="D123">
        <v>20</v>
      </c>
      <c r="E123" t="s">
        <v>30</v>
      </c>
      <c r="F123" t="s">
        <v>31</v>
      </c>
      <c r="G123" t="s">
        <v>32</v>
      </c>
      <c r="H123" s="1">
        <v>44666</v>
      </c>
      <c r="I123" t="s">
        <v>207</v>
      </c>
      <c r="J123" t="s">
        <v>71</v>
      </c>
      <c r="K123" t="s">
        <v>86</v>
      </c>
      <c r="L123" t="s">
        <v>187</v>
      </c>
    </row>
    <row r="124" spans="1:12" x14ac:dyDescent="0.25">
      <c r="A124" t="s">
        <v>205</v>
      </c>
      <c r="B124">
        <v>9992</v>
      </c>
      <c r="C124">
        <v>3696</v>
      </c>
      <c r="D124">
        <v>20</v>
      </c>
      <c r="E124" t="s">
        <v>30</v>
      </c>
      <c r="F124" t="s">
        <v>31</v>
      </c>
      <c r="G124" t="s">
        <v>32</v>
      </c>
      <c r="H124" s="1">
        <v>44802</v>
      </c>
      <c r="I124" t="s">
        <v>208</v>
      </c>
      <c r="J124" t="s">
        <v>25</v>
      </c>
      <c r="K124" t="s">
        <v>68</v>
      </c>
      <c r="L124" t="s">
        <v>209</v>
      </c>
    </row>
    <row r="125" spans="1:12" x14ac:dyDescent="0.25">
      <c r="A125" t="s">
        <v>205</v>
      </c>
      <c r="B125">
        <v>9619</v>
      </c>
      <c r="C125">
        <v>3420</v>
      </c>
      <c r="D125">
        <v>7</v>
      </c>
      <c r="E125" t="s">
        <v>30</v>
      </c>
      <c r="F125" t="s">
        <v>78</v>
      </c>
      <c r="G125" t="s">
        <v>15</v>
      </c>
      <c r="H125" s="1">
        <v>44478</v>
      </c>
      <c r="I125" t="s">
        <v>206</v>
      </c>
      <c r="J125" t="s">
        <v>25</v>
      </c>
      <c r="K125" t="s">
        <v>68</v>
      </c>
      <c r="L125" t="s">
        <v>37</v>
      </c>
    </row>
    <row r="126" spans="1:12" x14ac:dyDescent="0.25">
      <c r="A126" t="s">
        <v>205</v>
      </c>
      <c r="B126">
        <v>9619</v>
      </c>
      <c r="C126">
        <v>3420</v>
      </c>
      <c r="D126">
        <v>7</v>
      </c>
      <c r="E126" t="s">
        <v>30</v>
      </c>
      <c r="F126" t="s">
        <v>78</v>
      </c>
      <c r="G126" t="s">
        <v>15</v>
      </c>
      <c r="H126" s="1">
        <v>44666</v>
      </c>
      <c r="I126" t="s">
        <v>207</v>
      </c>
      <c r="J126" t="s">
        <v>71</v>
      </c>
      <c r="K126" t="s">
        <v>86</v>
      </c>
      <c r="L126" t="s">
        <v>187</v>
      </c>
    </row>
    <row r="127" spans="1:12" x14ac:dyDescent="0.25">
      <c r="A127" t="s">
        <v>205</v>
      </c>
      <c r="B127">
        <v>9619</v>
      </c>
      <c r="C127">
        <v>3420</v>
      </c>
      <c r="D127">
        <v>7</v>
      </c>
      <c r="E127" t="s">
        <v>30</v>
      </c>
      <c r="F127" t="s">
        <v>78</v>
      </c>
      <c r="G127" t="s">
        <v>15</v>
      </c>
      <c r="H127" s="1">
        <v>44802</v>
      </c>
      <c r="I127" t="s">
        <v>208</v>
      </c>
      <c r="J127" t="s">
        <v>25</v>
      </c>
      <c r="K127" t="s">
        <v>68</v>
      </c>
      <c r="L127" t="s">
        <v>209</v>
      </c>
    </row>
    <row r="128" spans="1:12" x14ac:dyDescent="0.25">
      <c r="A128" t="s">
        <v>210</v>
      </c>
      <c r="B128">
        <v>9538</v>
      </c>
      <c r="C128">
        <v>3158</v>
      </c>
      <c r="D128">
        <v>20</v>
      </c>
      <c r="E128" t="s">
        <v>13</v>
      </c>
      <c r="F128" t="s">
        <v>28</v>
      </c>
      <c r="G128" t="s">
        <v>47</v>
      </c>
      <c r="H128" s="1">
        <v>45539</v>
      </c>
      <c r="I128" t="s">
        <v>211</v>
      </c>
      <c r="J128" t="s">
        <v>42</v>
      </c>
      <c r="K128" t="s">
        <v>92</v>
      </c>
      <c r="L128" t="s">
        <v>159</v>
      </c>
    </row>
    <row r="129" spans="1:12" x14ac:dyDescent="0.25">
      <c r="A129" t="s">
        <v>210</v>
      </c>
      <c r="B129">
        <v>9538</v>
      </c>
      <c r="C129">
        <v>3158</v>
      </c>
      <c r="D129">
        <v>20</v>
      </c>
      <c r="E129" t="s">
        <v>13</v>
      </c>
      <c r="F129" t="s">
        <v>28</v>
      </c>
      <c r="G129" t="s">
        <v>47</v>
      </c>
      <c r="H129" s="1">
        <v>44334</v>
      </c>
      <c r="I129" t="s">
        <v>212</v>
      </c>
      <c r="J129" t="s">
        <v>98</v>
      </c>
      <c r="K129" t="s">
        <v>117</v>
      </c>
      <c r="L129" t="s">
        <v>108</v>
      </c>
    </row>
    <row r="130" spans="1:12" x14ac:dyDescent="0.25">
      <c r="A130" t="s">
        <v>210</v>
      </c>
      <c r="B130">
        <v>9035</v>
      </c>
      <c r="C130">
        <v>1227</v>
      </c>
      <c r="D130">
        <v>14</v>
      </c>
      <c r="E130" t="s">
        <v>45</v>
      </c>
      <c r="F130" t="s">
        <v>49</v>
      </c>
      <c r="G130" t="s">
        <v>40</v>
      </c>
      <c r="H130" s="1">
        <v>45539</v>
      </c>
      <c r="I130" t="s">
        <v>211</v>
      </c>
      <c r="J130" t="s">
        <v>42</v>
      </c>
      <c r="K130" t="s">
        <v>92</v>
      </c>
      <c r="L130" t="s">
        <v>159</v>
      </c>
    </row>
    <row r="131" spans="1:12" x14ac:dyDescent="0.25">
      <c r="A131" t="s">
        <v>210</v>
      </c>
      <c r="B131">
        <v>9035</v>
      </c>
      <c r="C131">
        <v>1227</v>
      </c>
      <c r="D131">
        <v>14</v>
      </c>
      <c r="E131" t="s">
        <v>45</v>
      </c>
      <c r="F131" t="s">
        <v>49</v>
      </c>
      <c r="G131" t="s">
        <v>40</v>
      </c>
      <c r="H131" s="1">
        <v>44334</v>
      </c>
      <c r="I131" t="s">
        <v>212</v>
      </c>
      <c r="J131" t="s">
        <v>98</v>
      </c>
      <c r="K131" t="s">
        <v>117</v>
      </c>
      <c r="L131" t="s">
        <v>108</v>
      </c>
    </row>
    <row r="132" spans="1:12" x14ac:dyDescent="0.25">
      <c r="A132" t="s">
        <v>213</v>
      </c>
      <c r="B132">
        <v>2684</v>
      </c>
      <c r="C132">
        <v>670</v>
      </c>
      <c r="D132">
        <v>2</v>
      </c>
      <c r="E132" t="s">
        <v>30</v>
      </c>
      <c r="F132" t="s">
        <v>64</v>
      </c>
      <c r="G132" t="s">
        <v>65</v>
      </c>
      <c r="H132" s="1">
        <v>45475</v>
      </c>
      <c r="I132" t="s">
        <v>214</v>
      </c>
      <c r="J132" t="s">
        <v>17</v>
      </c>
      <c r="K132" t="s">
        <v>150</v>
      </c>
      <c r="L132" t="s">
        <v>215</v>
      </c>
    </row>
    <row r="133" spans="1:12" x14ac:dyDescent="0.25">
      <c r="A133" t="s">
        <v>213</v>
      </c>
      <c r="B133">
        <v>822</v>
      </c>
      <c r="C133">
        <v>147</v>
      </c>
      <c r="D133">
        <v>5</v>
      </c>
      <c r="E133" t="s">
        <v>45</v>
      </c>
      <c r="F133" t="s">
        <v>60</v>
      </c>
      <c r="G133" t="s">
        <v>47</v>
      </c>
      <c r="H133" s="1">
        <v>45475</v>
      </c>
      <c r="I133" t="s">
        <v>214</v>
      </c>
      <c r="J133" t="s">
        <v>17</v>
      </c>
      <c r="K133" t="s">
        <v>150</v>
      </c>
      <c r="L133" t="s">
        <v>215</v>
      </c>
    </row>
    <row r="134" spans="1:12" x14ac:dyDescent="0.25">
      <c r="A134" t="s">
        <v>213</v>
      </c>
      <c r="B134">
        <v>9730</v>
      </c>
      <c r="C134">
        <v>2341</v>
      </c>
      <c r="D134">
        <v>2</v>
      </c>
      <c r="E134" t="s">
        <v>45</v>
      </c>
      <c r="F134" t="s">
        <v>49</v>
      </c>
      <c r="G134" t="s">
        <v>40</v>
      </c>
      <c r="H134" s="1">
        <v>45475</v>
      </c>
      <c r="I134" t="s">
        <v>214</v>
      </c>
      <c r="J134" t="s">
        <v>17</v>
      </c>
      <c r="K134" t="s">
        <v>150</v>
      </c>
      <c r="L134" t="s">
        <v>215</v>
      </c>
    </row>
    <row r="135" spans="1:12" x14ac:dyDescent="0.25">
      <c r="A135" t="s">
        <v>213</v>
      </c>
      <c r="B135">
        <v>2483</v>
      </c>
      <c r="C135">
        <v>236</v>
      </c>
      <c r="D135">
        <v>2</v>
      </c>
      <c r="E135" t="s">
        <v>13</v>
      </c>
      <c r="F135" t="s">
        <v>14</v>
      </c>
      <c r="G135" t="s">
        <v>65</v>
      </c>
      <c r="H135" s="1">
        <v>45475</v>
      </c>
      <c r="I135" t="s">
        <v>214</v>
      </c>
      <c r="J135" t="s">
        <v>17</v>
      </c>
      <c r="K135" t="s">
        <v>150</v>
      </c>
      <c r="L135" t="s">
        <v>215</v>
      </c>
    </row>
    <row r="136" spans="1:12" x14ac:dyDescent="0.25">
      <c r="A136" t="s">
        <v>216</v>
      </c>
      <c r="B136">
        <v>1297</v>
      </c>
      <c r="C136">
        <v>600</v>
      </c>
      <c r="D136">
        <v>7</v>
      </c>
      <c r="E136" t="s">
        <v>30</v>
      </c>
      <c r="F136" t="s">
        <v>78</v>
      </c>
      <c r="G136" t="s">
        <v>47</v>
      </c>
      <c r="H136" s="1">
        <v>45338</v>
      </c>
      <c r="I136" t="s">
        <v>217</v>
      </c>
      <c r="J136" t="s">
        <v>17</v>
      </c>
      <c r="K136" t="s">
        <v>34</v>
      </c>
      <c r="L136" t="s">
        <v>218</v>
      </c>
    </row>
    <row r="137" spans="1:12" x14ac:dyDescent="0.25">
      <c r="A137" t="s">
        <v>216</v>
      </c>
      <c r="B137">
        <v>7909</v>
      </c>
      <c r="C137">
        <v>1942</v>
      </c>
      <c r="D137">
        <v>19</v>
      </c>
      <c r="E137" t="s">
        <v>13</v>
      </c>
      <c r="F137" t="s">
        <v>82</v>
      </c>
      <c r="G137" t="s">
        <v>65</v>
      </c>
      <c r="H137" s="1">
        <v>45338</v>
      </c>
      <c r="I137" t="s">
        <v>217</v>
      </c>
      <c r="J137" t="s">
        <v>17</v>
      </c>
      <c r="K137" t="s">
        <v>34</v>
      </c>
      <c r="L137" t="s">
        <v>218</v>
      </c>
    </row>
    <row r="138" spans="1:12" x14ac:dyDescent="0.25">
      <c r="A138" t="s">
        <v>219</v>
      </c>
      <c r="B138">
        <v>9768</v>
      </c>
      <c r="C138">
        <v>4518</v>
      </c>
      <c r="D138">
        <v>8</v>
      </c>
      <c r="E138" t="s">
        <v>45</v>
      </c>
      <c r="F138" t="s">
        <v>46</v>
      </c>
      <c r="G138" t="s">
        <v>47</v>
      </c>
      <c r="H138" s="1">
        <v>44526</v>
      </c>
      <c r="I138" t="s">
        <v>220</v>
      </c>
      <c r="J138" t="s">
        <v>71</v>
      </c>
      <c r="K138" t="s">
        <v>72</v>
      </c>
      <c r="L138" t="s">
        <v>175</v>
      </c>
    </row>
    <row r="139" spans="1:12" x14ac:dyDescent="0.25">
      <c r="A139" t="s">
        <v>219</v>
      </c>
      <c r="B139">
        <v>4968</v>
      </c>
      <c r="C139">
        <v>934</v>
      </c>
      <c r="D139">
        <v>5</v>
      </c>
      <c r="E139" t="s">
        <v>45</v>
      </c>
      <c r="F139" t="s">
        <v>60</v>
      </c>
      <c r="G139" t="s">
        <v>32</v>
      </c>
      <c r="H139" s="1">
        <v>44526</v>
      </c>
      <c r="I139" t="s">
        <v>220</v>
      </c>
      <c r="J139" t="s">
        <v>71</v>
      </c>
      <c r="K139" t="s">
        <v>72</v>
      </c>
      <c r="L139" t="s">
        <v>175</v>
      </c>
    </row>
    <row r="140" spans="1:12" x14ac:dyDescent="0.25">
      <c r="A140" t="s">
        <v>219</v>
      </c>
      <c r="B140">
        <v>1731</v>
      </c>
      <c r="C140">
        <v>149</v>
      </c>
      <c r="D140">
        <v>4</v>
      </c>
      <c r="E140" t="s">
        <v>13</v>
      </c>
      <c r="F140" t="s">
        <v>39</v>
      </c>
      <c r="G140" t="s">
        <v>40</v>
      </c>
      <c r="H140" s="1">
        <v>44526</v>
      </c>
      <c r="I140" t="s">
        <v>220</v>
      </c>
      <c r="J140" t="s">
        <v>71</v>
      </c>
      <c r="K140" t="s">
        <v>72</v>
      </c>
      <c r="L140" t="s">
        <v>175</v>
      </c>
    </row>
    <row r="141" spans="1:12" x14ac:dyDescent="0.25">
      <c r="A141" t="s">
        <v>221</v>
      </c>
      <c r="B141">
        <v>3433</v>
      </c>
      <c r="C141">
        <v>1169</v>
      </c>
      <c r="D141">
        <v>10</v>
      </c>
      <c r="E141" t="s">
        <v>30</v>
      </c>
      <c r="F141" t="s">
        <v>78</v>
      </c>
      <c r="G141" t="s">
        <v>65</v>
      </c>
      <c r="H141" s="1">
        <v>45323</v>
      </c>
      <c r="I141" t="s">
        <v>222</v>
      </c>
      <c r="J141" t="s">
        <v>42</v>
      </c>
      <c r="K141" t="s">
        <v>92</v>
      </c>
      <c r="L141" t="s">
        <v>218</v>
      </c>
    </row>
    <row r="142" spans="1:12" x14ac:dyDescent="0.25">
      <c r="A142" t="s">
        <v>221</v>
      </c>
      <c r="B142">
        <v>3433</v>
      </c>
      <c r="C142">
        <v>1169</v>
      </c>
      <c r="D142">
        <v>10</v>
      </c>
      <c r="E142" t="s">
        <v>30</v>
      </c>
      <c r="F142" t="s">
        <v>78</v>
      </c>
      <c r="G142" t="s">
        <v>65</v>
      </c>
      <c r="H142" s="1">
        <v>44448</v>
      </c>
      <c r="I142" t="s">
        <v>223</v>
      </c>
      <c r="J142" t="s">
        <v>21</v>
      </c>
      <c r="K142" t="s">
        <v>63</v>
      </c>
      <c r="L142" t="s">
        <v>224</v>
      </c>
    </row>
    <row r="143" spans="1:12" x14ac:dyDescent="0.25">
      <c r="A143" t="s">
        <v>221</v>
      </c>
      <c r="B143">
        <v>3433</v>
      </c>
      <c r="C143">
        <v>1169</v>
      </c>
      <c r="D143">
        <v>10</v>
      </c>
      <c r="E143" t="s">
        <v>30</v>
      </c>
      <c r="F143" t="s">
        <v>78</v>
      </c>
      <c r="G143" t="s">
        <v>65</v>
      </c>
      <c r="H143" s="1">
        <v>44447</v>
      </c>
      <c r="I143" t="s">
        <v>225</v>
      </c>
      <c r="J143" t="s">
        <v>42</v>
      </c>
      <c r="K143" t="s">
        <v>75</v>
      </c>
      <c r="L143" t="s">
        <v>224</v>
      </c>
    </row>
    <row r="144" spans="1:12" x14ac:dyDescent="0.25">
      <c r="A144" t="s">
        <v>221</v>
      </c>
      <c r="B144">
        <v>3887</v>
      </c>
      <c r="C144">
        <v>1490</v>
      </c>
      <c r="D144">
        <v>1</v>
      </c>
      <c r="E144" t="s">
        <v>30</v>
      </c>
      <c r="F144" t="s">
        <v>78</v>
      </c>
      <c r="G144" t="s">
        <v>32</v>
      </c>
      <c r="H144" s="1">
        <v>45323</v>
      </c>
      <c r="I144" t="s">
        <v>222</v>
      </c>
      <c r="J144" t="s">
        <v>42</v>
      </c>
      <c r="K144" t="s">
        <v>92</v>
      </c>
      <c r="L144" t="s">
        <v>218</v>
      </c>
    </row>
    <row r="145" spans="1:12" x14ac:dyDescent="0.25">
      <c r="A145" t="s">
        <v>221</v>
      </c>
      <c r="B145">
        <v>3887</v>
      </c>
      <c r="C145">
        <v>1490</v>
      </c>
      <c r="D145">
        <v>1</v>
      </c>
      <c r="E145" t="s">
        <v>30</v>
      </c>
      <c r="F145" t="s">
        <v>78</v>
      </c>
      <c r="G145" t="s">
        <v>32</v>
      </c>
      <c r="H145" s="1">
        <v>44448</v>
      </c>
      <c r="I145" t="s">
        <v>223</v>
      </c>
      <c r="J145" t="s">
        <v>21</v>
      </c>
      <c r="K145" t="s">
        <v>63</v>
      </c>
      <c r="L145" t="s">
        <v>224</v>
      </c>
    </row>
    <row r="146" spans="1:12" x14ac:dyDescent="0.25">
      <c r="A146" t="s">
        <v>221</v>
      </c>
      <c r="B146">
        <v>3887</v>
      </c>
      <c r="C146">
        <v>1490</v>
      </c>
      <c r="D146">
        <v>1</v>
      </c>
      <c r="E146" t="s">
        <v>30</v>
      </c>
      <c r="F146" t="s">
        <v>78</v>
      </c>
      <c r="G146" t="s">
        <v>32</v>
      </c>
      <c r="H146" s="1">
        <v>44447</v>
      </c>
      <c r="I146" t="s">
        <v>225</v>
      </c>
      <c r="J146" t="s">
        <v>42</v>
      </c>
      <c r="K146" t="s">
        <v>75</v>
      </c>
      <c r="L146" t="s">
        <v>224</v>
      </c>
    </row>
    <row r="147" spans="1:12" x14ac:dyDescent="0.25">
      <c r="A147" t="s">
        <v>226</v>
      </c>
      <c r="B147">
        <v>1801</v>
      </c>
      <c r="C147">
        <v>641</v>
      </c>
      <c r="D147">
        <v>20</v>
      </c>
      <c r="E147" t="s">
        <v>30</v>
      </c>
      <c r="F147" t="s">
        <v>57</v>
      </c>
      <c r="G147" t="s">
        <v>47</v>
      </c>
      <c r="H147" s="1">
        <v>45482</v>
      </c>
      <c r="I147" t="s">
        <v>227</v>
      </c>
      <c r="J147" t="s">
        <v>42</v>
      </c>
      <c r="K147" t="s">
        <v>43</v>
      </c>
      <c r="L147" t="s">
        <v>215</v>
      </c>
    </row>
    <row r="148" spans="1:12" x14ac:dyDescent="0.25">
      <c r="A148" t="s">
        <v>226</v>
      </c>
      <c r="B148">
        <v>5301</v>
      </c>
      <c r="C148">
        <v>817</v>
      </c>
      <c r="D148">
        <v>10</v>
      </c>
      <c r="E148" t="s">
        <v>45</v>
      </c>
      <c r="F148" t="s">
        <v>46</v>
      </c>
      <c r="G148" t="s">
        <v>32</v>
      </c>
      <c r="H148" s="1">
        <v>45482</v>
      </c>
      <c r="I148" t="s">
        <v>227</v>
      </c>
      <c r="J148" t="s">
        <v>42</v>
      </c>
      <c r="K148" t="s">
        <v>43</v>
      </c>
      <c r="L148" t="s">
        <v>215</v>
      </c>
    </row>
    <row r="149" spans="1:12" x14ac:dyDescent="0.25">
      <c r="A149" t="s">
        <v>226</v>
      </c>
      <c r="B149">
        <v>1166</v>
      </c>
      <c r="C149">
        <v>520</v>
      </c>
      <c r="D149">
        <v>12</v>
      </c>
      <c r="E149" t="s">
        <v>30</v>
      </c>
      <c r="F149" t="s">
        <v>64</v>
      </c>
      <c r="G149" t="s">
        <v>32</v>
      </c>
      <c r="H149" s="1">
        <v>45482</v>
      </c>
      <c r="I149" t="s">
        <v>227</v>
      </c>
      <c r="J149" t="s">
        <v>42</v>
      </c>
      <c r="K149" t="s">
        <v>43</v>
      </c>
      <c r="L149" t="s">
        <v>215</v>
      </c>
    </row>
    <row r="150" spans="1:12" x14ac:dyDescent="0.25">
      <c r="A150" t="s">
        <v>226</v>
      </c>
      <c r="B150">
        <v>3196</v>
      </c>
      <c r="C150">
        <v>1411</v>
      </c>
      <c r="D150">
        <v>15</v>
      </c>
      <c r="E150" t="s">
        <v>30</v>
      </c>
      <c r="F150" t="s">
        <v>64</v>
      </c>
      <c r="G150" t="s">
        <v>32</v>
      </c>
      <c r="H150" s="1">
        <v>45482</v>
      </c>
      <c r="I150" t="s">
        <v>227</v>
      </c>
      <c r="J150" t="s">
        <v>42</v>
      </c>
      <c r="K150" t="s">
        <v>43</v>
      </c>
      <c r="L150" t="s">
        <v>215</v>
      </c>
    </row>
    <row r="151" spans="1:12" x14ac:dyDescent="0.25">
      <c r="A151" t="s">
        <v>228</v>
      </c>
      <c r="B151">
        <v>3428</v>
      </c>
      <c r="C151">
        <v>350</v>
      </c>
      <c r="D151">
        <v>1</v>
      </c>
      <c r="E151" t="s">
        <v>45</v>
      </c>
      <c r="F151" t="s">
        <v>49</v>
      </c>
      <c r="G151" t="s">
        <v>47</v>
      </c>
      <c r="H151" s="1">
        <v>44985</v>
      </c>
      <c r="I151" t="s">
        <v>229</v>
      </c>
      <c r="J151" t="s">
        <v>21</v>
      </c>
      <c r="K151" t="s">
        <v>63</v>
      </c>
      <c r="L151" t="s">
        <v>93</v>
      </c>
    </row>
    <row r="152" spans="1:12" x14ac:dyDescent="0.25">
      <c r="A152" t="s">
        <v>228</v>
      </c>
      <c r="B152">
        <v>7223</v>
      </c>
      <c r="C152">
        <v>2433</v>
      </c>
      <c r="D152">
        <v>12</v>
      </c>
      <c r="E152" t="s">
        <v>30</v>
      </c>
      <c r="F152" t="s">
        <v>78</v>
      </c>
      <c r="G152" t="s">
        <v>47</v>
      </c>
      <c r="H152" s="1">
        <v>44985</v>
      </c>
      <c r="I152" t="s">
        <v>229</v>
      </c>
      <c r="J152" t="s">
        <v>21</v>
      </c>
      <c r="K152" t="s">
        <v>63</v>
      </c>
      <c r="L152" t="s">
        <v>93</v>
      </c>
    </row>
    <row r="153" spans="1:12" x14ac:dyDescent="0.25">
      <c r="A153" t="s">
        <v>228</v>
      </c>
      <c r="B153">
        <v>3731</v>
      </c>
      <c r="C153">
        <v>647</v>
      </c>
      <c r="D153">
        <v>1</v>
      </c>
      <c r="E153" t="s">
        <v>30</v>
      </c>
      <c r="F153" t="s">
        <v>31</v>
      </c>
      <c r="G153" t="s">
        <v>47</v>
      </c>
      <c r="H153" s="1">
        <v>44985</v>
      </c>
      <c r="I153" t="s">
        <v>229</v>
      </c>
      <c r="J153" t="s">
        <v>21</v>
      </c>
      <c r="K153" t="s">
        <v>63</v>
      </c>
      <c r="L153" t="s">
        <v>93</v>
      </c>
    </row>
    <row r="154" spans="1:12" x14ac:dyDescent="0.25">
      <c r="A154" t="s">
        <v>230</v>
      </c>
      <c r="B154">
        <v>8903</v>
      </c>
      <c r="C154">
        <v>4401</v>
      </c>
      <c r="D154">
        <v>18</v>
      </c>
      <c r="E154" t="s">
        <v>30</v>
      </c>
      <c r="F154" t="s">
        <v>31</v>
      </c>
      <c r="G154" t="s">
        <v>47</v>
      </c>
      <c r="H154" s="1">
        <v>44781</v>
      </c>
      <c r="I154" t="s">
        <v>231</v>
      </c>
      <c r="J154" t="s">
        <v>98</v>
      </c>
      <c r="K154" t="s">
        <v>99</v>
      </c>
      <c r="L154" t="s">
        <v>209</v>
      </c>
    </row>
    <row r="155" spans="1:12" x14ac:dyDescent="0.25">
      <c r="A155" t="s">
        <v>232</v>
      </c>
      <c r="B155">
        <v>6009</v>
      </c>
      <c r="C155">
        <v>2107</v>
      </c>
      <c r="D155">
        <v>7</v>
      </c>
      <c r="E155" t="s">
        <v>13</v>
      </c>
      <c r="F155" t="s">
        <v>82</v>
      </c>
      <c r="G155" t="s">
        <v>15</v>
      </c>
      <c r="H155" s="1">
        <v>44902</v>
      </c>
      <c r="I155" t="s">
        <v>233</v>
      </c>
      <c r="J155" t="s">
        <v>21</v>
      </c>
      <c r="K155" t="s">
        <v>22</v>
      </c>
      <c r="L155" t="s">
        <v>152</v>
      </c>
    </row>
    <row r="156" spans="1:12" x14ac:dyDescent="0.25">
      <c r="A156" t="s">
        <v>232</v>
      </c>
      <c r="B156">
        <v>6009</v>
      </c>
      <c r="C156">
        <v>2107</v>
      </c>
      <c r="D156">
        <v>7</v>
      </c>
      <c r="E156" t="s">
        <v>13</v>
      </c>
      <c r="F156" t="s">
        <v>82</v>
      </c>
      <c r="G156" t="s">
        <v>15</v>
      </c>
      <c r="H156" s="1">
        <v>45411</v>
      </c>
      <c r="I156" t="s">
        <v>234</v>
      </c>
      <c r="J156" t="s">
        <v>71</v>
      </c>
      <c r="K156" t="s">
        <v>86</v>
      </c>
      <c r="L156" t="s">
        <v>235</v>
      </c>
    </row>
    <row r="157" spans="1:12" x14ac:dyDescent="0.25">
      <c r="A157" t="s">
        <v>232</v>
      </c>
      <c r="B157">
        <v>2858</v>
      </c>
      <c r="C157">
        <v>230</v>
      </c>
      <c r="D157">
        <v>3</v>
      </c>
      <c r="E157" t="s">
        <v>45</v>
      </c>
      <c r="F157" t="s">
        <v>46</v>
      </c>
      <c r="G157" t="s">
        <v>47</v>
      </c>
      <c r="H157" s="1">
        <v>44902</v>
      </c>
      <c r="I157" t="s">
        <v>233</v>
      </c>
      <c r="J157" t="s">
        <v>21</v>
      </c>
      <c r="K157" t="s">
        <v>22</v>
      </c>
      <c r="L157" t="s">
        <v>152</v>
      </c>
    </row>
    <row r="158" spans="1:12" x14ac:dyDescent="0.25">
      <c r="A158" t="s">
        <v>232</v>
      </c>
      <c r="B158">
        <v>2858</v>
      </c>
      <c r="C158">
        <v>230</v>
      </c>
      <c r="D158">
        <v>3</v>
      </c>
      <c r="E158" t="s">
        <v>45</v>
      </c>
      <c r="F158" t="s">
        <v>46</v>
      </c>
      <c r="G158" t="s">
        <v>47</v>
      </c>
      <c r="H158" s="1">
        <v>45411</v>
      </c>
      <c r="I158" t="s">
        <v>234</v>
      </c>
      <c r="J158" t="s">
        <v>71</v>
      </c>
      <c r="K158" t="s">
        <v>86</v>
      </c>
      <c r="L158" t="s">
        <v>235</v>
      </c>
    </row>
    <row r="159" spans="1:12" x14ac:dyDescent="0.25">
      <c r="A159" t="s">
        <v>232</v>
      </c>
      <c r="B159">
        <v>8175</v>
      </c>
      <c r="C159">
        <v>525</v>
      </c>
      <c r="D159">
        <v>7</v>
      </c>
      <c r="E159" t="s">
        <v>45</v>
      </c>
      <c r="F159" t="s">
        <v>60</v>
      </c>
      <c r="G159" t="s">
        <v>47</v>
      </c>
      <c r="H159" s="1">
        <v>44902</v>
      </c>
      <c r="I159" t="s">
        <v>233</v>
      </c>
      <c r="J159" t="s">
        <v>21</v>
      </c>
      <c r="K159" t="s">
        <v>22</v>
      </c>
      <c r="L159" t="s">
        <v>152</v>
      </c>
    </row>
    <row r="160" spans="1:12" x14ac:dyDescent="0.25">
      <c r="A160" t="s">
        <v>232</v>
      </c>
      <c r="B160">
        <v>8175</v>
      </c>
      <c r="C160">
        <v>525</v>
      </c>
      <c r="D160">
        <v>7</v>
      </c>
      <c r="E160" t="s">
        <v>45</v>
      </c>
      <c r="F160" t="s">
        <v>60</v>
      </c>
      <c r="G160" t="s">
        <v>47</v>
      </c>
      <c r="H160" s="1">
        <v>45411</v>
      </c>
      <c r="I160" t="s">
        <v>234</v>
      </c>
      <c r="J160" t="s">
        <v>71</v>
      </c>
      <c r="K160" t="s">
        <v>86</v>
      </c>
      <c r="L160" t="s">
        <v>235</v>
      </c>
    </row>
    <row r="161" spans="1:12" x14ac:dyDescent="0.25">
      <c r="A161" t="s">
        <v>232</v>
      </c>
      <c r="B161">
        <v>5846</v>
      </c>
      <c r="C161">
        <v>586</v>
      </c>
      <c r="D161">
        <v>18</v>
      </c>
      <c r="E161" t="s">
        <v>45</v>
      </c>
      <c r="F161" t="s">
        <v>60</v>
      </c>
      <c r="G161" t="s">
        <v>15</v>
      </c>
      <c r="H161" s="1">
        <v>44902</v>
      </c>
      <c r="I161" t="s">
        <v>233</v>
      </c>
      <c r="J161" t="s">
        <v>21</v>
      </c>
      <c r="K161" t="s">
        <v>22</v>
      </c>
      <c r="L161" t="s">
        <v>152</v>
      </c>
    </row>
    <row r="162" spans="1:12" x14ac:dyDescent="0.25">
      <c r="A162" t="s">
        <v>232</v>
      </c>
      <c r="B162">
        <v>5846</v>
      </c>
      <c r="C162">
        <v>586</v>
      </c>
      <c r="D162">
        <v>18</v>
      </c>
      <c r="E162" t="s">
        <v>45</v>
      </c>
      <c r="F162" t="s">
        <v>60</v>
      </c>
      <c r="G162" t="s">
        <v>15</v>
      </c>
      <c r="H162" s="1">
        <v>45411</v>
      </c>
      <c r="I162" t="s">
        <v>234</v>
      </c>
      <c r="J162" t="s">
        <v>71</v>
      </c>
      <c r="K162" t="s">
        <v>86</v>
      </c>
      <c r="L162" t="s">
        <v>235</v>
      </c>
    </row>
    <row r="163" spans="1:12" x14ac:dyDescent="0.25">
      <c r="A163" t="s">
        <v>236</v>
      </c>
      <c r="B163">
        <v>706</v>
      </c>
      <c r="C163">
        <v>197</v>
      </c>
      <c r="D163">
        <v>11</v>
      </c>
      <c r="E163" t="s">
        <v>13</v>
      </c>
      <c r="F163" t="s">
        <v>39</v>
      </c>
      <c r="G163" t="s">
        <v>47</v>
      </c>
      <c r="H163" s="1">
        <v>44563</v>
      </c>
      <c r="I163" t="s">
        <v>237</v>
      </c>
      <c r="J163" t="s">
        <v>71</v>
      </c>
      <c r="K163" t="s">
        <v>86</v>
      </c>
      <c r="L163" t="s">
        <v>87</v>
      </c>
    </row>
    <row r="164" spans="1:12" x14ac:dyDescent="0.25">
      <c r="A164" t="s">
        <v>238</v>
      </c>
      <c r="B164">
        <v>9835</v>
      </c>
      <c r="C164">
        <v>2571</v>
      </c>
      <c r="D164">
        <v>16</v>
      </c>
      <c r="E164" t="s">
        <v>45</v>
      </c>
      <c r="F164" t="s">
        <v>46</v>
      </c>
      <c r="G164" t="s">
        <v>65</v>
      </c>
      <c r="H164" s="1">
        <v>44722</v>
      </c>
      <c r="I164" t="s">
        <v>239</v>
      </c>
      <c r="J164" t="s">
        <v>71</v>
      </c>
      <c r="K164" t="s">
        <v>72</v>
      </c>
      <c r="L164" t="s">
        <v>165</v>
      </c>
    </row>
    <row r="165" spans="1:12" x14ac:dyDescent="0.25">
      <c r="A165" t="s">
        <v>238</v>
      </c>
      <c r="B165">
        <v>9835</v>
      </c>
      <c r="C165">
        <v>2571</v>
      </c>
      <c r="D165">
        <v>16</v>
      </c>
      <c r="E165" t="s">
        <v>45</v>
      </c>
      <c r="F165" t="s">
        <v>46</v>
      </c>
      <c r="G165" t="s">
        <v>65</v>
      </c>
      <c r="H165" s="1">
        <v>44516</v>
      </c>
      <c r="I165" t="s">
        <v>240</v>
      </c>
      <c r="J165" t="s">
        <v>17</v>
      </c>
      <c r="K165" t="s">
        <v>34</v>
      </c>
      <c r="L165" t="s">
        <v>175</v>
      </c>
    </row>
    <row r="166" spans="1:12" x14ac:dyDescent="0.25">
      <c r="A166" t="s">
        <v>238</v>
      </c>
      <c r="B166">
        <v>9835</v>
      </c>
      <c r="C166">
        <v>2571</v>
      </c>
      <c r="D166">
        <v>16</v>
      </c>
      <c r="E166" t="s">
        <v>45</v>
      </c>
      <c r="F166" t="s">
        <v>46</v>
      </c>
      <c r="G166" t="s">
        <v>65</v>
      </c>
      <c r="H166" s="1">
        <v>44790</v>
      </c>
      <c r="I166" t="s">
        <v>241</v>
      </c>
      <c r="J166" t="s">
        <v>42</v>
      </c>
      <c r="K166" t="s">
        <v>43</v>
      </c>
      <c r="L166" t="s">
        <v>209</v>
      </c>
    </row>
    <row r="167" spans="1:12" x14ac:dyDescent="0.25">
      <c r="A167" t="s">
        <v>238</v>
      </c>
      <c r="B167">
        <v>9691</v>
      </c>
      <c r="C167">
        <v>3056</v>
      </c>
      <c r="D167">
        <v>13</v>
      </c>
      <c r="E167" t="s">
        <v>30</v>
      </c>
      <c r="F167" t="s">
        <v>57</v>
      </c>
      <c r="G167" t="s">
        <v>47</v>
      </c>
      <c r="H167" s="1">
        <v>44722</v>
      </c>
      <c r="I167" t="s">
        <v>239</v>
      </c>
      <c r="J167" t="s">
        <v>71</v>
      </c>
      <c r="K167" t="s">
        <v>72</v>
      </c>
      <c r="L167" t="s">
        <v>165</v>
      </c>
    </row>
    <row r="168" spans="1:12" x14ac:dyDescent="0.25">
      <c r="A168" t="s">
        <v>238</v>
      </c>
      <c r="B168">
        <v>9691</v>
      </c>
      <c r="C168">
        <v>3056</v>
      </c>
      <c r="D168">
        <v>13</v>
      </c>
      <c r="E168" t="s">
        <v>30</v>
      </c>
      <c r="F168" t="s">
        <v>57</v>
      </c>
      <c r="G168" t="s">
        <v>47</v>
      </c>
      <c r="H168" s="1">
        <v>44516</v>
      </c>
      <c r="I168" t="s">
        <v>240</v>
      </c>
      <c r="J168" t="s">
        <v>17</v>
      </c>
      <c r="K168" t="s">
        <v>34</v>
      </c>
      <c r="L168" t="s">
        <v>175</v>
      </c>
    </row>
    <row r="169" spans="1:12" x14ac:dyDescent="0.25">
      <c r="A169" t="s">
        <v>238</v>
      </c>
      <c r="B169">
        <v>9691</v>
      </c>
      <c r="C169">
        <v>3056</v>
      </c>
      <c r="D169">
        <v>13</v>
      </c>
      <c r="E169" t="s">
        <v>30</v>
      </c>
      <c r="F169" t="s">
        <v>57</v>
      </c>
      <c r="G169" t="s">
        <v>47</v>
      </c>
      <c r="H169" s="1">
        <v>44790</v>
      </c>
      <c r="I169" t="s">
        <v>241</v>
      </c>
      <c r="J169" t="s">
        <v>42</v>
      </c>
      <c r="K169" t="s">
        <v>43</v>
      </c>
      <c r="L169" t="s">
        <v>209</v>
      </c>
    </row>
    <row r="170" spans="1:12" x14ac:dyDescent="0.25">
      <c r="A170" t="s">
        <v>238</v>
      </c>
      <c r="B170">
        <v>7826</v>
      </c>
      <c r="C170">
        <v>1221</v>
      </c>
      <c r="D170">
        <v>14</v>
      </c>
      <c r="E170" t="s">
        <v>45</v>
      </c>
      <c r="F170" t="s">
        <v>109</v>
      </c>
      <c r="G170" t="s">
        <v>15</v>
      </c>
      <c r="H170" s="1">
        <v>44722</v>
      </c>
      <c r="I170" t="s">
        <v>239</v>
      </c>
      <c r="J170" t="s">
        <v>71</v>
      </c>
      <c r="K170" t="s">
        <v>72</v>
      </c>
      <c r="L170" t="s">
        <v>165</v>
      </c>
    </row>
    <row r="171" spans="1:12" x14ac:dyDescent="0.25">
      <c r="A171" t="s">
        <v>238</v>
      </c>
      <c r="B171">
        <v>7826</v>
      </c>
      <c r="C171">
        <v>1221</v>
      </c>
      <c r="D171">
        <v>14</v>
      </c>
      <c r="E171" t="s">
        <v>45</v>
      </c>
      <c r="F171" t="s">
        <v>109</v>
      </c>
      <c r="G171" t="s">
        <v>15</v>
      </c>
      <c r="H171" s="1">
        <v>44516</v>
      </c>
      <c r="I171" t="s">
        <v>240</v>
      </c>
      <c r="J171" t="s">
        <v>17</v>
      </c>
      <c r="K171" t="s">
        <v>34</v>
      </c>
      <c r="L171" t="s">
        <v>175</v>
      </c>
    </row>
    <row r="172" spans="1:12" x14ac:dyDescent="0.25">
      <c r="A172" t="s">
        <v>238</v>
      </c>
      <c r="B172">
        <v>7826</v>
      </c>
      <c r="C172">
        <v>1221</v>
      </c>
      <c r="D172">
        <v>14</v>
      </c>
      <c r="E172" t="s">
        <v>45</v>
      </c>
      <c r="F172" t="s">
        <v>109</v>
      </c>
      <c r="G172" t="s">
        <v>15</v>
      </c>
      <c r="H172" s="1">
        <v>44790</v>
      </c>
      <c r="I172" t="s">
        <v>241</v>
      </c>
      <c r="J172" t="s">
        <v>42</v>
      </c>
      <c r="K172" t="s">
        <v>43</v>
      </c>
      <c r="L172" t="s">
        <v>209</v>
      </c>
    </row>
    <row r="173" spans="1:12" x14ac:dyDescent="0.25">
      <c r="A173" t="s">
        <v>242</v>
      </c>
      <c r="B173">
        <v>770</v>
      </c>
      <c r="C173">
        <v>241</v>
      </c>
      <c r="D173">
        <v>11</v>
      </c>
      <c r="E173" t="s">
        <v>45</v>
      </c>
      <c r="F173" t="s">
        <v>60</v>
      </c>
      <c r="G173" t="s">
        <v>65</v>
      </c>
      <c r="H173" s="1">
        <v>44523</v>
      </c>
      <c r="I173" t="s">
        <v>243</v>
      </c>
      <c r="J173" t="s">
        <v>71</v>
      </c>
      <c r="K173" t="s">
        <v>86</v>
      </c>
      <c r="L173" t="s">
        <v>175</v>
      </c>
    </row>
    <row r="174" spans="1:12" x14ac:dyDescent="0.25">
      <c r="A174" t="s">
        <v>242</v>
      </c>
      <c r="B174">
        <v>770</v>
      </c>
      <c r="C174">
        <v>241</v>
      </c>
      <c r="D174">
        <v>11</v>
      </c>
      <c r="E174" t="s">
        <v>45</v>
      </c>
      <c r="F174" t="s">
        <v>60</v>
      </c>
      <c r="G174" t="s">
        <v>65</v>
      </c>
      <c r="H174" s="1">
        <v>44989</v>
      </c>
      <c r="I174" t="s">
        <v>244</v>
      </c>
      <c r="J174" t="s">
        <v>98</v>
      </c>
      <c r="K174" t="s">
        <v>107</v>
      </c>
      <c r="L174" t="s">
        <v>245</v>
      </c>
    </row>
    <row r="175" spans="1:12" x14ac:dyDescent="0.25">
      <c r="A175" t="s">
        <v>246</v>
      </c>
      <c r="B175">
        <v>9895</v>
      </c>
      <c r="C175">
        <v>1598</v>
      </c>
      <c r="D175">
        <v>20</v>
      </c>
      <c r="E175" t="s">
        <v>45</v>
      </c>
      <c r="F175" t="s">
        <v>109</v>
      </c>
      <c r="G175" t="s">
        <v>65</v>
      </c>
      <c r="H175" s="1">
        <v>45276</v>
      </c>
      <c r="I175" t="s">
        <v>247</v>
      </c>
      <c r="J175" t="s">
        <v>25</v>
      </c>
      <c r="K175" t="s">
        <v>68</v>
      </c>
      <c r="L175" t="s">
        <v>102</v>
      </c>
    </row>
    <row r="176" spans="1:12" x14ac:dyDescent="0.25">
      <c r="A176" t="s">
        <v>248</v>
      </c>
      <c r="B176">
        <v>6517</v>
      </c>
      <c r="C176">
        <v>1581</v>
      </c>
      <c r="D176">
        <v>10</v>
      </c>
      <c r="E176" t="s">
        <v>30</v>
      </c>
      <c r="F176" t="s">
        <v>64</v>
      </c>
      <c r="G176" t="s">
        <v>32</v>
      </c>
      <c r="H176" s="1">
        <v>45431</v>
      </c>
      <c r="I176" t="s">
        <v>249</v>
      </c>
      <c r="J176" t="s">
        <v>17</v>
      </c>
      <c r="K176" t="s">
        <v>18</v>
      </c>
      <c r="L176" t="s">
        <v>35</v>
      </c>
    </row>
    <row r="177" spans="1:12" x14ac:dyDescent="0.25">
      <c r="A177" t="s">
        <v>248</v>
      </c>
      <c r="B177">
        <v>6517</v>
      </c>
      <c r="C177">
        <v>1581</v>
      </c>
      <c r="D177">
        <v>10</v>
      </c>
      <c r="E177" t="s">
        <v>30</v>
      </c>
      <c r="F177" t="s">
        <v>64</v>
      </c>
      <c r="G177" t="s">
        <v>32</v>
      </c>
      <c r="H177" s="1">
        <v>43965</v>
      </c>
      <c r="I177" t="s">
        <v>250</v>
      </c>
      <c r="J177" t="s">
        <v>17</v>
      </c>
      <c r="K177" t="s">
        <v>150</v>
      </c>
      <c r="L177" t="s">
        <v>59</v>
      </c>
    </row>
    <row r="178" spans="1:12" x14ac:dyDescent="0.25">
      <c r="A178" t="s">
        <v>248</v>
      </c>
      <c r="B178">
        <v>1166</v>
      </c>
      <c r="C178">
        <v>349</v>
      </c>
      <c r="D178">
        <v>11</v>
      </c>
      <c r="E178" t="s">
        <v>45</v>
      </c>
      <c r="F178" t="s">
        <v>46</v>
      </c>
      <c r="G178" t="s">
        <v>47</v>
      </c>
      <c r="H178" s="1">
        <v>45431</v>
      </c>
      <c r="I178" t="s">
        <v>249</v>
      </c>
      <c r="J178" t="s">
        <v>17</v>
      </c>
      <c r="K178" t="s">
        <v>18</v>
      </c>
      <c r="L178" t="s">
        <v>35</v>
      </c>
    </row>
    <row r="179" spans="1:12" x14ac:dyDescent="0.25">
      <c r="A179" t="s">
        <v>248</v>
      </c>
      <c r="B179">
        <v>1166</v>
      </c>
      <c r="C179">
        <v>349</v>
      </c>
      <c r="D179">
        <v>11</v>
      </c>
      <c r="E179" t="s">
        <v>45</v>
      </c>
      <c r="F179" t="s">
        <v>46</v>
      </c>
      <c r="G179" t="s">
        <v>47</v>
      </c>
      <c r="H179" s="1">
        <v>43965</v>
      </c>
      <c r="I179" t="s">
        <v>250</v>
      </c>
      <c r="J179" t="s">
        <v>17</v>
      </c>
      <c r="K179" t="s">
        <v>150</v>
      </c>
      <c r="L179" t="s">
        <v>59</v>
      </c>
    </row>
    <row r="180" spans="1:12" x14ac:dyDescent="0.25">
      <c r="A180" t="s">
        <v>251</v>
      </c>
      <c r="B180">
        <v>9820</v>
      </c>
      <c r="C180">
        <v>793</v>
      </c>
      <c r="D180">
        <v>16</v>
      </c>
      <c r="E180" t="s">
        <v>45</v>
      </c>
      <c r="F180" t="s">
        <v>49</v>
      </c>
      <c r="G180" t="s">
        <v>47</v>
      </c>
      <c r="H180" s="1">
        <v>44437</v>
      </c>
      <c r="I180" t="s">
        <v>252</v>
      </c>
      <c r="J180" t="s">
        <v>25</v>
      </c>
      <c r="K180" t="s">
        <v>26</v>
      </c>
      <c r="L180" t="s">
        <v>178</v>
      </c>
    </row>
    <row r="181" spans="1:12" x14ac:dyDescent="0.25">
      <c r="A181" t="s">
        <v>253</v>
      </c>
      <c r="B181">
        <v>8563</v>
      </c>
      <c r="C181">
        <v>2624</v>
      </c>
      <c r="D181">
        <v>8</v>
      </c>
      <c r="E181" t="s">
        <v>30</v>
      </c>
      <c r="F181" t="s">
        <v>78</v>
      </c>
      <c r="G181" t="s">
        <v>65</v>
      </c>
      <c r="H181" s="1">
        <v>45606</v>
      </c>
      <c r="I181" t="s">
        <v>254</v>
      </c>
      <c r="J181" t="s">
        <v>71</v>
      </c>
      <c r="K181" t="s">
        <v>72</v>
      </c>
      <c r="L181" t="s">
        <v>255</v>
      </c>
    </row>
    <row r="182" spans="1:12" x14ac:dyDescent="0.25">
      <c r="A182" t="s">
        <v>253</v>
      </c>
      <c r="B182">
        <v>4441</v>
      </c>
      <c r="C182">
        <v>281</v>
      </c>
      <c r="D182">
        <v>20</v>
      </c>
      <c r="E182" t="s">
        <v>13</v>
      </c>
      <c r="F182" t="s">
        <v>28</v>
      </c>
      <c r="G182" t="s">
        <v>65</v>
      </c>
      <c r="H182" s="1">
        <v>45606</v>
      </c>
      <c r="I182" t="s">
        <v>254</v>
      </c>
      <c r="J182" t="s">
        <v>71</v>
      </c>
      <c r="K182" t="s">
        <v>72</v>
      </c>
      <c r="L182" t="s">
        <v>255</v>
      </c>
    </row>
    <row r="183" spans="1:12" x14ac:dyDescent="0.25">
      <c r="A183" t="s">
        <v>256</v>
      </c>
      <c r="B183">
        <v>7340</v>
      </c>
      <c r="C183">
        <v>2271</v>
      </c>
      <c r="D183">
        <v>8</v>
      </c>
      <c r="E183" t="s">
        <v>30</v>
      </c>
      <c r="F183" t="s">
        <v>64</v>
      </c>
      <c r="G183" t="s">
        <v>40</v>
      </c>
      <c r="H183" s="1">
        <v>44535</v>
      </c>
      <c r="I183" t="s">
        <v>257</v>
      </c>
      <c r="J183" t="s">
        <v>17</v>
      </c>
      <c r="K183" t="s">
        <v>34</v>
      </c>
      <c r="L183" t="s">
        <v>90</v>
      </c>
    </row>
    <row r="184" spans="1:12" x14ac:dyDescent="0.25">
      <c r="A184" t="s">
        <v>256</v>
      </c>
      <c r="B184">
        <v>5442</v>
      </c>
      <c r="C184">
        <v>1610</v>
      </c>
      <c r="D184">
        <v>1</v>
      </c>
      <c r="E184" t="s">
        <v>13</v>
      </c>
      <c r="F184" t="s">
        <v>82</v>
      </c>
      <c r="G184" t="s">
        <v>40</v>
      </c>
      <c r="H184" s="1">
        <v>44535</v>
      </c>
      <c r="I184" t="s">
        <v>257</v>
      </c>
      <c r="J184" t="s">
        <v>17</v>
      </c>
      <c r="K184" t="s">
        <v>34</v>
      </c>
      <c r="L184" t="s">
        <v>90</v>
      </c>
    </row>
    <row r="185" spans="1:12" x14ac:dyDescent="0.25">
      <c r="A185" t="s">
        <v>258</v>
      </c>
      <c r="B185">
        <v>1895</v>
      </c>
      <c r="C185">
        <v>391</v>
      </c>
      <c r="D185">
        <v>14</v>
      </c>
      <c r="E185" t="s">
        <v>45</v>
      </c>
      <c r="F185" t="s">
        <v>46</v>
      </c>
      <c r="G185" t="s">
        <v>15</v>
      </c>
      <c r="H185" s="1">
        <v>45478</v>
      </c>
      <c r="I185" t="s">
        <v>259</v>
      </c>
      <c r="J185" t="s">
        <v>17</v>
      </c>
      <c r="K185" t="s">
        <v>150</v>
      </c>
      <c r="L185" t="s">
        <v>215</v>
      </c>
    </row>
    <row r="186" spans="1:12" x14ac:dyDescent="0.25">
      <c r="A186" t="s">
        <v>258</v>
      </c>
      <c r="B186">
        <v>5323</v>
      </c>
      <c r="C186">
        <v>322</v>
      </c>
      <c r="D186">
        <v>13</v>
      </c>
      <c r="E186" t="s">
        <v>30</v>
      </c>
      <c r="F186" t="s">
        <v>78</v>
      </c>
      <c r="G186" t="s">
        <v>65</v>
      </c>
      <c r="H186" s="1">
        <v>45478</v>
      </c>
      <c r="I186" t="s">
        <v>259</v>
      </c>
      <c r="J186" t="s">
        <v>17</v>
      </c>
      <c r="K186" t="s">
        <v>150</v>
      </c>
      <c r="L186" t="s">
        <v>215</v>
      </c>
    </row>
    <row r="187" spans="1:12" x14ac:dyDescent="0.25">
      <c r="A187" t="s">
        <v>260</v>
      </c>
      <c r="B187">
        <v>8850</v>
      </c>
      <c r="C187">
        <v>279</v>
      </c>
      <c r="D187">
        <v>13</v>
      </c>
      <c r="E187" t="s">
        <v>30</v>
      </c>
      <c r="F187" t="s">
        <v>57</v>
      </c>
      <c r="G187" t="s">
        <v>32</v>
      </c>
      <c r="H187" s="1">
        <v>45468</v>
      </c>
      <c r="I187" t="s">
        <v>261</v>
      </c>
      <c r="J187" t="s">
        <v>17</v>
      </c>
      <c r="K187" t="s">
        <v>18</v>
      </c>
      <c r="L187" t="s">
        <v>262</v>
      </c>
    </row>
    <row r="188" spans="1:12" x14ac:dyDescent="0.25">
      <c r="A188" t="s">
        <v>260</v>
      </c>
      <c r="B188">
        <v>8667</v>
      </c>
      <c r="C188">
        <v>1266</v>
      </c>
      <c r="D188">
        <v>6</v>
      </c>
      <c r="E188" t="s">
        <v>30</v>
      </c>
      <c r="F188" t="s">
        <v>64</v>
      </c>
      <c r="G188" t="s">
        <v>32</v>
      </c>
      <c r="H188" s="1">
        <v>45468</v>
      </c>
      <c r="I188" t="s">
        <v>261</v>
      </c>
      <c r="J188" t="s">
        <v>17</v>
      </c>
      <c r="K188" t="s">
        <v>18</v>
      </c>
      <c r="L188" t="s">
        <v>262</v>
      </c>
    </row>
    <row r="189" spans="1:12" x14ac:dyDescent="0.25">
      <c r="A189" t="s">
        <v>263</v>
      </c>
      <c r="B189">
        <v>6903</v>
      </c>
      <c r="C189">
        <v>105</v>
      </c>
      <c r="D189">
        <v>1</v>
      </c>
      <c r="E189" t="s">
        <v>45</v>
      </c>
      <c r="F189" t="s">
        <v>46</v>
      </c>
      <c r="G189" t="s">
        <v>65</v>
      </c>
      <c r="H189" s="1">
        <v>45443</v>
      </c>
      <c r="I189" t="s">
        <v>264</v>
      </c>
      <c r="J189" t="s">
        <v>21</v>
      </c>
      <c r="K189" t="s">
        <v>22</v>
      </c>
      <c r="L189" t="s">
        <v>35</v>
      </c>
    </row>
    <row r="190" spans="1:12" x14ac:dyDescent="0.25">
      <c r="A190" t="s">
        <v>263</v>
      </c>
      <c r="B190">
        <v>8793</v>
      </c>
      <c r="C190">
        <v>3010</v>
      </c>
      <c r="D190">
        <v>7</v>
      </c>
      <c r="E190" t="s">
        <v>30</v>
      </c>
      <c r="F190" t="s">
        <v>31</v>
      </c>
      <c r="G190" t="s">
        <v>65</v>
      </c>
      <c r="H190" s="1">
        <v>45443</v>
      </c>
      <c r="I190" t="s">
        <v>264</v>
      </c>
      <c r="J190" t="s">
        <v>21</v>
      </c>
      <c r="K190" t="s">
        <v>22</v>
      </c>
      <c r="L190" t="s">
        <v>35</v>
      </c>
    </row>
    <row r="191" spans="1:12" x14ac:dyDescent="0.25">
      <c r="A191" t="s">
        <v>265</v>
      </c>
      <c r="B191">
        <v>9883</v>
      </c>
      <c r="C191">
        <v>4812</v>
      </c>
      <c r="D191">
        <v>16</v>
      </c>
      <c r="E191" t="s">
        <v>30</v>
      </c>
      <c r="F191" t="s">
        <v>64</v>
      </c>
      <c r="G191" t="s">
        <v>15</v>
      </c>
      <c r="H191" s="1">
        <v>44124</v>
      </c>
      <c r="I191" t="s">
        <v>266</v>
      </c>
      <c r="J191" t="s">
        <v>25</v>
      </c>
      <c r="K191" t="s">
        <v>26</v>
      </c>
      <c r="L191" t="s">
        <v>119</v>
      </c>
    </row>
    <row r="192" spans="1:12" x14ac:dyDescent="0.25">
      <c r="A192" t="s">
        <v>265</v>
      </c>
      <c r="B192">
        <v>9883</v>
      </c>
      <c r="C192">
        <v>4812</v>
      </c>
      <c r="D192">
        <v>16</v>
      </c>
      <c r="E192" t="s">
        <v>30</v>
      </c>
      <c r="F192" t="s">
        <v>64</v>
      </c>
      <c r="G192" t="s">
        <v>15</v>
      </c>
      <c r="H192" s="1">
        <v>44784</v>
      </c>
      <c r="I192" t="s">
        <v>267</v>
      </c>
      <c r="J192" t="s">
        <v>17</v>
      </c>
      <c r="K192" t="s">
        <v>34</v>
      </c>
      <c r="L192" t="s">
        <v>209</v>
      </c>
    </row>
    <row r="193" spans="1:12" x14ac:dyDescent="0.25">
      <c r="A193" t="s">
        <v>265</v>
      </c>
      <c r="B193">
        <v>9883</v>
      </c>
      <c r="C193">
        <v>4812</v>
      </c>
      <c r="D193">
        <v>16</v>
      </c>
      <c r="E193" t="s">
        <v>30</v>
      </c>
      <c r="F193" t="s">
        <v>64</v>
      </c>
      <c r="G193" t="s">
        <v>15</v>
      </c>
      <c r="H193" s="1">
        <v>44486</v>
      </c>
      <c r="I193" t="s">
        <v>268</v>
      </c>
      <c r="J193" t="s">
        <v>21</v>
      </c>
      <c r="K193" t="s">
        <v>63</v>
      </c>
      <c r="L193" t="s">
        <v>37</v>
      </c>
    </row>
    <row r="194" spans="1:12" x14ac:dyDescent="0.25">
      <c r="A194" t="s">
        <v>265</v>
      </c>
      <c r="B194">
        <v>5210</v>
      </c>
      <c r="C194">
        <v>1185</v>
      </c>
      <c r="D194">
        <v>7</v>
      </c>
      <c r="E194" t="s">
        <v>30</v>
      </c>
      <c r="F194" t="s">
        <v>64</v>
      </c>
      <c r="G194" t="s">
        <v>15</v>
      </c>
      <c r="H194" s="1">
        <v>44124</v>
      </c>
      <c r="I194" t="s">
        <v>266</v>
      </c>
      <c r="J194" t="s">
        <v>25</v>
      </c>
      <c r="K194" t="s">
        <v>26</v>
      </c>
      <c r="L194" t="s">
        <v>119</v>
      </c>
    </row>
    <row r="195" spans="1:12" x14ac:dyDescent="0.25">
      <c r="A195" t="s">
        <v>265</v>
      </c>
      <c r="B195">
        <v>5210</v>
      </c>
      <c r="C195">
        <v>1185</v>
      </c>
      <c r="D195">
        <v>7</v>
      </c>
      <c r="E195" t="s">
        <v>30</v>
      </c>
      <c r="F195" t="s">
        <v>64</v>
      </c>
      <c r="G195" t="s">
        <v>15</v>
      </c>
      <c r="H195" s="1">
        <v>44784</v>
      </c>
      <c r="I195" t="s">
        <v>267</v>
      </c>
      <c r="J195" t="s">
        <v>17</v>
      </c>
      <c r="K195" t="s">
        <v>34</v>
      </c>
      <c r="L195" t="s">
        <v>209</v>
      </c>
    </row>
    <row r="196" spans="1:12" x14ac:dyDescent="0.25">
      <c r="A196" t="s">
        <v>265</v>
      </c>
      <c r="B196">
        <v>5210</v>
      </c>
      <c r="C196">
        <v>1185</v>
      </c>
      <c r="D196">
        <v>7</v>
      </c>
      <c r="E196" t="s">
        <v>30</v>
      </c>
      <c r="F196" t="s">
        <v>64</v>
      </c>
      <c r="G196" t="s">
        <v>15</v>
      </c>
      <c r="H196" s="1">
        <v>44486</v>
      </c>
      <c r="I196" t="s">
        <v>268</v>
      </c>
      <c r="J196" t="s">
        <v>21</v>
      </c>
      <c r="K196" t="s">
        <v>63</v>
      </c>
      <c r="L196" t="s">
        <v>37</v>
      </c>
    </row>
    <row r="197" spans="1:12" x14ac:dyDescent="0.25">
      <c r="A197" t="s">
        <v>269</v>
      </c>
      <c r="B197">
        <v>3574</v>
      </c>
      <c r="C197">
        <v>851</v>
      </c>
      <c r="D197">
        <v>4</v>
      </c>
      <c r="E197" t="s">
        <v>13</v>
      </c>
      <c r="F197" t="s">
        <v>28</v>
      </c>
      <c r="G197" t="s">
        <v>47</v>
      </c>
      <c r="H197" s="1">
        <v>44615</v>
      </c>
      <c r="I197" t="s">
        <v>270</v>
      </c>
      <c r="J197" t="s">
        <v>42</v>
      </c>
      <c r="K197" t="s">
        <v>43</v>
      </c>
      <c r="L197" t="s">
        <v>137</v>
      </c>
    </row>
    <row r="198" spans="1:12" x14ac:dyDescent="0.25">
      <c r="A198" t="s">
        <v>269</v>
      </c>
      <c r="B198">
        <v>576</v>
      </c>
      <c r="C198">
        <v>76</v>
      </c>
      <c r="D198">
        <v>13</v>
      </c>
      <c r="E198" t="s">
        <v>45</v>
      </c>
      <c r="F198" t="s">
        <v>60</v>
      </c>
      <c r="G198" t="s">
        <v>15</v>
      </c>
      <c r="H198" s="1">
        <v>44615</v>
      </c>
      <c r="I198" t="s">
        <v>270</v>
      </c>
      <c r="J198" t="s">
        <v>42</v>
      </c>
      <c r="K198" t="s">
        <v>43</v>
      </c>
      <c r="L198" t="s">
        <v>137</v>
      </c>
    </row>
    <row r="199" spans="1:12" x14ac:dyDescent="0.25">
      <c r="A199" t="s">
        <v>271</v>
      </c>
      <c r="B199">
        <v>1860</v>
      </c>
      <c r="C199">
        <v>457</v>
      </c>
      <c r="D199">
        <v>13</v>
      </c>
      <c r="E199" t="s">
        <v>13</v>
      </c>
      <c r="F199" t="s">
        <v>28</v>
      </c>
      <c r="G199" t="s">
        <v>40</v>
      </c>
      <c r="H199" s="1">
        <v>45189</v>
      </c>
      <c r="I199" t="s">
        <v>272</v>
      </c>
      <c r="J199" t="s">
        <v>98</v>
      </c>
      <c r="K199" t="s">
        <v>117</v>
      </c>
      <c r="L199" t="s">
        <v>273</v>
      </c>
    </row>
    <row r="200" spans="1:12" x14ac:dyDescent="0.25">
      <c r="A200" t="s">
        <v>274</v>
      </c>
      <c r="B200">
        <v>782</v>
      </c>
      <c r="C200">
        <v>374</v>
      </c>
      <c r="D200">
        <v>8</v>
      </c>
      <c r="E200" t="s">
        <v>30</v>
      </c>
      <c r="F200" t="s">
        <v>31</v>
      </c>
      <c r="G200" t="s">
        <v>40</v>
      </c>
      <c r="H200" s="1">
        <v>44215</v>
      </c>
      <c r="I200" t="s">
        <v>275</v>
      </c>
      <c r="J200" t="s">
        <v>21</v>
      </c>
      <c r="K200" t="s">
        <v>172</v>
      </c>
      <c r="L200" t="s">
        <v>276</v>
      </c>
    </row>
    <row r="201" spans="1:12" x14ac:dyDescent="0.25">
      <c r="A201" t="s">
        <v>274</v>
      </c>
      <c r="B201">
        <v>4371</v>
      </c>
      <c r="C201">
        <v>1852</v>
      </c>
      <c r="D201">
        <v>1</v>
      </c>
      <c r="E201" t="s">
        <v>13</v>
      </c>
      <c r="F201" t="s">
        <v>39</v>
      </c>
      <c r="G201" t="s">
        <v>15</v>
      </c>
      <c r="H201" s="1">
        <v>44215</v>
      </c>
      <c r="I201" t="s">
        <v>275</v>
      </c>
      <c r="J201" t="s">
        <v>21</v>
      </c>
      <c r="K201" t="s">
        <v>172</v>
      </c>
      <c r="L201" t="s">
        <v>276</v>
      </c>
    </row>
    <row r="202" spans="1:12" x14ac:dyDescent="0.25">
      <c r="A202" t="s">
        <v>277</v>
      </c>
      <c r="B202">
        <v>8346</v>
      </c>
      <c r="C202">
        <v>1176</v>
      </c>
      <c r="D202">
        <v>1</v>
      </c>
      <c r="E202" t="s">
        <v>13</v>
      </c>
      <c r="F202" t="s">
        <v>82</v>
      </c>
      <c r="G202" t="s">
        <v>65</v>
      </c>
      <c r="H202" s="1">
        <v>44064</v>
      </c>
      <c r="I202" t="s">
        <v>278</v>
      </c>
      <c r="J202" t="s">
        <v>71</v>
      </c>
      <c r="K202" t="s">
        <v>138</v>
      </c>
      <c r="L202" t="s">
        <v>185</v>
      </c>
    </row>
    <row r="203" spans="1:12" x14ac:dyDescent="0.25">
      <c r="A203" t="s">
        <v>277</v>
      </c>
      <c r="B203">
        <v>8346</v>
      </c>
      <c r="C203">
        <v>1176</v>
      </c>
      <c r="D203">
        <v>1</v>
      </c>
      <c r="E203" t="s">
        <v>13</v>
      </c>
      <c r="F203" t="s">
        <v>82</v>
      </c>
      <c r="G203" t="s">
        <v>65</v>
      </c>
      <c r="H203" s="1">
        <v>45033</v>
      </c>
      <c r="I203" t="s">
        <v>279</v>
      </c>
      <c r="J203" t="s">
        <v>21</v>
      </c>
      <c r="K203" t="s">
        <v>22</v>
      </c>
      <c r="L203" t="s">
        <v>145</v>
      </c>
    </row>
    <row r="204" spans="1:12" x14ac:dyDescent="0.25">
      <c r="A204" t="s">
        <v>277</v>
      </c>
      <c r="B204">
        <v>8346</v>
      </c>
      <c r="C204">
        <v>1176</v>
      </c>
      <c r="D204">
        <v>1</v>
      </c>
      <c r="E204" t="s">
        <v>13</v>
      </c>
      <c r="F204" t="s">
        <v>82</v>
      </c>
      <c r="G204" t="s">
        <v>65</v>
      </c>
      <c r="H204" s="1">
        <v>45284</v>
      </c>
      <c r="I204" t="s">
        <v>280</v>
      </c>
      <c r="J204" t="s">
        <v>42</v>
      </c>
      <c r="K204" t="s">
        <v>92</v>
      </c>
      <c r="L204" t="s">
        <v>102</v>
      </c>
    </row>
    <row r="205" spans="1:12" x14ac:dyDescent="0.25">
      <c r="A205" t="s">
        <v>277</v>
      </c>
      <c r="B205">
        <v>6218</v>
      </c>
      <c r="C205">
        <v>1125</v>
      </c>
      <c r="D205">
        <v>5</v>
      </c>
      <c r="E205" t="s">
        <v>45</v>
      </c>
      <c r="F205" t="s">
        <v>46</v>
      </c>
      <c r="G205" t="s">
        <v>32</v>
      </c>
      <c r="H205" s="1">
        <v>44064</v>
      </c>
      <c r="I205" t="s">
        <v>278</v>
      </c>
      <c r="J205" t="s">
        <v>71</v>
      </c>
      <c r="K205" t="s">
        <v>138</v>
      </c>
      <c r="L205" t="s">
        <v>185</v>
      </c>
    </row>
    <row r="206" spans="1:12" x14ac:dyDescent="0.25">
      <c r="A206" t="s">
        <v>277</v>
      </c>
      <c r="B206">
        <v>6218</v>
      </c>
      <c r="C206">
        <v>1125</v>
      </c>
      <c r="D206">
        <v>5</v>
      </c>
      <c r="E206" t="s">
        <v>45</v>
      </c>
      <c r="F206" t="s">
        <v>46</v>
      </c>
      <c r="G206" t="s">
        <v>32</v>
      </c>
      <c r="H206" s="1">
        <v>45033</v>
      </c>
      <c r="I206" t="s">
        <v>279</v>
      </c>
      <c r="J206" t="s">
        <v>21</v>
      </c>
      <c r="K206" t="s">
        <v>22</v>
      </c>
      <c r="L206" t="s">
        <v>145</v>
      </c>
    </row>
    <row r="207" spans="1:12" x14ac:dyDescent="0.25">
      <c r="A207" t="s">
        <v>277</v>
      </c>
      <c r="B207">
        <v>6218</v>
      </c>
      <c r="C207">
        <v>1125</v>
      </c>
      <c r="D207">
        <v>5</v>
      </c>
      <c r="E207" t="s">
        <v>45</v>
      </c>
      <c r="F207" t="s">
        <v>46</v>
      </c>
      <c r="G207" t="s">
        <v>32</v>
      </c>
      <c r="H207" s="1">
        <v>45284</v>
      </c>
      <c r="I207" t="s">
        <v>280</v>
      </c>
      <c r="J207" t="s">
        <v>42</v>
      </c>
      <c r="K207" t="s">
        <v>92</v>
      </c>
      <c r="L207" t="s">
        <v>102</v>
      </c>
    </row>
    <row r="208" spans="1:12" x14ac:dyDescent="0.25">
      <c r="A208" t="s">
        <v>277</v>
      </c>
      <c r="B208">
        <v>5167</v>
      </c>
      <c r="C208">
        <v>253</v>
      </c>
      <c r="D208">
        <v>14</v>
      </c>
      <c r="E208" t="s">
        <v>13</v>
      </c>
      <c r="F208" t="s">
        <v>28</v>
      </c>
      <c r="G208" t="s">
        <v>47</v>
      </c>
      <c r="H208" s="1">
        <v>44064</v>
      </c>
      <c r="I208" t="s">
        <v>278</v>
      </c>
      <c r="J208" t="s">
        <v>71</v>
      </c>
      <c r="K208" t="s">
        <v>138</v>
      </c>
      <c r="L208" t="s">
        <v>185</v>
      </c>
    </row>
    <row r="209" spans="1:12" x14ac:dyDescent="0.25">
      <c r="A209" t="s">
        <v>277</v>
      </c>
      <c r="B209">
        <v>5167</v>
      </c>
      <c r="C209">
        <v>253</v>
      </c>
      <c r="D209">
        <v>14</v>
      </c>
      <c r="E209" t="s">
        <v>13</v>
      </c>
      <c r="F209" t="s">
        <v>28</v>
      </c>
      <c r="G209" t="s">
        <v>47</v>
      </c>
      <c r="H209" s="1">
        <v>45033</v>
      </c>
      <c r="I209" t="s">
        <v>279</v>
      </c>
      <c r="J209" t="s">
        <v>21</v>
      </c>
      <c r="K209" t="s">
        <v>22</v>
      </c>
      <c r="L209" t="s">
        <v>145</v>
      </c>
    </row>
    <row r="210" spans="1:12" x14ac:dyDescent="0.25">
      <c r="A210" t="s">
        <v>277</v>
      </c>
      <c r="B210">
        <v>5167</v>
      </c>
      <c r="C210">
        <v>253</v>
      </c>
      <c r="D210">
        <v>14</v>
      </c>
      <c r="E210" t="s">
        <v>13</v>
      </c>
      <c r="F210" t="s">
        <v>28</v>
      </c>
      <c r="G210" t="s">
        <v>47</v>
      </c>
      <c r="H210" s="1">
        <v>45284</v>
      </c>
      <c r="I210" t="s">
        <v>280</v>
      </c>
      <c r="J210" t="s">
        <v>42</v>
      </c>
      <c r="K210" t="s">
        <v>92</v>
      </c>
      <c r="L210" t="s">
        <v>102</v>
      </c>
    </row>
    <row r="211" spans="1:12" x14ac:dyDescent="0.25">
      <c r="A211" t="s">
        <v>277</v>
      </c>
      <c r="B211">
        <v>2799</v>
      </c>
      <c r="C211">
        <v>1239</v>
      </c>
      <c r="D211">
        <v>5</v>
      </c>
      <c r="E211" t="s">
        <v>45</v>
      </c>
      <c r="F211" t="s">
        <v>60</v>
      </c>
      <c r="G211" t="s">
        <v>32</v>
      </c>
      <c r="H211" s="1">
        <v>44064</v>
      </c>
      <c r="I211" t="s">
        <v>278</v>
      </c>
      <c r="J211" t="s">
        <v>71</v>
      </c>
      <c r="K211" t="s">
        <v>138</v>
      </c>
      <c r="L211" t="s">
        <v>185</v>
      </c>
    </row>
    <row r="212" spans="1:12" x14ac:dyDescent="0.25">
      <c r="A212" t="s">
        <v>277</v>
      </c>
      <c r="B212">
        <v>2799</v>
      </c>
      <c r="C212">
        <v>1239</v>
      </c>
      <c r="D212">
        <v>5</v>
      </c>
      <c r="E212" t="s">
        <v>45</v>
      </c>
      <c r="F212" t="s">
        <v>60</v>
      </c>
      <c r="G212" t="s">
        <v>32</v>
      </c>
      <c r="H212" s="1">
        <v>45033</v>
      </c>
      <c r="I212" t="s">
        <v>279</v>
      </c>
      <c r="J212" t="s">
        <v>21</v>
      </c>
      <c r="K212" t="s">
        <v>22</v>
      </c>
      <c r="L212" t="s">
        <v>145</v>
      </c>
    </row>
    <row r="213" spans="1:12" x14ac:dyDescent="0.25">
      <c r="A213" t="s">
        <v>277</v>
      </c>
      <c r="B213">
        <v>2799</v>
      </c>
      <c r="C213">
        <v>1239</v>
      </c>
      <c r="D213">
        <v>5</v>
      </c>
      <c r="E213" t="s">
        <v>45</v>
      </c>
      <c r="F213" t="s">
        <v>60</v>
      </c>
      <c r="G213" t="s">
        <v>32</v>
      </c>
      <c r="H213" s="1">
        <v>45284</v>
      </c>
      <c r="I213" t="s">
        <v>280</v>
      </c>
      <c r="J213" t="s">
        <v>42</v>
      </c>
      <c r="K213" t="s">
        <v>92</v>
      </c>
      <c r="L213" t="s">
        <v>102</v>
      </c>
    </row>
    <row r="214" spans="1:12" x14ac:dyDescent="0.25">
      <c r="A214" t="s">
        <v>281</v>
      </c>
      <c r="B214">
        <v>3234</v>
      </c>
      <c r="C214">
        <v>1029</v>
      </c>
      <c r="D214">
        <v>20</v>
      </c>
      <c r="E214" t="s">
        <v>30</v>
      </c>
      <c r="F214" t="s">
        <v>57</v>
      </c>
      <c r="G214" t="s">
        <v>47</v>
      </c>
      <c r="H214" s="1">
        <v>44640</v>
      </c>
      <c r="I214" t="s">
        <v>282</v>
      </c>
      <c r="J214" t="s">
        <v>17</v>
      </c>
      <c r="K214" t="s">
        <v>18</v>
      </c>
      <c r="L214" t="s">
        <v>134</v>
      </c>
    </row>
    <row r="215" spans="1:12" x14ac:dyDescent="0.25">
      <c r="A215" t="s">
        <v>283</v>
      </c>
      <c r="B215">
        <v>4920</v>
      </c>
      <c r="C215">
        <v>775</v>
      </c>
      <c r="D215">
        <v>12</v>
      </c>
      <c r="E215" t="s">
        <v>45</v>
      </c>
      <c r="F215" t="s">
        <v>46</v>
      </c>
      <c r="G215" t="s">
        <v>32</v>
      </c>
      <c r="H215" s="1">
        <v>44420</v>
      </c>
      <c r="I215" t="s">
        <v>284</v>
      </c>
      <c r="J215" t="s">
        <v>21</v>
      </c>
      <c r="K215" t="s">
        <v>63</v>
      </c>
      <c r="L215" t="s">
        <v>178</v>
      </c>
    </row>
    <row r="216" spans="1:12" x14ac:dyDescent="0.25">
      <c r="A216" t="s">
        <v>283</v>
      </c>
      <c r="B216">
        <v>9078</v>
      </c>
      <c r="C216">
        <v>2213</v>
      </c>
      <c r="D216">
        <v>15</v>
      </c>
      <c r="E216" t="s">
        <v>45</v>
      </c>
      <c r="F216" t="s">
        <v>109</v>
      </c>
      <c r="G216" t="s">
        <v>40</v>
      </c>
      <c r="H216" s="1">
        <v>44420</v>
      </c>
      <c r="I216" t="s">
        <v>284</v>
      </c>
      <c r="J216" t="s">
        <v>21</v>
      </c>
      <c r="K216" t="s">
        <v>63</v>
      </c>
      <c r="L216" t="s">
        <v>178</v>
      </c>
    </row>
    <row r="217" spans="1:12" x14ac:dyDescent="0.25">
      <c r="A217" t="s">
        <v>285</v>
      </c>
      <c r="B217">
        <v>8586</v>
      </c>
      <c r="C217">
        <v>3826</v>
      </c>
      <c r="D217">
        <v>7</v>
      </c>
      <c r="E217" t="s">
        <v>45</v>
      </c>
      <c r="F217" t="s">
        <v>109</v>
      </c>
      <c r="G217" t="s">
        <v>15</v>
      </c>
      <c r="H217" s="1">
        <v>44186</v>
      </c>
      <c r="I217" t="s">
        <v>286</v>
      </c>
      <c r="J217" t="s">
        <v>17</v>
      </c>
      <c r="K217" t="s">
        <v>18</v>
      </c>
      <c r="L217" t="s">
        <v>287</v>
      </c>
    </row>
    <row r="218" spans="1:12" x14ac:dyDescent="0.25">
      <c r="A218" t="s">
        <v>285</v>
      </c>
      <c r="B218">
        <v>8586</v>
      </c>
      <c r="C218">
        <v>3826</v>
      </c>
      <c r="D218">
        <v>7</v>
      </c>
      <c r="E218" t="s">
        <v>45</v>
      </c>
      <c r="F218" t="s">
        <v>109</v>
      </c>
      <c r="G218" t="s">
        <v>15</v>
      </c>
      <c r="H218" s="1">
        <v>45114</v>
      </c>
      <c r="I218" t="s">
        <v>288</v>
      </c>
      <c r="J218" t="s">
        <v>17</v>
      </c>
      <c r="K218" t="s">
        <v>150</v>
      </c>
      <c r="L218" t="s">
        <v>105</v>
      </c>
    </row>
    <row r="219" spans="1:12" x14ac:dyDescent="0.25">
      <c r="A219" t="s">
        <v>289</v>
      </c>
      <c r="B219">
        <v>5047</v>
      </c>
      <c r="C219">
        <v>2211</v>
      </c>
      <c r="D219">
        <v>13</v>
      </c>
      <c r="E219" t="s">
        <v>45</v>
      </c>
      <c r="F219" t="s">
        <v>60</v>
      </c>
      <c r="G219" t="s">
        <v>40</v>
      </c>
      <c r="H219" s="1">
        <v>45151</v>
      </c>
      <c r="I219" t="s">
        <v>290</v>
      </c>
      <c r="J219" t="s">
        <v>42</v>
      </c>
      <c r="K219" t="s">
        <v>92</v>
      </c>
      <c r="L219" t="s">
        <v>121</v>
      </c>
    </row>
    <row r="220" spans="1:12" x14ac:dyDescent="0.25">
      <c r="A220" t="s">
        <v>289</v>
      </c>
      <c r="B220">
        <v>5047</v>
      </c>
      <c r="C220">
        <v>2211</v>
      </c>
      <c r="D220">
        <v>13</v>
      </c>
      <c r="E220" t="s">
        <v>45</v>
      </c>
      <c r="F220" t="s">
        <v>60</v>
      </c>
      <c r="G220" t="s">
        <v>40</v>
      </c>
      <c r="H220" s="1">
        <v>44231</v>
      </c>
      <c r="I220" t="s">
        <v>291</v>
      </c>
      <c r="J220" t="s">
        <v>21</v>
      </c>
      <c r="K220" t="s">
        <v>22</v>
      </c>
      <c r="L220" t="s">
        <v>292</v>
      </c>
    </row>
    <row r="221" spans="1:12" x14ac:dyDescent="0.25">
      <c r="A221" t="s">
        <v>289</v>
      </c>
      <c r="B221">
        <v>5047</v>
      </c>
      <c r="C221">
        <v>2211</v>
      </c>
      <c r="D221">
        <v>13</v>
      </c>
      <c r="E221" t="s">
        <v>45</v>
      </c>
      <c r="F221" t="s">
        <v>60</v>
      </c>
      <c r="G221" t="s">
        <v>40</v>
      </c>
      <c r="H221" s="1">
        <v>44820</v>
      </c>
      <c r="I221" t="s">
        <v>293</v>
      </c>
      <c r="J221" t="s">
        <v>21</v>
      </c>
      <c r="K221" t="s">
        <v>172</v>
      </c>
      <c r="L221" t="s">
        <v>131</v>
      </c>
    </row>
    <row r="222" spans="1:12" x14ac:dyDescent="0.25">
      <c r="A222" t="s">
        <v>289</v>
      </c>
      <c r="B222">
        <v>5047</v>
      </c>
      <c r="C222">
        <v>2211</v>
      </c>
      <c r="D222">
        <v>13</v>
      </c>
      <c r="E222" t="s">
        <v>45</v>
      </c>
      <c r="F222" t="s">
        <v>60</v>
      </c>
      <c r="G222" t="s">
        <v>40</v>
      </c>
      <c r="H222" s="1">
        <v>44687</v>
      </c>
      <c r="I222" t="s">
        <v>294</v>
      </c>
      <c r="J222" t="s">
        <v>25</v>
      </c>
      <c r="K222" t="s">
        <v>26</v>
      </c>
      <c r="L222" t="s">
        <v>180</v>
      </c>
    </row>
    <row r="223" spans="1:12" x14ac:dyDescent="0.25">
      <c r="A223" t="s">
        <v>295</v>
      </c>
      <c r="B223">
        <v>3657</v>
      </c>
      <c r="C223">
        <v>163</v>
      </c>
      <c r="D223">
        <v>1</v>
      </c>
      <c r="E223" t="s">
        <v>45</v>
      </c>
      <c r="F223" t="s">
        <v>60</v>
      </c>
      <c r="G223" t="s">
        <v>15</v>
      </c>
      <c r="H223" s="1">
        <v>44344</v>
      </c>
      <c r="I223" t="s">
        <v>296</v>
      </c>
      <c r="J223" t="s">
        <v>42</v>
      </c>
      <c r="K223" t="s">
        <v>92</v>
      </c>
      <c r="L223" t="s">
        <v>108</v>
      </c>
    </row>
    <row r="224" spans="1:12" x14ac:dyDescent="0.25">
      <c r="A224" t="s">
        <v>297</v>
      </c>
      <c r="B224">
        <v>6471</v>
      </c>
      <c r="C224">
        <v>2842</v>
      </c>
      <c r="D224">
        <v>18</v>
      </c>
      <c r="E224" t="s">
        <v>13</v>
      </c>
      <c r="F224" t="s">
        <v>14</v>
      </c>
      <c r="G224" t="s">
        <v>15</v>
      </c>
      <c r="H224" s="1">
        <v>45491</v>
      </c>
      <c r="I224" t="s">
        <v>298</v>
      </c>
      <c r="J224" t="s">
        <v>21</v>
      </c>
      <c r="K224" t="s">
        <v>172</v>
      </c>
      <c r="L224" t="s">
        <v>215</v>
      </c>
    </row>
    <row r="225" spans="1:12" x14ac:dyDescent="0.25">
      <c r="A225" t="s">
        <v>299</v>
      </c>
      <c r="B225">
        <v>949</v>
      </c>
      <c r="C225">
        <v>301</v>
      </c>
      <c r="D225">
        <v>9</v>
      </c>
      <c r="E225" t="s">
        <v>30</v>
      </c>
      <c r="F225" t="s">
        <v>78</v>
      </c>
      <c r="G225" t="s">
        <v>15</v>
      </c>
      <c r="H225" s="1">
        <v>45632</v>
      </c>
      <c r="I225" t="s">
        <v>300</v>
      </c>
      <c r="J225" t="s">
        <v>98</v>
      </c>
      <c r="K225" t="s">
        <v>117</v>
      </c>
      <c r="L225" t="s">
        <v>23</v>
      </c>
    </row>
    <row r="226" spans="1:12" x14ac:dyDescent="0.25">
      <c r="A226" t="s">
        <v>299</v>
      </c>
      <c r="B226">
        <v>6823</v>
      </c>
      <c r="C226">
        <v>771</v>
      </c>
      <c r="D226">
        <v>6</v>
      </c>
      <c r="E226" t="s">
        <v>30</v>
      </c>
      <c r="F226" t="s">
        <v>78</v>
      </c>
      <c r="G226" t="s">
        <v>40</v>
      </c>
      <c r="H226" s="1">
        <v>45632</v>
      </c>
      <c r="I226" t="s">
        <v>300</v>
      </c>
      <c r="J226" t="s">
        <v>98</v>
      </c>
      <c r="K226" t="s">
        <v>117</v>
      </c>
      <c r="L226" t="s">
        <v>23</v>
      </c>
    </row>
    <row r="227" spans="1:12" x14ac:dyDescent="0.25">
      <c r="A227" t="s">
        <v>299</v>
      </c>
      <c r="B227">
        <v>4364</v>
      </c>
      <c r="C227">
        <v>831</v>
      </c>
      <c r="D227">
        <v>2</v>
      </c>
      <c r="E227" t="s">
        <v>45</v>
      </c>
      <c r="F227" t="s">
        <v>46</v>
      </c>
      <c r="G227" t="s">
        <v>40</v>
      </c>
      <c r="H227" s="1">
        <v>45632</v>
      </c>
      <c r="I227" t="s">
        <v>300</v>
      </c>
      <c r="J227" t="s">
        <v>98</v>
      </c>
      <c r="K227" t="s">
        <v>117</v>
      </c>
      <c r="L227" t="s">
        <v>23</v>
      </c>
    </row>
    <row r="228" spans="1:12" x14ac:dyDescent="0.25">
      <c r="A228" t="s">
        <v>301</v>
      </c>
      <c r="B228">
        <v>6671</v>
      </c>
      <c r="C228">
        <v>2797</v>
      </c>
      <c r="D228">
        <v>10</v>
      </c>
      <c r="E228" t="s">
        <v>13</v>
      </c>
      <c r="F228" t="s">
        <v>82</v>
      </c>
      <c r="G228" t="s">
        <v>15</v>
      </c>
      <c r="H228" s="1">
        <v>44907</v>
      </c>
      <c r="I228" t="s">
        <v>302</v>
      </c>
      <c r="J228" t="s">
        <v>21</v>
      </c>
      <c r="K228" t="s">
        <v>172</v>
      </c>
      <c r="L228" t="s">
        <v>152</v>
      </c>
    </row>
    <row r="229" spans="1:12" x14ac:dyDescent="0.25">
      <c r="A229" t="s">
        <v>303</v>
      </c>
      <c r="B229">
        <v>7472</v>
      </c>
      <c r="C229">
        <v>1037</v>
      </c>
      <c r="D229">
        <v>3</v>
      </c>
      <c r="E229" t="s">
        <v>30</v>
      </c>
      <c r="F229" t="s">
        <v>64</v>
      </c>
      <c r="G229" t="s">
        <v>65</v>
      </c>
      <c r="H229" s="1">
        <v>44854</v>
      </c>
      <c r="I229" t="s">
        <v>304</v>
      </c>
      <c r="J229" t="s">
        <v>21</v>
      </c>
      <c r="K229" t="s">
        <v>63</v>
      </c>
      <c r="L229" t="s">
        <v>96</v>
      </c>
    </row>
    <row r="230" spans="1:12" x14ac:dyDescent="0.25">
      <c r="A230" t="s">
        <v>303</v>
      </c>
      <c r="B230">
        <v>9548</v>
      </c>
      <c r="C230">
        <v>1806</v>
      </c>
      <c r="D230">
        <v>9</v>
      </c>
      <c r="E230" t="s">
        <v>13</v>
      </c>
      <c r="F230" t="s">
        <v>28</v>
      </c>
      <c r="G230" t="s">
        <v>65</v>
      </c>
      <c r="H230" s="1">
        <v>44854</v>
      </c>
      <c r="I230" t="s">
        <v>304</v>
      </c>
      <c r="J230" t="s">
        <v>21</v>
      </c>
      <c r="K230" t="s">
        <v>63</v>
      </c>
      <c r="L230" t="s">
        <v>96</v>
      </c>
    </row>
    <row r="231" spans="1:12" x14ac:dyDescent="0.25">
      <c r="A231" t="s">
        <v>305</v>
      </c>
      <c r="B231">
        <v>7759</v>
      </c>
      <c r="C231">
        <v>3741</v>
      </c>
      <c r="D231">
        <v>17</v>
      </c>
      <c r="E231" t="s">
        <v>13</v>
      </c>
      <c r="F231" t="s">
        <v>28</v>
      </c>
      <c r="G231" t="s">
        <v>15</v>
      </c>
      <c r="H231" s="1">
        <v>44279</v>
      </c>
      <c r="I231" t="s">
        <v>306</v>
      </c>
      <c r="J231" t="s">
        <v>17</v>
      </c>
      <c r="K231" t="s">
        <v>18</v>
      </c>
      <c r="L231" t="s">
        <v>167</v>
      </c>
    </row>
    <row r="232" spans="1:12" x14ac:dyDescent="0.25">
      <c r="A232" t="s">
        <v>305</v>
      </c>
      <c r="B232">
        <v>7759</v>
      </c>
      <c r="C232">
        <v>3741</v>
      </c>
      <c r="D232">
        <v>17</v>
      </c>
      <c r="E232" t="s">
        <v>13</v>
      </c>
      <c r="F232" t="s">
        <v>28</v>
      </c>
      <c r="G232" t="s">
        <v>15</v>
      </c>
      <c r="H232" s="1">
        <v>45663</v>
      </c>
      <c r="I232" t="s">
        <v>307</v>
      </c>
      <c r="J232" t="s">
        <v>71</v>
      </c>
      <c r="K232" t="s">
        <v>72</v>
      </c>
      <c r="L232" t="s">
        <v>308</v>
      </c>
    </row>
    <row r="233" spans="1:12" x14ac:dyDescent="0.25">
      <c r="A233" t="s">
        <v>305</v>
      </c>
      <c r="B233">
        <v>7521</v>
      </c>
      <c r="C233">
        <v>3457</v>
      </c>
      <c r="D233">
        <v>16</v>
      </c>
      <c r="E233" t="s">
        <v>30</v>
      </c>
      <c r="F233" t="s">
        <v>57</v>
      </c>
      <c r="G233" t="s">
        <v>32</v>
      </c>
      <c r="H233" s="1">
        <v>44279</v>
      </c>
      <c r="I233" t="s">
        <v>306</v>
      </c>
      <c r="J233" t="s">
        <v>17</v>
      </c>
      <c r="K233" t="s">
        <v>18</v>
      </c>
      <c r="L233" t="s">
        <v>167</v>
      </c>
    </row>
    <row r="234" spans="1:12" x14ac:dyDescent="0.25">
      <c r="A234" t="s">
        <v>305</v>
      </c>
      <c r="B234">
        <v>7521</v>
      </c>
      <c r="C234">
        <v>3457</v>
      </c>
      <c r="D234">
        <v>16</v>
      </c>
      <c r="E234" t="s">
        <v>30</v>
      </c>
      <c r="F234" t="s">
        <v>57</v>
      </c>
      <c r="G234" t="s">
        <v>32</v>
      </c>
      <c r="H234" s="1">
        <v>45663</v>
      </c>
      <c r="I234" t="s">
        <v>307</v>
      </c>
      <c r="J234" t="s">
        <v>71</v>
      </c>
      <c r="K234" t="s">
        <v>72</v>
      </c>
      <c r="L234" t="s">
        <v>308</v>
      </c>
    </row>
    <row r="235" spans="1:12" x14ac:dyDescent="0.25">
      <c r="A235" t="s">
        <v>309</v>
      </c>
      <c r="B235">
        <v>9704</v>
      </c>
      <c r="C235">
        <v>4339</v>
      </c>
      <c r="D235">
        <v>12</v>
      </c>
      <c r="E235" t="s">
        <v>30</v>
      </c>
      <c r="F235" t="s">
        <v>31</v>
      </c>
      <c r="G235" t="s">
        <v>65</v>
      </c>
      <c r="H235" s="1">
        <v>44261</v>
      </c>
      <c r="I235" t="s">
        <v>310</v>
      </c>
      <c r="J235" t="s">
        <v>71</v>
      </c>
      <c r="K235" t="s">
        <v>138</v>
      </c>
      <c r="L235" t="s">
        <v>167</v>
      </c>
    </row>
    <row r="236" spans="1:12" x14ac:dyDescent="0.25">
      <c r="A236" t="s">
        <v>309</v>
      </c>
      <c r="B236">
        <v>4948</v>
      </c>
      <c r="C236">
        <v>2356</v>
      </c>
      <c r="D236">
        <v>18</v>
      </c>
      <c r="E236" t="s">
        <v>13</v>
      </c>
      <c r="F236" t="s">
        <v>28</v>
      </c>
      <c r="G236" t="s">
        <v>32</v>
      </c>
      <c r="H236" s="1">
        <v>44261</v>
      </c>
      <c r="I236" t="s">
        <v>310</v>
      </c>
      <c r="J236" t="s">
        <v>71</v>
      </c>
      <c r="K236" t="s">
        <v>138</v>
      </c>
      <c r="L236" t="s">
        <v>167</v>
      </c>
    </row>
    <row r="237" spans="1:12" x14ac:dyDescent="0.25">
      <c r="A237" t="s">
        <v>309</v>
      </c>
      <c r="B237">
        <v>6435</v>
      </c>
      <c r="C237">
        <v>334</v>
      </c>
      <c r="D237">
        <v>10</v>
      </c>
      <c r="E237" t="s">
        <v>13</v>
      </c>
      <c r="F237" t="s">
        <v>14</v>
      </c>
      <c r="G237" t="s">
        <v>32</v>
      </c>
      <c r="H237" s="1">
        <v>44261</v>
      </c>
      <c r="I237" t="s">
        <v>310</v>
      </c>
      <c r="J237" t="s">
        <v>71</v>
      </c>
      <c r="K237" t="s">
        <v>138</v>
      </c>
      <c r="L237" t="s">
        <v>167</v>
      </c>
    </row>
    <row r="238" spans="1:12" x14ac:dyDescent="0.25">
      <c r="A238" t="s">
        <v>311</v>
      </c>
      <c r="B238">
        <v>9965</v>
      </c>
      <c r="C238">
        <v>3033</v>
      </c>
      <c r="D238">
        <v>16</v>
      </c>
      <c r="E238" t="s">
        <v>30</v>
      </c>
      <c r="F238" t="s">
        <v>57</v>
      </c>
      <c r="G238" t="s">
        <v>65</v>
      </c>
      <c r="H238" s="1">
        <v>43999</v>
      </c>
      <c r="I238" t="s">
        <v>312</v>
      </c>
      <c r="J238" t="s">
        <v>42</v>
      </c>
      <c r="K238" t="s">
        <v>92</v>
      </c>
      <c r="L238" t="s">
        <v>313</v>
      </c>
    </row>
    <row r="239" spans="1:12" x14ac:dyDescent="0.25">
      <c r="A239" t="s">
        <v>311</v>
      </c>
      <c r="B239">
        <v>9965</v>
      </c>
      <c r="C239">
        <v>3033</v>
      </c>
      <c r="D239">
        <v>16</v>
      </c>
      <c r="E239" t="s">
        <v>30</v>
      </c>
      <c r="F239" t="s">
        <v>57</v>
      </c>
      <c r="G239" t="s">
        <v>65</v>
      </c>
      <c r="H239" s="1">
        <v>45170</v>
      </c>
      <c r="I239" t="s">
        <v>314</v>
      </c>
      <c r="J239" t="s">
        <v>25</v>
      </c>
      <c r="K239" t="s">
        <v>26</v>
      </c>
      <c r="L239" t="s">
        <v>273</v>
      </c>
    </row>
    <row r="240" spans="1:12" x14ac:dyDescent="0.25">
      <c r="A240" t="s">
        <v>315</v>
      </c>
      <c r="B240">
        <v>1523</v>
      </c>
      <c r="C240">
        <v>234</v>
      </c>
      <c r="D240">
        <v>3</v>
      </c>
      <c r="E240" t="s">
        <v>45</v>
      </c>
      <c r="F240" t="s">
        <v>60</v>
      </c>
      <c r="G240" t="s">
        <v>15</v>
      </c>
      <c r="H240" s="1">
        <v>45085</v>
      </c>
      <c r="I240" t="s">
        <v>316</v>
      </c>
      <c r="J240" t="s">
        <v>25</v>
      </c>
      <c r="K240" t="s">
        <v>68</v>
      </c>
      <c r="L240" t="s">
        <v>19</v>
      </c>
    </row>
    <row r="241" spans="1:12" x14ac:dyDescent="0.25">
      <c r="A241" t="s">
        <v>315</v>
      </c>
      <c r="B241">
        <v>9073</v>
      </c>
      <c r="C241">
        <v>424</v>
      </c>
      <c r="D241">
        <v>7</v>
      </c>
      <c r="E241" t="s">
        <v>13</v>
      </c>
      <c r="F241" t="s">
        <v>14</v>
      </c>
      <c r="G241" t="s">
        <v>32</v>
      </c>
      <c r="H241" s="1">
        <v>45085</v>
      </c>
      <c r="I241" t="s">
        <v>316</v>
      </c>
      <c r="J241" t="s">
        <v>25</v>
      </c>
      <c r="K241" t="s">
        <v>68</v>
      </c>
      <c r="L241" t="s">
        <v>19</v>
      </c>
    </row>
    <row r="242" spans="1:12" x14ac:dyDescent="0.25">
      <c r="A242" t="s">
        <v>317</v>
      </c>
      <c r="B242">
        <v>6447</v>
      </c>
      <c r="C242">
        <v>3079</v>
      </c>
      <c r="D242">
        <v>20</v>
      </c>
      <c r="E242" t="s">
        <v>13</v>
      </c>
      <c r="F242" t="s">
        <v>39</v>
      </c>
      <c r="G242" t="s">
        <v>65</v>
      </c>
      <c r="H242" s="1">
        <v>44280</v>
      </c>
      <c r="I242" t="s">
        <v>318</v>
      </c>
      <c r="J242" t="s">
        <v>25</v>
      </c>
      <c r="K242" t="s">
        <v>68</v>
      </c>
      <c r="L242" t="s">
        <v>167</v>
      </c>
    </row>
    <row r="243" spans="1:12" x14ac:dyDescent="0.25">
      <c r="A243" t="s">
        <v>317</v>
      </c>
      <c r="B243">
        <v>8947</v>
      </c>
      <c r="C243">
        <v>2807</v>
      </c>
      <c r="D243">
        <v>6</v>
      </c>
      <c r="E243" t="s">
        <v>13</v>
      </c>
      <c r="F243" t="s">
        <v>14</v>
      </c>
      <c r="G243" t="s">
        <v>47</v>
      </c>
      <c r="H243" s="1">
        <v>44280</v>
      </c>
      <c r="I243" t="s">
        <v>318</v>
      </c>
      <c r="J243" t="s">
        <v>25</v>
      </c>
      <c r="K243" t="s">
        <v>68</v>
      </c>
      <c r="L243" t="s">
        <v>167</v>
      </c>
    </row>
    <row r="244" spans="1:12" x14ac:dyDescent="0.25">
      <c r="A244" t="s">
        <v>319</v>
      </c>
      <c r="B244">
        <v>914</v>
      </c>
      <c r="C244">
        <v>400</v>
      </c>
      <c r="D244">
        <v>8</v>
      </c>
      <c r="E244" t="s">
        <v>30</v>
      </c>
      <c r="F244" t="s">
        <v>31</v>
      </c>
      <c r="G244" t="s">
        <v>32</v>
      </c>
      <c r="H244" s="1">
        <v>44199</v>
      </c>
      <c r="I244" t="s">
        <v>320</v>
      </c>
      <c r="J244" t="s">
        <v>42</v>
      </c>
      <c r="K244" t="s">
        <v>43</v>
      </c>
      <c r="L244" t="s">
        <v>276</v>
      </c>
    </row>
    <row r="245" spans="1:12" x14ac:dyDescent="0.25">
      <c r="A245" t="s">
        <v>319</v>
      </c>
      <c r="B245">
        <v>1548</v>
      </c>
      <c r="C245">
        <v>666</v>
      </c>
      <c r="D245">
        <v>3</v>
      </c>
      <c r="E245" t="s">
        <v>30</v>
      </c>
      <c r="F245" t="s">
        <v>64</v>
      </c>
      <c r="G245" t="s">
        <v>47</v>
      </c>
      <c r="H245" s="1">
        <v>44199</v>
      </c>
      <c r="I245" t="s">
        <v>320</v>
      </c>
      <c r="J245" t="s">
        <v>42</v>
      </c>
      <c r="K245" t="s">
        <v>43</v>
      </c>
      <c r="L245" t="s">
        <v>276</v>
      </c>
    </row>
    <row r="246" spans="1:12" x14ac:dyDescent="0.25">
      <c r="A246" t="s">
        <v>321</v>
      </c>
      <c r="B246">
        <v>2759</v>
      </c>
      <c r="C246">
        <v>1149</v>
      </c>
      <c r="D246">
        <v>6</v>
      </c>
      <c r="E246" t="s">
        <v>45</v>
      </c>
      <c r="F246" t="s">
        <v>46</v>
      </c>
      <c r="G246" t="s">
        <v>47</v>
      </c>
      <c r="H246" s="1">
        <v>45653</v>
      </c>
      <c r="I246" t="s">
        <v>322</v>
      </c>
      <c r="J246" t="s">
        <v>25</v>
      </c>
      <c r="K246" t="s">
        <v>51</v>
      </c>
      <c r="L246" t="s">
        <v>23</v>
      </c>
    </row>
    <row r="247" spans="1:12" x14ac:dyDescent="0.25">
      <c r="A247" t="s">
        <v>323</v>
      </c>
      <c r="B247">
        <v>1341</v>
      </c>
      <c r="C247">
        <v>615</v>
      </c>
      <c r="D247">
        <v>4</v>
      </c>
      <c r="E247" t="s">
        <v>13</v>
      </c>
      <c r="F247" t="s">
        <v>39</v>
      </c>
      <c r="G247" t="s">
        <v>15</v>
      </c>
      <c r="H247" s="1">
        <v>44785</v>
      </c>
      <c r="I247" t="s">
        <v>324</v>
      </c>
      <c r="J247" t="s">
        <v>17</v>
      </c>
      <c r="K247" t="s">
        <v>34</v>
      </c>
      <c r="L247" t="s">
        <v>209</v>
      </c>
    </row>
    <row r="248" spans="1:12" x14ac:dyDescent="0.25">
      <c r="A248" t="s">
        <v>325</v>
      </c>
      <c r="B248">
        <v>9851</v>
      </c>
      <c r="C248">
        <v>2669</v>
      </c>
      <c r="D248">
        <v>19</v>
      </c>
      <c r="E248" t="s">
        <v>13</v>
      </c>
      <c r="F248" t="s">
        <v>14</v>
      </c>
      <c r="G248" t="s">
        <v>32</v>
      </c>
      <c r="H248" s="1">
        <v>44648</v>
      </c>
      <c r="I248" t="s">
        <v>326</v>
      </c>
      <c r="J248" t="s">
        <v>98</v>
      </c>
      <c r="K248" t="s">
        <v>117</v>
      </c>
      <c r="L248" t="s">
        <v>134</v>
      </c>
    </row>
    <row r="249" spans="1:12" x14ac:dyDescent="0.25">
      <c r="A249" t="s">
        <v>325</v>
      </c>
      <c r="B249">
        <v>9851</v>
      </c>
      <c r="C249">
        <v>2669</v>
      </c>
      <c r="D249">
        <v>19</v>
      </c>
      <c r="E249" t="s">
        <v>13</v>
      </c>
      <c r="F249" t="s">
        <v>14</v>
      </c>
      <c r="G249" t="s">
        <v>32</v>
      </c>
      <c r="H249" s="1">
        <v>45122</v>
      </c>
      <c r="I249" t="s">
        <v>327</v>
      </c>
      <c r="J249" t="s">
        <v>25</v>
      </c>
      <c r="K249" t="s">
        <v>26</v>
      </c>
      <c r="L249" t="s">
        <v>105</v>
      </c>
    </row>
    <row r="250" spans="1:12" x14ac:dyDescent="0.25">
      <c r="A250" t="s">
        <v>325</v>
      </c>
      <c r="B250">
        <v>9851</v>
      </c>
      <c r="C250">
        <v>2669</v>
      </c>
      <c r="D250">
        <v>19</v>
      </c>
      <c r="E250" t="s">
        <v>13</v>
      </c>
      <c r="F250" t="s">
        <v>14</v>
      </c>
      <c r="G250" t="s">
        <v>32</v>
      </c>
      <c r="H250" s="1">
        <v>44826</v>
      </c>
      <c r="I250" t="s">
        <v>328</v>
      </c>
      <c r="J250" t="s">
        <v>17</v>
      </c>
      <c r="K250" t="s">
        <v>34</v>
      </c>
      <c r="L250" t="s">
        <v>131</v>
      </c>
    </row>
    <row r="251" spans="1:12" x14ac:dyDescent="0.25">
      <c r="A251" t="s">
        <v>325</v>
      </c>
      <c r="B251">
        <v>9989</v>
      </c>
      <c r="C251">
        <v>3930</v>
      </c>
      <c r="D251">
        <v>14</v>
      </c>
      <c r="E251" t="s">
        <v>45</v>
      </c>
      <c r="F251" t="s">
        <v>46</v>
      </c>
      <c r="G251" t="s">
        <v>32</v>
      </c>
      <c r="H251" s="1">
        <v>44648</v>
      </c>
      <c r="I251" t="s">
        <v>326</v>
      </c>
      <c r="J251" t="s">
        <v>98</v>
      </c>
      <c r="K251" t="s">
        <v>117</v>
      </c>
      <c r="L251" t="s">
        <v>134</v>
      </c>
    </row>
    <row r="252" spans="1:12" x14ac:dyDescent="0.25">
      <c r="A252" t="s">
        <v>325</v>
      </c>
      <c r="B252">
        <v>9989</v>
      </c>
      <c r="C252">
        <v>3930</v>
      </c>
      <c r="D252">
        <v>14</v>
      </c>
      <c r="E252" t="s">
        <v>45</v>
      </c>
      <c r="F252" t="s">
        <v>46</v>
      </c>
      <c r="G252" t="s">
        <v>32</v>
      </c>
      <c r="H252" s="1">
        <v>45122</v>
      </c>
      <c r="I252" t="s">
        <v>327</v>
      </c>
      <c r="J252" t="s">
        <v>25</v>
      </c>
      <c r="K252" t="s">
        <v>26</v>
      </c>
      <c r="L252" t="s">
        <v>105</v>
      </c>
    </row>
    <row r="253" spans="1:12" x14ac:dyDescent="0.25">
      <c r="A253" t="s">
        <v>325</v>
      </c>
      <c r="B253">
        <v>9989</v>
      </c>
      <c r="C253">
        <v>3930</v>
      </c>
      <c r="D253">
        <v>14</v>
      </c>
      <c r="E253" t="s">
        <v>45</v>
      </c>
      <c r="F253" t="s">
        <v>46</v>
      </c>
      <c r="G253" t="s">
        <v>32</v>
      </c>
      <c r="H253" s="1">
        <v>44826</v>
      </c>
      <c r="I253" t="s">
        <v>328</v>
      </c>
      <c r="J253" t="s">
        <v>17</v>
      </c>
      <c r="K253" t="s">
        <v>34</v>
      </c>
      <c r="L253" t="s">
        <v>131</v>
      </c>
    </row>
    <row r="254" spans="1:12" x14ac:dyDescent="0.25">
      <c r="A254" t="s">
        <v>329</v>
      </c>
      <c r="B254">
        <v>7421</v>
      </c>
      <c r="C254">
        <v>958</v>
      </c>
      <c r="D254">
        <v>10</v>
      </c>
      <c r="E254" t="s">
        <v>45</v>
      </c>
      <c r="F254" t="s">
        <v>46</v>
      </c>
      <c r="G254" t="s">
        <v>65</v>
      </c>
      <c r="H254" s="1">
        <v>44915</v>
      </c>
      <c r="I254" t="s">
        <v>330</v>
      </c>
      <c r="J254" t="s">
        <v>71</v>
      </c>
      <c r="K254" t="s">
        <v>138</v>
      </c>
      <c r="L254" t="s">
        <v>152</v>
      </c>
    </row>
    <row r="255" spans="1:12" x14ac:dyDescent="0.25">
      <c r="A255" t="s">
        <v>329</v>
      </c>
      <c r="B255">
        <v>7421</v>
      </c>
      <c r="C255">
        <v>958</v>
      </c>
      <c r="D255">
        <v>10</v>
      </c>
      <c r="E255" t="s">
        <v>45</v>
      </c>
      <c r="F255" t="s">
        <v>46</v>
      </c>
      <c r="G255" t="s">
        <v>65</v>
      </c>
      <c r="H255" s="1">
        <v>44577</v>
      </c>
      <c r="I255" t="s">
        <v>331</v>
      </c>
      <c r="J255" t="s">
        <v>71</v>
      </c>
      <c r="K255" t="s">
        <v>138</v>
      </c>
      <c r="L255" t="s">
        <v>87</v>
      </c>
    </row>
    <row r="256" spans="1:12" x14ac:dyDescent="0.25">
      <c r="A256" t="s">
        <v>329</v>
      </c>
      <c r="B256">
        <v>7421</v>
      </c>
      <c r="C256">
        <v>958</v>
      </c>
      <c r="D256">
        <v>10</v>
      </c>
      <c r="E256" t="s">
        <v>45</v>
      </c>
      <c r="F256" t="s">
        <v>46</v>
      </c>
      <c r="G256" t="s">
        <v>65</v>
      </c>
      <c r="H256" s="1">
        <v>44955</v>
      </c>
      <c r="I256" t="s">
        <v>332</v>
      </c>
      <c r="J256" t="s">
        <v>71</v>
      </c>
      <c r="K256" t="s">
        <v>72</v>
      </c>
      <c r="L256" t="s">
        <v>333</v>
      </c>
    </row>
    <row r="257" spans="1:12" x14ac:dyDescent="0.25">
      <c r="A257" t="s">
        <v>334</v>
      </c>
      <c r="B257">
        <v>3099</v>
      </c>
      <c r="C257">
        <v>479</v>
      </c>
      <c r="D257">
        <v>1</v>
      </c>
      <c r="E257" t="s">
        <v>30</v>
      </c>
      <c r="F257" t="s">
        <v>64</v>
      </c>
      <c r="G257" t="s">
        <v>65</v>
      </c>
      <c r="H257" s="1">
        <v>44576</v>
      </c>
      <c r="I257" t="s">
        <v>335</v>
      </c>
      <c r="J257" t="s">
        <v>25</v>
      </c>
      <c r="K257" t="s">
        <v>26</v>
      </c>
      <c r="L257" t="s">
        <v>87</v>
      </c>
    </row>
    <row r="258" spans="1:12" x14ac:dyDescent="0.25">
      <c r="A258" t="s">
        <v>334</v>
      </c>
      <c r="B258">
        <v>2521</v>
      </c>
      <c r="C258">
        <v>906</v>
      </c>
      <c r="D258">
        <v>7</v>
      </c>
      <c r="E258" t="s">
        <v>13</v>
      </c>
      <c r="F258" t="s">
        <v>82</v>
      </c>
      <c r="G258" t="s">
        <v>65</v>
      </c>
      <c r="H258" s="1">
        <v>44576</v>
      </c>
      <c r="I258" t="s">
        <v>335</v>
      </c>
      <c r="J258" t="s">
        <v>25</v>
      </c>
      <c r="K258" t="s">
        <v>26</v>
      </c>
      <c r="L258" t="s">
        <v>87</v>
      </c>
    </row>
    <row r="259" spans="1:12" x14ac:dyDescent="0.25">
      <c r="A259" t="s">
        <v>336</v>
      </c>
      <c r="B259">
        <v>6962</v>
      </c>
      <c r="C259">
        <v>3429</v>
      </c>
      <c r="D259">
        <v>12</v>
      </c>
      <c r="E259" t="s">
        <v>13</v>
      </c>
      <c r="F259" t="s">
        <v>14</v>
      </c>
      <c r="G259" t="s">
        <v>15</v>
      </c>
      <c r="H259" s="1">
        <v>45375</v>
      </c>
      <c r="I259" t="s">
        <v>337</v>
      </c>
      <c r="J259" t="s">
        <v>71</v>
      </c>
      <c r="K259" t="s">
        <v>72</v>
      </c>
      <c r="L259" t="s">
        <v>338</v>
      </c>
    </row>
    <row r="260" spans="1:12" x14ac:dyDescent="0.25">
      <c r="A260" t="s">
        <v>336</v>
      </c>
      <c r="B260">
        <v>6962</v>
      </c>
      <c r="C260">
        <v>3429</v>
      </c>
      <c r="D260">
        <v>12</v>
      </c>
      <c r="E260" t="s">
        <v>13</v>
      </c>
      <c r="F260" t="s">
        <v>14</v>
      </c>
      <c r="G260" t="s">
        <v>15</v>
      </c>
      <c r="H260" s="1">
        <v>45707</v>
      </c>
      <c r="I260" t="s">
        <v>339</v>
      </c>
      <c r="J260" t="s">
        <v>17</v>
      </c>
      <c r="K260" t="s">
        <v>18</v>
      </c>
      <c r="L260" t="s">
        <v>73</v>
      </c>
    </row>
    <row r="261" spans="1:12" x14ac:dyDescent="0.25">
      <c r="A261" t="s">
        <v>340</v>
      </c>
      <c r="B261">
        <v>1085</v>
      </c>
      <c r="C261">
        <v>301</v>
      </c>
      <c r="D261">
        <v>20</v>
      </c>
      <c r="E261" t="s">
        <v>45</v>
      </c>
      <c r="F261" t="s">
        <v>109</v>
      </c>
      <c r="G261" t="s">
        <v>15</v>
      </c>
      <c r="H261" s="1">
        <v>45486</v>
      </c>
      <c r="I261" t="s">
        <v>341</v>
      </c>
      <c r="J261" t="s">
        <v>25</v>
      </c>
      <c r="K261" t="s">
        <v>26</v>
      </c>
      <c r="L261" t="s">
        <v>215</v>
      </c>
    </row>
    <row r="262" spans="1:12" x14ac:dyDescent="0.25">
      <c r="A262" t="s">
        <v>342</v>
      </c>
      <c r="B262">
        <v>738</v>
      </c>
      <c r="C262">
        <v>342</v>
      </c>
      <c r="D262">
        <v>2</v>
      </c>
      <c r="E262" t="s">
        <v>45</v>
      </c>
      <c r="F262" t="s">
        <v>49</v>
      </c>
      <c r="G262" t="s">
        <v>32</v>
      </c>
      <c r="H262" s="1">
        <v>45044</v>
      </c>
      <c r="I262" t="s">
        <v>343</v>
      </c>
      <c r="J262" t="s">
        <v>98</v>
      </c>
      <c r="K262" t="s">
        <v>107</v>
      </c>
      <c r="L262" t="s">
        <v>145</v>
      </c>
    </row>
    <row r="263" spans="1:12" x14ac:dyDescent="0.25">
      <c r="A263" t="s">
        <v>342</v>
      </c>
      <c r="B263">
        <v>738</v>
      </c>
      <c r="C263">
        <v>342</v>
      </c>
      <c r="D263">
        <v>2</v>
      </c>
      <c r="E263" t="s">
        <v>45</v>
      </c>
      <c r="F263" t="s">
        <v>49</v>
      </c>
      <c r="G263" t="s">
        <v>32</v>
      </c>
      <c r="H263" s="1">
        <v>44170</v>
      </c>
      <c r="I263" t="s">
        <v>344</v>
      </c>
      <c r="J263" t="s">
        <v>25</v>
      </c>
      <c r="K263" t="s">
        <v>26</v>
      </c>
      <c r="L263" t="s">
        <v>287</v>
      </c>
    </row>
    <row r="264" spans="1:12" x14ac:dyDescent="0.25">
      <c r="A264" t="s">
        <v>342</v>
      </c>
      <c r="B264">
        <v>738</v>
      </c>
      <c r="C264">
        <v>342</v>
      </c>
      <c r="D264">
        <v>2</v>
      </c>
      <c r="E264" t="s">
        <v>45</v>
      </c>
      <c r="F264" t="s">
        <v>49</v>
      </c>
      <c r="G264" t="s">
        <v>32</v>
      </c>
      <c r="H264" s="1">
        <v>45426</v>
      </c>
      <c r="I264" t="s">
        <v>345</v>
      </c>
      <c r="J264" t="s">
        <v>98</v>
      </c>
      <c r="K264" t="s">
        <v>107</v>
      </c>
      <c r="L264" t="s">
        <v>35</v>
      </c>
    </row>
    <row r="265" spans="1:12" x14ac:dyDescent="0.25">
      <c r="A265" t="s">
        <v>342</v>
      </c>
      <c r="B265">
        <v>738</v>
      </c>
      <c r="C265">
        <v>342</v>
      </c>
      <c r="D265">
        <v>2</v>
      </c>
      <c r="E265" t="s">
        <v>45</v>
      </c>
      <c r="F265" t="s">
        <v>49</v>
      </c>
      <c r="G265" t="s">
        <v>32</v>
      </c>
      <c r="H265" s="1">
        <v>44579</v>
      </c>
      <c r="I265" t="s">
        <v>346</v>
      </c>
      <c r="J265" t="s">
        <v>25</v>
      </c>
      <c r="K265" t="s">
        <v>51</v>
      </c>
      <c r="L265" t="s">
        <v>87</v>
      </c>
    </row>
    <row r="266" spans="1:12" x14ac:dyDescent="0.25">
      <c r="A266" t="s">
        <v>347</v>
      </c>
      <c r="B266">
        <v>1366</v>
      </c>
      <c r="C266">
        <v>242</v>
      </c>
      <c r="D266">
        <v>17</v>
      </c>
      <c r="E266" t="s">
        <v>13</v>
      </c>
      <c r="F266" t="s">
        <v>14</v>
      </c>
      <c r="G266" t="s">
        <v>40</v>
      </c>
      <c r="H266" s="1">
        <v>45187</v>
      </c>
      <c r="I266" t="s">
        <v>348</v>
      </c>
      <c r="J266" t="s">
        <v>98</v>
      </c>
      <c r="K266" t="s">
        <v>99</v>
      </c>
      <c r="L266" t="s">
        <v>273</v>
      </c>
    </row>
    <row r="267" spans="1:12" x14ac:dyDescent="0.25">
      <c r="A267" t="s">
        <v>347</v>
      </c>
      <c r="B267">
        <v>1518</v>
      </c>
      <c r="C267">
        <v>155</v>
      </c>
      <c r="D267">
        <v>13</v>
      </c>
      <c r="E267" t="s">
        <v>30</v>
      </c>
      <c r="F267" t="s">
        <v>57</v>
      </c>
      <c r="G267" t="s">
        <v>47</v>
      </c>
      <c r="H267" s="1">
        <v>45187</v>
      </c>
      <c r="I267" t="s">
        <v>348</v>
      </c>
      <c r="J267" t="s">
        <v>98</v>
      </c>
      <c r="K267" t="s">
        <v>99</v>
      </c>
      <c r="L267" t="s">
        <v>273</v>
      </c>
    </row>
    <row r="268" spans="1:12" x14ac:dyDescent="0.25">
      <c r="A268" t="s">
        <v>349</v>
      </c>
      <c r="B268">
        <v>2962</v>
      </c>
      <c r="C268">
        <v>1470</v>
      </c>
      <c r="D268">
        <v>1</v>
      </c>
      <c r="E268" t="s">
        <v>13</v>
      </c>
      <c r="F268" t="s">
        <v>82</v>
      </c>
      <c r="G268" t="s">
        <v>65</v>
      </c>
      <c r="H268" s="1">
        <v>44328</v>
      </c>
      <c r="I268" t="s">
        <v>350</v>
      </c>
      <c r="J268" t="s">
        <v>25</v>
      </c>
      <c r="K268" t="s">
        <v>26</v>
      </c>
      <c r="L268" t="s">
        <v>108</v>
      </c>
    </row>
    <row r="269" spans="1:12" x14ac:dyDescent="0.25">
      <c r="A269" t="s">
        <v>349</v>
      </c>
      <c r="B269">
        <v>2962</v>
      </c>
      <c r="C269">
        <v>1470</v>
      </c>
      <c r="D269">
        <v>1</v>
      </c>
      <c r="E269" t="s">
        <v>13</v>
      </c>
      <c r="F269" t="s">
        <v>82</v>
      </c>
      <c r="G269" t="s">
        <v>65</v>
      </c>
      <c r="H269" s="1">
        <v>45186</v>
      </c>
      <c r="I269" t="s">
        <v>351</v>
      </c>
      <c r="J269" t="s">
        <v>17</v>
      </c>
      <c r="K269" t="s">
        <v>150</v>
      </c>
      <c r="L269" t="s">
        <v>273</v>
      </c>
    </row>
    <row r="270" spans="1:12" x14ac:dyDescent="0.25">
      <c r="A270" t="s">
        <v>349</v>
      </c>
      <c r="B270">
        <v>7131</v>
      </c>
      <c r="C270">
        <v>718</v>
      </c>
      <c r="D270">
        <v>12</v>
      </c>
      <c r="E270" t="s">
        <v>13</v>
      </c>
      <c r="F270" t="s">
        <v>28</v>
      </c>
      <c r="G270" t="s">
        <v>15</v>
      </c>
      <c r="H270" s="1">
        <v>44328</v>
      </c>
      <c r="I270" t="s">
        <v>350</v>
      </c>
      <c r="J270" t="s">
        <v>25</v>
      </c>
      <c r="K270" t="s">
        <v>26</v>
      </c>
      <c r="L270" t="s">
        <v>108</v>
      </c>
    </row>
    <row r="271" spans="1:12" x14ac:dyDescent="0.25">
      <c r="A271" t="s">
        <v>349</v>
      </c>
      <c r="B271">
        <v>7131</v>
      </c>
      <c r="C271">
        <v>718</v>
      </c>
      <c r="D271">
        <v>12</v>
      </c>
      <c r="E271" t="s">
        <v>13</v>
      </c>
      <c r="F271" t="s">
        <v>28</v>
      </c>
      <c r="G271" t="s">
        <v>15</v>
      </c>
      <c r="H271" s="1">
        <v>45186</v>
      </c>
      <c r="I271" t="s">
        <v>351</v>
      </c>
      <c r="J271" t="s">
        <v>17</v>
      </c>
      <c r="K271" t="s">
        <v>150</v>
      </c>
      <c r="L271" t="s">
        <v>273</v>
      </c>
    </row>
    <row r="272" spans="1:12" x14ac:dyDescent="0.25">
      <c r="A272" t="s">
        <v>349</v>
      </c>
      <c r="B272">
        <v>4200</v>
      </c>
      <c r="C272">
        <v>855</v>
      </c>
      <c r="D272">
        <v>10</v>
      </c>
      <c r="E272" t="s">
        <v>30</v>
      </c>
      <c r="F272" t="s">
        <v>57</v>
      </c>
      <c r="G272" t="s">
        <v>40</v>
      </c>
      <c r="H272" s="1">
        <v>44328</v>
      </c>
      <c r="I272" t="s">
        <v>350</v>
      </c>
      <c r="J272" t="s">
        <v>25</v>
      </c>
      <c r="K272" t="s">
        <v>26</v>
      </c>
      <c r="L272" t="s">
        <v>108</v>
      </c>
    </row>
    <row r="273" spans="1:12" x14ac:dyDescent="0.25">
      <c r="A273" t="s">
        <v>349</v>
      </c>
      <c r="B273">
        <v>4200</v>
      </c>
      <c r="C273">
        <v>855</v>
      </c>
      <c r="D273">
        <v>10</v>
      </c>
      <c r="E273" t="s">
        <v>30</v>
      </c>
      <c r="F273" t="s">
        <v>57</v>
      </c>
      <c r="G273" t="s">
        <v>40</v>
      </c>
      <c r="H273" s="1">
        <v>45186</v>
      </c>
      <c r="I273" t="s">
        <v>351</v>
      </c>
      <c r="J273" t="s">
        <v>17</v>
      </c>
      <c r="K273" t="s">
        <v>150</v>
      </c>
      <c r="L273" t="s">
        <v>273</v>
      </c>
    </row>
    <row r="274" spans="1:12" x14ac:dyDescent="0.25">
      <c r="A274" t="s">
        <v>352</v>
      </c>
      <c r="B274">
        <v>5934</v>
      </c>
      <c r="C274">
        <v>1563</v>
      </c>
      <c r="D274">
        <v>2</v>
      </c>
      <c r="E274" t="s">
        <v>30</v>
      </c>
      <c r="F274" t="s">
        <v>57</v>
      </c>
      <c r="G274" t="s">
        <v>40</v>
      </c>
      <c r="H274" s="1">
        <v>45541</v>
      </c>
      <c r="I274" t="s">
        <v>353</v>
      </c>
      <c r="J274" t="s">
        <v>21</v>
      </c>
      <c r="K274" t="s">
        <v>172</v>
      </c>
      <c r="L274" t="s">
        <v>159</v>
      </c>
    </row>
    <row r="275" spans="1:12" x14ac:dyDescent="0.25">
      <c r="A275" t="s">
        <v>354</v>
      </c>
      <c r="B275">
        <v>2701</v>
      </c>
      <c r="C275">
        <v>322</v>
      </c>
      <c r="D275">
        <v>11</v>
      </c>
      <c r="E275" t="s">
        <v>13</v>
      </c>
      <c r="F275" t="s">
        <v>28</v>
      </c>
      <c r="G275" t="s">
        <v>15</v>
      </c>
      <c r="H275" s="1">
        <v>44730</v>
      </c>
      <c r="I275" t="s">
        <v>355</v>
      </c>
      <c r="J275" t="s">
        <v>25</v>
      </c>
      <c r="K275" t="s">
        <v>51</v>
      </c>
      <c r="L275" t="s">
        <v>165</v>
      </c>
    </row>
    <row r="276" spans="1:12" x14ac:dyDescent="0.25">
      <c r="A276" t="s">
        <v>354</v>
      </c>
      <c r="B276">
        <v>7273</v>
      </c>
      <c r="C276">
        <v>2702</v>
      </c>
      <c r="D276">
        <v>18</v>
      </c>
      <c r="E276" t="s">
        <v>30</v>
      </c>
      <c r="F276" t="s">
        <v>64</v>
      </c>
      <c r="G276" t="s">
        <v>65</v>
      </c>
      <c r="H276" s="1">
        <v>44730</v>
      </c>
      <c r="I276" t="s">
        <v>355</v>
      </c>
      <c r="J276" t="s">
        <v>25</v>
      </c>
      <c r="K276" t="s">
        <v>51</v>
      </c>
      <c r="L276" t="s">
        <v>165</v>
      </c>
    </row>
    <row r="277" spans="1:12" x14ac:dyDescent="0.25">
      <c r="A277" t="s">
        <v>356</v>
      </c>
      <c r="B277">
        <v>2465</v>
      </c>
      <c r="C277">
        <v>699</v>
      </c>
      <c r="D277">
        <v>18</v>
      </c>
      <c r="E277" t="s">
        <v>30</v>
      </c>
      <c r="F277" t="s">
        <v>57</v>
      </c>
      <c r="G277" t="s">
        <v>32</v>
      </c>
      <c r="H277" s="1">
        <v>43973</v>
      </c>
      <c r="I277" t="s">
        <v>357</v>
      </c>
      <c r="J277" t="s">
        <v>42</v>
      </c>
      <c r="K277" t="s">
        <v>92</v>
      </c>
      <c r="L277" t="s">
        <v>59</v>
      </c>
    </row>
    <row r="278" spans="1:12" x14ac:dyDescent="0.25">
      <c r="A278" t="s">
        <v>358</v>
      </c>
      <c r="B278">
        <v>3479</v>
      </c>
      <c r="C278">
        <v>1087</v>
      </c>
      <c r="D278">
        <v>2</v>
      </c>
      <c r="E278" t="s">
        <v>30</v>
      </c>
      <c r="F278" t="s">
        <v>57</v>
      </c>
      <c r="G278" t="s">
        <v>40</v>
      </c>
      <c r="H278" s="1">
        <v>45582</v>
      </c>
      <c r="I278" t="s">
        <v>359</v>
      </c>
      <c r="J278" t="s">
        <v>71</v>
      </c>
      <c r="K278" t="s">
        <v>72</v>
      </c>
      <c r="L278" t="s">
        <v>360</v>
      </c>
    </row>
    <row r="279" spans="1:12" x14ac:dyDescent="0.25">
      <c r="A279" t="s">
        <v>358</v>
      </c>
      <c r="B279">
        <v>5457</v>
      </c>
      <c r="C279">
        <v>1765</v>
      </c>
      <c r="D279">
        <v>7</v>
      </c>
      <c r="E279" t="s">
        <v>13</v>
      </c>
      <c r="F279" t="s">
        <v>28</v>
      </c>
      <c r="G279" t="s">
        <v>40</v>
      </c>
      <c r="H279" s="1">
        <v>45582</v>
      </c>
      <c r="I279" t="s">
        <v>359</v>
      </c>
      <c r="J279" t="s">
        <v>71</v>
      </c>
      <c r="K279" t="s">
        <v>72</v>
      </c>
      <c r="L279" t="s">
        <v>360</v>
      </c>
    </row>
    <row r="280" spans="1:12" x14ac:dyDescent="0.25">
      <c r="A280" t="s">
        <v>361</v>
      </c>
      <c r="B280">
        <v>4957</v>
      </c>
      <c r="C280">
        <v>1152</v>
      </c>
      <c r="D280">
        <v>8</v>
      </c>
      <c r="E280" t="s">
        <v>30</v>
      </c>
      <c r="F280" t="s">
        <v>57</v>
      </c>
      <c r="G280" t="s">
        <v>47</v>
      </c>
      <c r="H280" s="1">
        <v>44642</v>
      </c>
      <c r="I280" t="s">
        <v>362</v>
      </c>
      <c r="J280" t="s">
        <v>98</v>
      </c>
      <c r="K280" t="s">
        <v>117</v>
      </c>
      <c r="L280" t="s">
        <v>134</v>
      </c>
    </row>
    <row r="281" spans="1:12" x14ac:dyDescent="0.25">
      <c r="A281" t="s">
        <v>363</v>
      </c>
      <c r="B281">
        <v>4404</v>
      </c>
      <c r="C281">
        <v>858</v>
      </c>
      <c r="D281">
        <v>17</v>
      </c>
      <c r="E281" t="s">
        <v>30</v>
      </c>
      <c r="F281" t="s">
        <v>31</v>
      </c>
      <c r="G281" t="s">
        <v>32</v>
      </c>
      <c r="H281" s="1">
        <v>45368</v>
      </c>
      <c r="I281" t="s">
        <v>364</v>
      </c>
      <c r="J281" t="s">
        <v>98</v>
      </c>
      <c r="K281" t="s">
        <v>99</v>
      </c>
      <c r="L281" t="s">
        <v>338</v>
      </c>
    </row>
    <row r="282" spans="1:12" x14ac:dyDescent="0.25">
      <c r="A282" t="s">
        <v>363</v>
      </c>
      <c r="B282">
        <v>8776</v>
      </c>
      <c r="C282">
        <v>2529</v>
      </c>
      <c r="D282">
        <v>15</v>
      </c>
      <c r="E282" t="s">
        <v>45</v>
      </c>
      <c r="F282" t="s">
        <v>60</v>
      </c>
      <c r="G282" t="s">
        <v>47</v>
      </c>
      <c r="H282" s="1">
        <v>45368</v>
      </c>
      <c r="I282" t="s">
        <v>364</v>
      </c>
      <c r="J282" t="s">
        <v>98</v>
      </c>
      <c r="K282" t="s">
        <v>99</v>
      </c>
      <c r="L282" t="s">
        <v>338</v>
      </c>
    </row>
    <row r="283" spans="1:12" x14ac:dyDescent="0.25">
      <c r="A283" t="s">
        <v>365</v>
      </c>
      <c r="B283">
        <v>9536</v>
      </c>
      <c r="C283">
        <v>1437</v>
      </c>
      <c r="D283">
        <v>9</v>
      </c>
      <c r="E283" t="s">
        <v>13</v>
      </c>
      <c r="F283" t="s">
        <v>82</v>
      </c>
      <c r="G283" t="s">
        <v>15</v>
      </c>
      <c r="H283" s="1">
        <v>43923</v>
      </c>
      <c r="I283" t="s">
        <v>366</v>
      </c>
      <c r="J283" t="s">
        <v>17</v>
      </c>
      <c r="K283" t="s">
        <v>34</v>
      </c>
      <c r="L283" t="s">
        <v>162</v>
      </c>
    </row>
    <row r="284" spans="1:12" x14ac:dyDescent="0.25">
      <c r="A284" t="s">
        <v>365</v>
      </c>
      <c r="B284">
        <v>2225</v>
      </c>
      <c r="C284">
        <v>589</v>
      </c>
      <c r="D284">
        <v>7</v>
      </c>
      <c r="E284" t="s">
        <v>45</v>
      </c>
      <c r="F284" t="s">
        <v>60</v>
      </c>
      <c r="G284" t="s">
        <v>47</v>
      </c>
      <c r="H284" s="1">
        <v>43923</v>
      </c>
      <c r="I284" t="s">
        <v>366</v>
      </c>
      <c r="J284" t="s">
        <v>17</v>
      </c>
      <c r="K284" t="s">
        <v>34</v>
      </c>
      <c r="L284" t="s">
        <v>162</v>
      </c>
    </row>
    <row r="285" spans="1:12" x14ac:dyDescent="0.25">
      <c r="A285" t="s">
        <v>367</v>
      </c>
      <c r="B285">
        <v>9574</v>
      </c>
      <c r="C285">
        <v>4045</v>
      </c>
      <c r="D285">
        <v>19</v>
      </c>
      <c r="E285" t="s">
        <v>45</v>
      </c>
      <c r="F285" t="s">
        <v>109</v>
      </c>
      <c r="G285" t="s">
        <v>15</v>
      </c>
      <c r="H285" s="1">
        <v>45364</v>
      </c>
      <c r="I285" t="s">
        <v>368</v>
      </c>
      <c r="J285" t="s">
        <v>42</v>
      </c>
      <c r="K285" t="s">
        <v>92</v>
      </c>
      <c r="L285" t="s">
        <v>338</v>
      </c>
    </row>
    <row r="286" spans="1:12" x14ac:dyDescent="0.25">
      <c r="A286" t="s">
        <v>367</v>
      </c>
      <c r="B286">
        <v>4382</v>
      </c>
      <c r="C286">
        <v>482</v>
      </c>
      <c r="D286">
        <v>17</v>
      </c>
      <c r="E286" t="s">
        <v>13</v>
      </c>
      <c r="F286" t="s">
        <v>14</v>
      </c>
      <c r="G286" t="s">
        <v>65</v>
      </c>
      <c r="H286" s="1">
        <v>45364</v>
      </c>
      <c r="I286" t="s">
        <v>368</v>
      </c>
      <c r="J286" t="s">
        <v>42</v>
      </c>
      <c r="K286" t="s">
        <v>92</v>
      </c>
      <c r="L286" t="s">
        <v>338</v>
      </c>
    </row>
    <row r="287" spans="1:12" x14ac:dyDescent="0.25">
      <c r="A287" t="s">
        <v>369</v>
      </c>
      <c r="B287">
        <v>8200</v>
      </c>
      <c r="C287">
        <v>257</v>
      </c>
      <c r="D287">
        <v>19</v>
      </c>
      <c r="E287" t="s">
        <v>13</v>
      </c>
      <c r="F287" t="s">
        <v>39</v>
      </c>
      <c r="G287" t="s">
        <v>65</v>
      </c>
      <c r="H287" s="1">
        <v>45006</v>
      </c>
      <c r="I287" t="s">
        <v>370</v>
      </c>
      <c r="J287" t="s">
        <v>98</v>
      </c>
      <c r="K287" t="s">
        <v>107</v>
      </c>
      <c r="L287" t="s">
        <v>245</v>
      </c>
    </row>
    <row r="288" spans="1:12" x14ac:dyDescent="0.25">
      <c r="A288" t="s">
        <v>369</v>
      </c>
      <c r="B288">
        <v>9316</v>
      </c>
      <c r="C288">
        <v>3003</v>
      </c>
      <c r="D288">
        <v>13</v>
      </c>
      <c r="E288" t="s">
        <v>45</v>
      </c>
      <c r="F288" t="s">
        <v>60</v>
      </c>
      <c r="G288" t="s">
        <v>47</v>
      </c>
      <c r="H288" s="1">
        <v>45006</v>
      </c>
      <c r="I288" t="s">
        <v>370</v>
      </c>
      <c r="J288" t="s">
        <v>98</v>
      </c>
      <c r="K288" t="s">
        <v>107</v>
      </c>
      <c r="L288" t="s">
        <v>245</v>
      </c>
    </row>
    <row r="289" spans="1:12" x14ac:dyDescent="0.25">
      <c r="A289" t="s">
        <v>369</v>
      </c>
      <c r="B289">
        <v>6379</v>
      </c>
      <c r="C289">
        <v>3128</v>
      </c>
      <c r="D289">
        <v>15</v>
      </c>
      <c r="E289" t="s">
        <v>13</v>
      </c>
      <c r="F289" t="s">
        <v>14</v>
      </c>
      <c r="G289" t="s">
        <v>65</v>
      </c>
      <c r="H289" s="1">
        <v>45006</v>
      </c>
      <c r="I289" t="s">
        <v>370</v>
      </c>
      <c r="J289" t="s">
        <v>98</v>
      </c>
      <c r="K289" t="s">
        <v>107</v>
      </c>
      <c r="L289" t="s">
        <v>245</v>
      </c>
    </row>
    <row r="290" spans="1:12" x14ac:dyDescent="0.25">
      <c r="A290" t="s">
        <v>371</v>
      </c>
      <c r="B290">
        <v>3348</v>
      </c>
      <c r="C290">
        <v>568</v>
      </c>
      <c r="D290">
        <v>5</v>
      </c>
      <c r="E290" t="s">
        <v>30</v>
      </c>
      <c r="F290" t="s">
        <v>57</v>
      </c>
      <c r="G290" t="s">
        <v>47</v>
      </c>
      <c r="H290" s="1">
        <v>45353</v>
      </c>
      <c r="I290" t="s">
        <v>372</v>
      </c>
      <c r="J290" t="s">
        <v>98</v>
      </c>
      <c r="K290" t="s">
        <v>117</v>
      </c>
      <c r="L290" t="s">
        <v>338</v>
      </c>
    </row>
    <row r="291" spans="1:12" x14ac:dyDescent="0.25">
      <c r="A291" t="s">
        <v>371</v>
      </c>
      <c r="B291">
        <v>3348</v>
      </c>
      <c r="C291">
        <v>568</v>
      </c>
      <c r="D291">
        <v>5</v>
      </c>
      <c r="E291" t="s">
        <v>30</v>
      </c>
      <c r="F291" t="s">
        <v>57</v>
      </c>
      <c r="G291" t="s">
        <v>47</v>
      </c>
      <c r="H291" s="1">
        <v>44316</v>
      </c>
      <c r="I291" t="s">
        <v>373</v>
      </c>
      <c r="J291" t="s">
        <v>25</v>
      </c>
      <c r="K291" t="s">
        <v>68</v>
      </c>
      <c r="L291" t="s">
        <v>139</v>
      </c>
    </row>
    <row r="292" spans="1:12" x14ac:dyDescent="0.25">
      <c r="A292" t="s">
        <v>371</v>
      </c>
      <c r="B292">
        <v>8856</v>
      </c>
      <c r="C292">
        <v>2020</v>
      </c>
      <c r="D292">
        <v>9</v>
      </c>
      <c r="E292" t="s">
        <v>30</v>
      </c>
      <c r="F292" t="s">
        <v>31</v>
      </c>
      <c r="G292" t="s">
        <v>32</v>
      </c>
      <c r="H292" s="1">
        <v>45353</v>
      </c>
      <c r="I292" t="s">
        <v>372</v>
      </c>
      <c r="J292" t="s">
        <v>98</v>
      </c>
      <c r="K292" t="s">
        <v>117</v>
      </c>
      <c r="L292" t="s">
        <v>338</v>
      </c>
    </row>
    <row r="293" spans="1:12" x14ac:dyDescent="0.25">
      <c r="A293" t="s">
        <v>371</v>
      </c>
      <c r="B293">
        <v>8856</v>
      </c>
      <c r="C293">
        <v>2020</v>
      </c>
      <c r="D293">
        <v>9</v>
      </c>
      <c r="E293" t="s">
        <v>30</v>
      </c>
      <c r="F293" t="s">
        <v>31</v>
      </c>
      <c r="G293" t="s">
        <v>32</v>
      </c>
      <c r="H293" s="1">
        <v>44316</v>
      </c>
      <c r="I293" t="s">
        <v>373</v>
      </c>
      <c r="J293" t="s">
        <v>25</v>
      </c>
      <c r="K293" t="s">
        <v>68</v>
      </c>
      <c r="L293" t="s">
        <v>139</v>
      </c>
    </row>
    <row r="294" spans="1:12" x14ac:dyDescent="0.25">
      <c r="A294" t="s">
        <v>374</v>
      </c>
      <c r="B294">
        <v>1760</v>
      </c>
      <c r="C294">
        <v>619</v>
      </c>
      <c r="D294">
        <v>16</v>
      </c>
      <c r="E294" t="s">
        <v>45</v>
      </c>
      <c r="F294" t="s">
        <v>60</v>
      </c>
      <c r="G294" t="s">
        <v>32</v>
      </c>
      <c r="H294" s="1">
        <v>44454</v>
      </c>
      <c r="I294" t="s">
        <v>375</v>
      </c>
      <c r="J294" t="s">
        <v>98</v>
      </c>
      <c r="K294" t="s">
        <v>99</v>
      </c>
      <c r="L294" t="s">
        <v>224</v>
      </c>
    </row>
    <row r="295" spans="1:12" x14ac:dyDescent="0.25">
      <c r="A295" t="s">
        <v>374</v>
      </c>
      <c r="B295">
        <v>1760</v>
      </c>
      <c r="C295">
        <v>619</v>
      </c>
      <c r="D295">
        <v>16</v>
      </c>
      <c r="E295" t="s">
        <v>45</v>
      </c>
      <c r="F295" t="s">
        <v>60</v>
      </c>
      <c r="G295" t="s">
        <v>32</v>
      </c>
      <c r="H295" s="1">
        <v>44954</v>
      </c>
      <c r="I295" t="s">
        <v>376</v>
      </c>
      <c r="J295" t="s">
        <v>71</v>
      </c>
      <c r="K295" t="s">
        <v>138</v>
      </c>
      <c r="L295" t="s">
        <v>333</v>
      </c>
    </row>
    <row r="296" spans="1:12" x14ac:dyDescent="0.25">
      <c r="A296" t="s">
        <v>374</v>
      </c>
      <c r="B296">
        <v>6351</v>
      </c>
      <c r="C296">
        <v>986</v>
      </c>
      <c r="D296">
        <v>15</v>
      </c>
      <c r="E296" t="s">
        <v>13</v>
      </c>
      <c r="F296" t="s">
        <v>28</v>
      </c>
      <c r="G296" t="s">
        <v>15</v>
      </c>
      <c r="H296" s="1">
        <v>44454</v>
      </c>
      <c r="I296" t="s">
        <v>375</v>
      </c>
      <c r="J296" t="s">
        <v>98</v>
      </c>
      <c r="K296" t="s">
        <v>99</v>
      </c>
      <c r="L296" t="s">
        <v>224</v>
      </c>
    </row>
    <row r="297" spans="1:12" x14ac:dyDescent="0.25">
      <c r="A297" t="s">
        <v>374</v>
      </c>
      <c r="B297">
        <v>6351</v>
      </c>
      <c r="C297">
        <v>986</v>
      </c>
      <c r="D297">
        <v>15</v>
      </c>
      <c r="E297" t="s">
        <v>13</v>
      </c>
      <c r="F297" t="s">
        <v>28</v>
      </c>
      <c r="G297" t="s">
        <v>15</v>
      </c>
      <c r="H297" s="1">
        <v>44954</v>
      </c>
      <c r="I297" t="s">
        <v>376</v>
      </c>
      <c r="J297" t="s">
        <v>71</v>
      </c>
      <c r="K297" t="s">
        <v>138</v>
      </c>
      <c r="L297" t="s">
        <v>333</v>
      </c>
    </row>
    <row r="298" spans="1:12" x14ac:dyDescent="0.25">
      <c r="A298" t="s">
        <v>377</v>
      </c>
      <c r="B298">
        <v>869</v>
      </c>
      <c r="C298">
        <v>373</v>
      </c>
      <c r="D298">
        <v>14</v>
      </c>
      <c r="E298" t="s">
        <v>30</v>
      </c>
      <c r="F298" t="s">
        <v>64</v>
      </c>
      <c r="G298" t="s">
        <v>47</v>
      </c>
      <c r="H298" s="1">
        <v>44385</v>
      </c>
      <c r="I298" t="s">
        <v>378</v>
      </c>
      <c r="J298" t="s">
        <v>25</v>
      </c>
      <c r="K298" t="s">
        <v>51</v>
      </c>
      <c r="L298" t="s">
        <v>27</v>
      </c>
    </row>
    <row r="299" spans="1:12" x14ac:dyDescent="0.25">
      <c r="A299" t="s">
        <v>377</v>
      </c>
      <c r="B299">
        <v>869</v>
      </c>
      <c r="C299">
        <v>373</v>
      </c>
      <c r="D299">
        <v>14</v>
      </c>
      <c r="E299" t="s">
        <v>30</v>
      </c>
      <c r="F299" t="s">
        <v>64</v>
      </c>
      <c r="G299" t="s">
        <v>47</v>
      </c>
      <c r="H299" s="1">
        <v>43929</v>
      </c>
      <c r="I299" t="s">
        <v>379</v>
      </c>
      <c r="J299" t="s">
        <v>98</v>
      </c>
      <c r="K299" t="s">
        <v>117</v>
      </c>
      <c r="L299" t="s">
        <v>162</v>
      </c>
    </row>
    <row r="300" spans="1:12" x14ac:dyDescent="0.25">
      <c r="A300" t="s">
        <v>377</v>
      </c>
      <c r="B300">
        <v>1486</v>
      </c>
      <c r="C300">
        <v>114</v>
      </c>
      <c r="D300">
        <v>7</v>
      </c>
      <c r="E300" t="s">
        <v>45</v>
      </c>
      <c r="F300" t="s">
        <v>109</v>
      </c>
      <c r="G300" t="s">
        <v>15</v>
      </c>
      <c r="H300" s="1">
        <v>44385</v>
      </c>
      <c r="I300" t="s">
        <v>378</v>
      </c>
      <c r="J300" t="s">
        <v>25</v>
      </c>
      <c r="K300" t="s">
        <v>51</v>
      </c>
      <c r="L300" t="s">
        <v>27</v>
      </c>
    </row>
    <row r="301" spans="1:12" x14ac:dyDescent="0.25">
      <c r="A301" t="s">
        <v>377</v>
      </c>
      <c r="B301">
        <v>1486</v>
      </c>
      <c r="C301">
        <v>114</v>
      </c>
      <c r="D301">
        <v>7</v>
      </c>
      <c r="E301" t="s">
        <v>45</v>
      </c>
      <c r="F301" t="s">
        <v>109</v>
      </c>
      <c r="G301" t="s">
        <v>15</v>
      </c>
      <c r="H301" s="1">
        <v>43929</v>
      </c>
      <c r="I301" t="s">
        <v>379</v>
      </c>
      <c r="J301" t="s">
        <v>98</v>
      </c>
      <c r="K301" t="s">
        <v>117</v>
      </c>
      <c r="L301" t="s">
        <v>162</v>
      </c>
    </row>
    <row r="302" spans="1:12" x14ac:dyDescent="0.25">
      <c r="A302" t="s">
        <v>380</v>
      </c>
      <c r="B302">
        <v>2999</v>
      </c>
      <c r="C302">
        <v>145</v>
      </c>
      <c r="D302">
        <v>13</v>
      </c>
      <c r="E302" t="s">
        <v>30</v>
      </c>
      <c r="F302" t="s">
        <v>78</v>
      </c>
      <c r="G302" t="s">
        <v>65</v>
      </c>
      <c r="H302" s="1">
        <v>44796</v>
      </c>
      <c r="I302" t="s">
        <v>381</v>
      </c>
      <c r="J302" t="s">
        <v>21</v>
      </c>
      <c r="K302" t="s">
        <v>22</v>
      </c>
      <c r="L302" t="s">
        <v>209</v>
      </c>
    </row>
    <row r="303" spans="1:12" x14ac:dyDescent="0.25">
      <c r="A303" t="s">
        <v>380</v>
      </c>
      <c r="B303">
        <v>5142</v>
      </c>
      <c r="C303">
        <v>1916</v>
      </c>
      <c r="D303">
        <v>20</v>
      </c>
      <c r="E303" t="s">
        <v>30</v>
      </c>
      <c r="F303" t="s">
        <v>64</v>
      </c>
      <c r="G303" t="s">
        <v>40</v>
      </c>
      <c r="H303" s="1">
        <v>44796</v>
      </c>
      <c r="I303" t="s">
        <v>381</v>
      </c>
      <c r="J303" t="s">
        <v>21</v>
      </c>
      <c r="K303" t="s">
        <v>22</v>
      </c>
      <c r="L303" t="s">
        <v>209</v>
      </c>
    </row>
    <row r="304" spans="1:12" x14ac:dyDescent="0.25">
      <c r="A304" t="s">
        <v>382</v>
      </c>
      <c r="B304">
        <v>1239</v>
      </c>
      <c r="C304">
        <v>575</v>
      </c>
      <c r="D304">
        <v>17</v>
      </c>
      <c r="E304" t="s">
        <v>13</v>
      </c>
      <c r="F304" t="s">
        <v>39</v>
      </c>
      <c r="G304" t="s">
        <v>15</v>
      </c>
      <c r="H304" s="1">
        <v>44912</v>
      </c>
      <c r="I304" t="s">
        <v>383</v>
      </c>
      <c r="J304" t="s">
        <v>25</v>
      </c>
      <c r="K304" t="s">
        <v>68</v>
      </c>
      <c r="L304" t="s">
        <v>152</v>
      </c>
    </row>
    <row r="305" spans="1:12" x14ac:dyDescent="0.25">
      <c r="A305" t="s">
        <v>382</v>
      </c>
      <c r="B305">
        <v>1239</v>
      </c>
      <c r="C305">
        <v>575</v>
      </c>
      <c r="D305">
        <v>17</v>
      </c>
      <c r="E305" t="s">
        <v>13</v>
      </c>
      <c r="F305" t="s">
        <v>39</v>
      </c>
      <c r="G305" t="s">
        <v>15</v>
      </c>
      <c r="H305" s="1">
        <v>44720</v>
      </c>
      <c r="I305" t="s">
        <v>384</v>
      </c>
      <c r="J305" t="s">
        <v>21</v>
      </c>
      <c r="K305" t="s">
        <v>63</v>
      </c>
      <c r="L305" t="s">
        <v>165</v>
      </c>
    </row>
    <row r="306" spans="1:12" x14ac:dyDescent="0.25">
      <c r="A306" t="s">
        <v>382</v>
      </c>
      <c r="B306">
        <v>1262</v>
      </c>
      <c r="C306">
        <v>515</v>
      </c>
      <c r="D306">
        <v>16</v>
      </c>
      <c r="E306" t="s">
        <v>13</v>
      </c>
      <c r="F306" t="s">
        <v>14</v>
      </c>
      <c r="G306" t="s">
        <v>40</v>
      </c>
      <c r="H306" s="1">
        <v>44912</v>
      </c>
      <c r="I306" t="s">
        <v>383</v>
      </c>
      <c r="J306" t="s">
        <v>25</v>
      </c>
      <c r="K306" t="s">
        <v>68</v>
      </c>
      <c r="L306" t="s">
        <v>152</v>
      </c>
    </row>
    <row r="307" spans="1:12" x14ac:dyDescent="0.25">
      <c r="A307" t="s">
        <v>382</v>
      </c>
      <c r="B307">
        <v>1262</v>
      </c>
      <c r="C307">
        <v>515</v>
      </c>
      <c r="D307">
        <v>16</v>
      </c>
      <c r="E307" t="s">
        <v>13</v>
      </c>
      <c r="F307" t="s">
        <v>14</v>
      </c>
      <c r="G307" t="s">
        <v>40</v>
      </c>
      <c r="H307" s="1">
        <v>44720</v>
      </c>
      <c r="I307" t="s">
        <v>384</v>
      </c>
      <c r="J307" t="s">
        <v>21</v>
      </c>
      <c r="K307" t="s">
        <v>63</v>
      </c>
      <c r="L307" t="s">
        <v>165</v>
      </c>
    </row>
    <row r="308" spans="1:12" x14ac:dyDescent="0.25">
      <c r="A308" t="s">
        <v>385</v>
      </c>
      <c r="B308">
        <v>1033</v>
      </c>
      <c r="C308">
        <v>254</v>
      </c>
      <c r="D308">
        <v>5</v>
      </c>
      <c r="E308" t="s">
        <v>45</v>
      </c>
      <c r="F308" t="s">
        <v>109</v>
      </c>
      <c r="G308" t="s">
        <v>65</v>
      </c>
      <c r="H308" s="1">
        <v>44071</v>
      </c>
      <c r="I308" t="s">
        <v>386</v>
      </c>
      <c r="J308" t="s">
        <v>25</v>
      </c>
      <c r="K308" t="s">
        <v>68</v>
      </c>
      <c r="L308" t="s">
        <v>185</v>
      </c>
    </row>
    <row r="309" spans="1:12" x14ac:dyDescent="0.25">
      <c r="A309" t="s">
        <v>387</v>
      </c>
      <c r="B309">
        <v>1518</v>
      </c>
      <c r="C309">
        <v>159</v>
      </c>
      <c r="D309">
        <v>19</v>
      </c>
      <c r="E309" t="s">
        <v>13</v>
      </c>
      <c r="F309" t="s">
        <v>28</v>
      </c>
      <c r="G309" t="s">
        <v>15</v>
      </c>
      <c r="H309" s="1">
        <v>44100</v>
      </c>
      <c r="I309" t="s">
        <v>388</v>
      </c>
      <c r="J309" t="s">
        <v>42</v>
      </c>
      <c r="K309" t="s">
        <v>75</v>
      </c>
      <c r="L309" t="s">
        <v>389</v>
      </c>
    </row>
    <row r="310" spans="1:12" x14ac:dyDescent="0.25">
      <c r="A310" t="s">
        <v>390</v>
      </c>
      <c r="B310">
        <v>8581</v>
      </c>
      <c r="C310">
        <v>2444</v>
      </c>
      <c r="D310">
        <v>2</v>
      </c>
      <c r="E310" t="s">
        <v>30</v>
      </c>
      <c r="F310" t="s">
        <v>64</v>
      </c>
      <c r="G310" t="s">
        <v>32</v>
      </c>
      <c r="H310" s="1">
        <v>44178</v>
      </c>
      <c r="I310" t="s">
        <v>391</v>
      </c>
      <c r="J310" t="s">
        <v>21</v>
      </c>
      <c r="K310" t="s">
        <v>172</v>
      </c>
      <c r="L310" t="s">
        <v>287</v>
      </c>
    </row>
    <row r="311" spans="1:12" x14ac:dyDescent="0.25">
      <c r="A311" t="s">
        <v>390</v>
      </c>
      <c r="B311">
        <v>8581</v>
      </c>
      <c r="C311">
        <v>2444</v>
      </c>
      <c r="D311">
        <v>2</v>
      </c>
      <c r="E311" t="s">
        <v>30</v>
      </c>
      <c r="F311" t="s">
        <v>64</v>
      </c>
      <c r="G311" t="s">
        <v>32</v>
      </c>
      <c r="H311" s="1">
        <v>44154</v>
      </c>
      <c r="I311" t="s">
        <v>392</v>
      </c>
      <c r="J311" t="s">
        <v>17</v>
      </c>
      <c r="K311" t="s">
        <v>34</v>
      </c>
      <c r="L311" t="s">
        <v>80</v>
      </c>
    </row>
    <row r="312" spans="1:12" x14ac:dyDescent="0.25">
      <c r="A312" t="s">
        <v>393</v>
      </c>
      <c r="B312">
        <v>1167</v>
      </c>
      <c r="C312">
        <v>463</v>
      </c>
      <c r="D312">
        <v>5</v>
      </c>
      <c r="E312" t="s">
        <v>30</v>
      </c>
      <c r="F312" t="s">
        <v>31</v>
      </c>
      <c r="G312" t="s">
        <v>15</v>
      </c>
      <c r="H312" s="1">
        <v>45182</v>
      </c>
      <c r="I312" t="s">
        <v>394</v>
      </c>
      <c r="J312" t="s">
        <v>71</v>
      </c>
      <c r="K312" t="s">
        <v>86</v>
      </c>
      <c r="L312" t="s">
        <v>273</v>
      </c>
    </row>
    <row r="313" spans="1:12" x14ac:dyDescent="0.25">
      <c r="A313" t="s">
        <v>393</v>
      </c>
      <c r="B313">
        <v>2841</v>
      </c>
      <c r="C313">
        <v>803</v>
      </c>
      <c r="D313">
        <v>20</v>
      </c>
      <c r="E313" t="s">
        <v>13</v>
      </c>
      <c r="F313" t="s">
        <v>39</v>
      </c>
      <c r="G313" t="s">
        <v>47</v>
      </c>
      <c r="H313" s="1">
        <v>45182</v>
      </c>
      <c r="I313" t="s">
        <v>394</v>
      </c>
      <c r="J313" t="s">
        <v>71</v>
      </c>
      <c r="K313" t="s">
        <v>86</v>
      </c>
      <c r="L313" t="s">
        <v>273</v>
      </c>
    </row>
    <row r="314" spans="1:12" x14ac:dyDescent="0.25">
      <c r="A314" t="s">
        <v>393</v>
      </c>
      <c r="B314">
        <v>5680</v>
      </c>
      <c r="C314">
        <v>2159</v>
      </c>
      <c r="D314">
        <v>19</v>
      </c>
      <c r="E314" t="s">
        <v>45</v>
      </c>
      <c r="F314" t="s">
        <v>46</v>
      </c>
      <c r="G314" t="s">
        <v>15</v>
      </c>
      <c r="H314" s="1">
        <v>45182</v>
      </c>
      <c r="I314" t="s">
        <v>394</v>
      </c>
      <c r="J314" t="s">
        <v>71</v>
      </c>
      <c r="K314" t="s">
        <v>86</v>
      </c>
      <c r="L314" t="s">
        <v>273</v>
      </c>
    </row>
    <row r="315" spans="1:12" x14ac:dyDescent="0.25">
      <c r="A315" t="s">
        <v>395</v>
      </c>
      <c r="B315">
        <v>8204</v>
      </c>
      <c r="C315">
        <v>2382</v>
      </c>
      <c r="D315">
        <v>6</v>
      </c>
      <c r="E315" t="s">
        <v>30</v>
      </c>
      <c r="F315" t="s">
        <v>31</v>
      </c>
      <c r="G315" t="s">
        <v>15</v>
      </c>
      <c r="H315" s="1">
        <v>43921</v>
      </c>
      <c r="I315" t="s">
        <v>396</v>
      </c>
      <c r="J315" t="s">
        <v>21</v>
      </c>
      <c r="K315" t="s">
        <v>22</v>
      </c>
      <c r="L315" t="s">
        <v>55</v>
      </c>
    </row>
    <row r="316" spans="1:12" x14ac:dyDescent="0.25">
      <c r="A316" t="s">
        <v>395</v>
      </c>
      <c r="B316">
        <v>8204</v>
      </c>
      <c r="C316">
        <v>2382</v>
      </c>
      <c r="D316">
        <v>6</v>
      </c>
      <c r="E316" t="s">
        <v>30</v>
      </c>
      <c r="F316" t="s">
        <v>31</v>
      </c>
      <c r="G316" t="s">
        <v>15</v>
      </c>
      <c r="H316" s="1">
        <v>44124</v>
      </c>
      <c r="I316" t="s">
        <v>397</v>
      </c>
      <c r="J316" t="s">
        <v>25</v>
      </c>
      <c r="K316" t="s">
        <v>26</v>
      </c>
      <c r="L316" t="s">
        <v>119</v>
      </c>
    </row>
    <row r="317" spans="1:12" x14ac:dyDescent="0.25">
      <c r="A317" t="s">
        <v>395</v>
      </c>
      <c r="B317">
        <v>2850</v>
      </c>
      <c r="C317">
        <v>904</v>
      </c>
      <c r="D317">
        <v>6</v>
      </c>
      <c r="E317" t="s">
        <v>13</v>
      </c>
      <c r="F317" t="s">
        <v>82</v>
      </c>
      <c r="G317" t="s">
        <v>40</v>
      </c>
      <c r="H317" s="1">
        <v>43921</v>
      </c>
      <c r="I317" t="s">
        <v>396</v>
      </c>
      <c r="J317" t="s">
        <v>21</v>
      </c>
      <c r="K317" t="s">
        <v>22</v>
      </c>
      <c r="L317" t="s">
        <v>55</v>
      </c>
    </row>
    <row r="318" spans="1:12" x14ac:dyDescent="0.25">
      <c r="A318" t="s">
        <v>395</v>
      </c>
      <c r="B318">
        <v>2850</v>
      </c>
      <c r="C318">
        <v>904</v>
      </c>
      <c r="D318">
        <v>6</v>
      </c>
      <c r="E318" t="s">
        <v>13</v>
      </c>
      <c r="F318" t="s">
        <v>82</v>
      </c>
      <c r="G318" t="s">
        <v>40</v>
      </c>
      <c r="H318" s="1">
        <v>44124</v>
      </c>
      <c r="I318" t="s">
        <v>397</v>
      </c>
      <c r="J318" t="s">
        <v>25</v>
      </c>
      <c r="K318" t="s">
        <v>26</v>
      </c>
      <c r="L318" t="s">
        <v>119</v>
      </c>
    </row>
    <row r="319" spans="1:12" x14ac:dyDescent="0.25">
      <c r="A319" t="s">
        <v>398</v>
      </c>
      <c r="B319">
        <v>907</v>
      </c>
      <c r="C319">
        <v>391</v>
      </c>
      <c r="D319">
        <v>9</v>
      </c>
      <c r="E319" t="s">
        <v>30</v>
      </c>
      <c r="F319" t="s">
        <v>31</v>
      </c>
      <c r="G319" t="s">
        <v>47</v>
      </c>
      <c r="H319" s="1">
        <v>45142</v>
      </c>
      <c r="I319" t="s">
        <v>399</v>
      </c>
      <c r="J319" t="s">
        <v>25</v>
      </c>
      <c r="K319" t="s">
        <v>51</v>
      </c>
      <c r="L319" t="s">
        <v>121</v>
      </c>
    </row>
    <row r="320" spans="1:12" x14ac:dyDescent="0.25">
      <c r="A320" t="s">
        <v>400</v>
      </c>
      <c r="B320">
        <v>2174</v>
      </c>
      <c r="C320">
        <v>265</v>
      </c>
      <c r="D320">
        <v>19</v>
      </c>
      <c r="E320" t="s">
        <v>30</v>
      </c>
      <c r="F320" t="s">
        <v>31</v>
      </c>
      <c r="G320" t="s">
        <v>47</v>
      </c>
      <c r="H320" s="1">
        <v>44662</v>
      </c>
      <c r="I320" t="s">
        <v>401</v>
      </c>
      <c r="J320" t="s">
        <v>98</v>
      </c>
      <c r="K320" t="s">
        <v>107</v>
      </c>
      <c r="L320" t="s">
        <v>187</v>
      </c>
    </row>
    <row r="321" spans="1:12" x14ac:dyDescent="0.25">
      <c r="A321" t="s">
        <v>400</v>
      </c>
      <c r="B321">
        <v>8541</v>
      </c>
      <c r="C321">
        <v>2029</v>
      </c>
      <c r="D321">
        <v>12</v>
      </c>
      <c r="E321" t="s">
        <v>13</v>
      </c>
      <c r="F321" t="s">
        <v>14</v>
      </c>
      <c r="G321" t="s">
        <v>47</v>
      </c>
      <c r="H321" s="1">
        <v>44662</v>
      </c>
      <c r="I321" t="s">
        <v>401</v>
      </c>
      <c r="J321" t="s">
        <v>98</v>
      </c>
      <c r="K321" t="s">
        <v>107</v>
      </c>
      <c r="L321" t="s">
        <v>187</v>
      </c>
    </row>
    <row r="322" spans="1:12" x14ac:dyDescent="0.25">
      <c r="A322" t="s">
        <v>400</v>
      </c>
      <c r="B322">
        <v>1931</v>
      </c>
      <c r="C322">
        <v>551</v>
      </c>
      <c r="D322">
        <v>3</v>
      </c>
      <c r="E322" t="s">
        <v>45</v>
      </c>
      <c r="F322" t="s">
        <v>109</v>
      </c>
      <c r="G322" t="s">
        <v>40</v>
      </c>
      <c r="H322" s="1">
        <v>44662</v>
      </c>
      <c r="I322" t="s">
        <v>401</v>
      </c>
      <c r="J322" t="s">
        <v>98</v>
      </c>
      <c r="K322" t="s">
        <v>107</v>
      </c>
      <c r="L322" t="s">
        <v>187</v>
      </c>
    </row>
    <row r="323" spans="1:12" x14ac:dyDescent="0.25">
      <c r="A323" t="s">
        <v>402</v>
      </c>
      <c r="B323">
        <v>1281</v>
      </c>
      <c r="C323">
        <v>340</v>
      </c>
      <c r="D323">
        <v>3</v>
      </c>
      <c r="E323" t="s">
        <v>13</v>
      </c>
      <c r="F323" t="s">
        <v>14</v>
      </c>
      <c r="G323" t="s">
        <v>32</v>
      </c>
      <c r="H323" s="1">
        <v>44561</v>
      </c>
      <c r="I323" t="s">
        <v>403</v>
      </c>
      <c r="J323" t="s">
        <v>71</v>
      </c>
      <c r="K323" t="s">
        <v>86</v>
      </c>
      <c r="L323" t="s">
        <v>90</v>
      </c>
    </row>
    <row r="324" spans="1:12" x14ac:dyDescent="0.25">
      <c r="A324" t="s">
        <v>402</v>
      </c>
      <c r="B324">
        <v>2404</v>
      </c>
      <c r="C324">
        <v>253</v>
      </c>
      <c r="D324">
        <v>15</v>
      </c>
      <c r="E324" t="s">
        <v>13</v>
      </c>
      <c r="F324" t="s">
        <v>39</v>
      </c>
      <c r="G324" t="s">
        <v>65</v>
      </c>
      <c r="H324" s="1">
        <v>44561</v>
      </c>
      <c r="I324" t="s">
        <v>403</v>
      </c>
      <c r="J324" t="s">
        <v>71</v>
      </c>
      <c r="K324" t="s">
        <v>86</v>
      </c>
      <c r="L324" t="s">
        <v>90</v>
      </c>
    </row>
    <row r="325" spans="1:12" x14ac:dyDescent="0.25">
      <c r="A325" t="s">
        <v>404</v>
      </c>
      <c r="B325">
        <v>2119</v>
      </c>
      <c r="C325">
        <v>196</v>
      </c>
      <c r="D325">
        <v>1</v>
      </c>
      <c r="E325" t="s">
        <v>45</v>
      </c>
      <c r="F325" t="s">
        <v>60</v>
      </c>
      <c r="G325" t="s">
        <v>65</v>
      </c>
      <c r="H325" s="1">
        <v>44059</v>
      </c>
      <c r="I325" t="s">
        <v>405</v>
      </c>
      <c r="J325" t="s">
        <v>42</v>
      </c>
      <c r="K325" t="s">
        <v>43</v>
      </c>
      <c r="L325" t="s">
        <v>185</v>
      </c>
    </row>
    <row r="326" spans="1:12" x14ac:dyDescent="0.25">
      <c r="A326" t="s">
        <v>406</v>
      </c>
      <c r="B326">
        <v>3137</v>
      </c>
      <c r="C326">
        <v>571</v>
      </c>
      <c r="D326">
        <v>9</v>
      </c>
      <c r="E326" t="s">
        <v>30</v>
      </c>
      <c r="F326" t="s">
        <v>31</v>
      </c>
      <c r="G326" t="s">
        <v>32</v>
      </c>
      <c r="H326" s="1">
        <v>45690</v>
      </c>
      <c r="I326" t="s">
        <v>407</v>
      </c>
      <c r="J326" t="s">
        <v>21</v>
      </c>
      <c r="K326" t="s">
        <v>22</v>
      </c>
      <c r="L326" t="s">
        <v>73</v>
      </c>
    </row>
    <row r="327" spans="1:12" x14ac:dyDescent="0.25">
      <c r="A327" t="s">
        <v>408</v>
      </c>
      <c r="B327">
        <v>2323</v>
      </c>
      <c r="C327">
        <v>727</v>
      </c>
      <c r="D327">
        <v>7</v>
      </c>
      <c r="E327" t="s">
        <v>45</v>
      </c>
      <c r="F327" t="s">
        <v>46</v>
      </c>
      <c r="G327" t="s">
        <v>65</v>
      </c>
      <c r="H327" s="1">
        <v>44616</v>
      </c>
      <c r="I327" t="s">
        <v>409</v>
      </c>
      <c r="J327" t="s">
        <v>71</v>
      </c>
      <c r="K327" t="s">
        <v>72</v>
      </c>
      <c r="L327" t="s">
        <v>137</v>
      </c>
    </row>
    <row r="328" spans="1:12" x14ac:dyDescent="0.25">
      <c r="A328" t="s">
        <v>408</v>
      </c>
      <c r="B328">
        <v>1368</v>
      </c>
      <c r="C328">
        <v>406</v>
      </c>
      <c r="D328">
        <v>9</v>
      </c>
      <c r="E328" t="s">
        <v>45</v>
      </c>
      <c r="F328" t="s">
        <v>109</v>
      </c>
      <c r="G328" t="s">
        <v>15</v>
      </c>
      <c r="H328" s="1">
        <v>44616</v>
      </c>
      <c r="I328" t="s">
        <v>409</v>
      </c>
      <c r="J328" t="s">
        <v>71</v>
      </c>
      <c r="K328" t="s">
        <v>72</v>
      </c>
      <c r="L328" t="s">
        <v>137</v>
      </c>
    </row>
    <row r="329" spans="1:12" x14ac:dyDescent="0.25">
      <c r="A329" t="s">
        <v>410</v>
      </c>
      <c r="B329">
        <v>9204</v>
      </c>
      <c r="C329">
        <v>3289</v>
      </c>
      <c r="D329">
        <v>16</v>
      </c>
      <c r="E329" t="s">
        <v>13</v>
      </c>
      <c r="F329" t="s">
        <v>39</v>
      </c>
      <c r="G329" t="s">
        <v>47</v>
      </c>
      <c r="H329" s="1">
        <v>45347</v>
      </c>
      <c r="I329" t="s">
        <v>411</v>
      </c>
      <c r="J329" t="s">
        <v>17</v>
      </c>
      <c r="K329" t="s">
        <v>18</v>
      </c>
      <c r="L329" t="s">
        <v>218</v>
      </c>
    </row>
    <row r="330" spans="1:12" x14ac:dyDescent="0.25">
      <c r="A330" t="s">
        <v>410</v>
      </c>
      <c r="B330">
        <v>9204</v>
      </c>
      <c r="C330">
        <v>3289</v>
      </c>
      <c r="D330">
        <v>16</v>
      </c>
      <c r="E330" t="s">
        <v>13</v>
      </c>
      <c r="F330" t="s">
        <v>39</v>
      </c>
      <c r="G330" t="s">
        <v>47</v>
      </c>
      <c r="H330" s="1">
        <v>44362</v>
      </c>
      <c r="I330" t="s">
        <v>412</v>
      </c>
      <c r="J330" t="s">
        <v>17</v>
      </c>
      <c r="K330" t="s">
        <v>18</v>
      </c>
      <c r="L330" t="s">
        <v>125</v>
      </c>
    </row>
    <row r="331" spans="1:12" x14ac:dyDescent="0.25">
      <c r="A331" t="s">
        <v>410</v>
      </c>
      <c r="B331">
        <v>9894</v>
      </c>
      <c r="C331">
        <v>3698</v>
      </c>
      <c r="D331">
        <v>20</v>
      </c>
      <c r="E331" t="s">
        <v>30</v>
      </c>
      <c r="F331" t="s">
        <v>64</v>
      </c>
      <c r="G331" t="s">
        <v>40</v>
      </c>
      <c r="H331" s="1">
        <v>45347</v>
      </c>
      <c r="I331" t="s">
        <v>411</v>
      </c>
      <c r="J331" t="s">
        <v>17</v>
      </c>
      <c r="K331" t="s">
        <v>18</v>
      </c>
      <c r="L331" t="s">
        <v>218</v>
      </c>
    </row>
    <row r="332" spans="1:12" x14ac:dyDescent="0.25">
      <c r="A332" t="s">
        <v>410</v>
      </c>
      <c r="B332">
        <v>9894</v>
      </c>
      <c r="C332">
        <v>3698</v>
      </c>
      <c r="D332">
        <v>20</v>
      </c>
      <c r="E332" t="s">
        <v>30</v>
      </c>
      <c r="F332" t="s">
        <v>64</v>
      </c>
      <c r="G332" t="s">
        <v>40</v>
      </c>
      <c r="H332" s="1">
        <v>44362</v>
      </c>
      <c r="I332" t="s">
        <v>412</v>
      </c>
      <c r="J332" t="s">
        <v>17</v>
      </c>
      <c r="K332" t="s">
        <v>18</v>
      </c>
      <c r="L332" t="s">
        <v>125</v>
      </c>
    </row>
    <row r="333" spans="1:12" x14ac:dyDescent="0.25">
      <c r="A333" t="s">
        <v>413</v>
      </c>
      <c r="B333">
        <v>5322</v>
      </c>
      <c r="C333">
        <v>1423</v>
      </c>
      <c r="D333">
        <v>18</v>
      </c>
      <c r="E333" t="s">
        <v>45</v>
      </c>
      <c r="F333" t="s">
        <v>60</v>
      </c>
      <c r="G333" t="s">
        <v>65</v>
      </c>
      <c r="H333" s="1">
        <v>44903</v>
      </c>
      <c r="I333" t="s">
        <v>414</v>
      </c>
      <c r="J333" t="s">
        <v>71</v>
      </c>
      <c r="K333" t="s">
        <v>138</v>
      </c>
      <c r="L333" t="s">
        <v>152</v>
      </c>
    </row>
    <row r="334" spans="1:12" x14ac:dyDescent="0.25">
      <c r="A334" t="s">
        <v>413</v>
      </c>
      <c r="B334">
        <v>5322</v>
      </c>
      <c r="C334">
        <v>1423</v>
      </c>
      <c r="D334">
        <v>18</v>
      </c>
      <c r="E334" t="s">
        <v>45</v>
      </c>
      <c r="F334" t="s">
        <v>60</v>
      </c>
      <c r="G334" t="s">
        <v>65</v>
      </c>
      <c r="H334" s="1">
        <v>45269</v>
      </c>
      <c r="I334" t="s">
        <v>415</v>
      </c>
      <c r="J334" t="s">
        <v>71</v>
      </c>
      <c r="K334" t="s">
        <v>72</v>
      </c>
      <c r="L334" t="s">
        <v>102</v>
      </c>
    </row>
    <row r="335" spans="1:12" x14ac:dyDescent="0.25">
      <c r="A335" t="s">
        <v>416</v>
      </c>
      <c r="B335">
        <v>2666</v>
      </c>
      <c r="C335">
        <v>559</v>
      </c>
      <c r="D335">
        <v>14</v>
      </c>
      <c r="E335" t="s">
        <v>45</v>
      </c>
      <c r="F335" t="s">
        <v>49</v>
      </c>
      <c r="G335" t="s">
        <v>65</v>
      </c>
      <c r="H335" s="1">
        <v>44758</v>
      </c>
      <c r="I335" t="s">
        <v>417</v>
      </c>
      <c r="J335" t="s">
        <v>98</v>
      </c>
      <c r="K335" t="s">
        <v>117</v>
      </c>
      <c r="L335" t="s">
        <v>418</v>
      </c>
    </row>
    <row r="336" spans="1:12" x14ac:dyDescent="0.25">
      <c r="A336" t="s">
        <v>419</v>
      </c>
      <c r="B336">
        <v>8383</v>
      </c>
      <c r="C336">
        <v>937</v>
      </c>
      <c r="D336">
        <v>4</v>
      </c>
      <c r="E336" t="s">
        <v>45</v>
      </c>
      <c r="F336" t="s">
        <v>60</v>
      </c>
      <c r="G336" t="s">
        <v>15</v>
      </c>
      <c r="H336" s="1">
        <v>45417</v>
      </c>
      <c r="I336" t="s">
        <v>420</v>
      </c>
      <c r="J336" t="s">
        <v>17</v>
      </c>
      <c r="K336" t="s">
        <v>34</v>
      </c>
      <c r="L336" t="s">
        <v>35</v>
      </c>
    </row>
    <row r="337" spans="1:12" x14ac:dyDescent="0.25">
      <c r="A337" t="s">
        <v>421</v>
      </c>
      <c r="B337">
        <v>7560</v>
      </c>
      <c r="C337">
        <v>821</v>
      </c>
      <c r="D337">
        <v>4</v>
      </c>
      <c r="E337" t="s">
        <v>30</v>
      </c>
      <c r="F337" t="s">
        <v>64</v>
      </c>
      <c r="G337" t="s">
        <v>40</v>
      </c>
      <c r="H337" s="1">
        <v>44473</v>
      </c>
      <c r="I337" t="s">
        <v>422</v>
      </c>
      <c r="J337" t="s">
        <v>21</v>
      </c>
      <c r="K337" t="s">
        <v>22</v>
      </c>
      <c r="L337" t="s">
        <v>37</v>
      </c>
    </row>
    <row r="338" spans="1:12" x14ac:dyDescent="0.25">
      <c r="A338" t="s">
        <v>423</v>
      </c>
      <c r="B338">
        <v>1314</v>
      </c>
      <c r="C338">
        <v>490</v>
      </c>
      <c r="D338">
        <v>16</v>
      </c>
      <c r="E338" t="s">
        <v>45</v>
      </c>
      <c r="F338" t="s">
        <v>60</v>
      </c>
      <c r="G338" t="s">
        <v>15</v>
      </c>
      <c r="H338" s="1">
        <v>44520</v>
      </c>
      <c r="I338" t="s">
        <v>424</v>
      </c>
      <c r="J338" t="s">
        <v>25</v>
      </c>
      <c r="K338" t="s">
        <v>26</v>
      </c>
      <c r="L338" t="s">
        <v>175</v>
      </c>
    </row>
    <row r="339" spans="1:12" x14ac:dyDescent="0.25">
      <c r="A339" t="s">
        <v>423</v>
      </c>
      <c r="B339">
        <v>4390</v>
      </c>
      <c r="C339">
        <v>179</v>
      </c>
      <c r="D339">
        <v>1</v>
      </c>
      <c r="E339" t="s">
        <v>45</v>
      </c>
      <c r="F339" t="s">
        <v>46</v>
      </c>
      <c r="G339" t="s">
        <v>32</v>
      </c>
      <c r="H339" s="1">
        <v>44520</v>
      </c>
      <c r="I339" t="s">
        <v>424</v>
      </c>
      <c r="J339" t="s">
        <v>25</v>
      </c>
      <c r="K339" t="s">
        <v>26</v>
      </c>
      <c r="L339" t="s">
        <v>175</v>
      </c>
    </row>
    <row r="340" spans="1:12" x14ac:dyDescent="0.25">
      <c r="A340" t="s">
        <v>423</v>
      </c>
      <c r="B340">
        <v>1150</v>
      </c>
      <c r="C340">
        <v>58</v>
      </c>
      <c r="D340">
        <v>7</v>
      </c>
      <c r="E340" t="s">
        <v>30</v>
      </c>
      <c r="F340" t="s">
        <v>78</v>
      </c>
      <c r="G340" t="s">
        <v>32</v>
      </c>
      <c r="H340" s="1">
        <v>44520</v>
      </c>
      <c r="I340" t="s">
        <v>424</v>
      </c>
      <c r="J340" t="s">
        <v>25</v>
      </c>
      <c r="K340" t="s">
        <v>26</v>
      </c>
      <c r="L340" t="s">
        <v>175</v>
      </c>
    </row>
    <row r="341" spans="1:12" x14ac:dyDescent="0.25">
      <c r="A341" t="s">
        <v>425</v>
      </c>
      <c r="B341">
        <v>1574</v>
      </c>
      <c r="C341">
        <v>258</v>
      </c>
      <c r="D341">
        <v>17</v>
      </c>
      <c r="E341" t="s">
        <v>30</v>
      </c>
      <c r="F341" t="s">
        <v>31</v>
      </c>
      <c r="G341" t="s">
        <v>40</v>
      </c>
      <c r="H341" s="1">
        <v>44089</v>
      </c>
      <c r="I341" t="s">
        <v>426</v>
      </c>
      <c r="J341" t="s">
        <v>42</v>
      </c>
      <c r="K341" t="s">
        <v>75</v>
      </c>
      <c r="L341" t="s">
        <v>389</v>
      </c>
    </row>
    <row r="342" spans="1:12" x14ac:dyDescent="0.25">
      <c r="A342" t="s">
        <v>425</v>
      </c>
      <c r="B342">
        <v>5635</v>
      </c>
      <c r="C342">
        <v>318</v>
      </c>
      <c r="D342">
        <v>17</v>
      </c>
      <c r="E342" t="s">
        <v>30</v>
      </c>
      <c r="F342" t="s">
        <v>78</v>
      </c>
      <c r="G342" t="s">
        <v>15</v>
      </c>
      <c r="H342" s="1">
        <v>44089</v>
      </c>
      <c r="I342" t="s">
        <v>426</v>
      </c>
      <c r="J342" t="s">
        <v>42</v>
      </c>
      <c r="K342" t="s">
        <v>75</v>
      </c>
      <c r="L342" t="s">
        <v>389</v>
      </c>
    </row>
    <row r="343" spans="1:12" x14ac:dyDescent="0.25">
      <c r="A343" t="s">
        <v>425</v>
      </c>
      <c r="B343">
        <v>6515</v>
      </c>
      <c r="C343">
        <v>961</v>
      </c>
      <c r="D343">
        <v>11</v>
      </c>
      <c r="E343" t="s">
        <v>45</v>
      </c>
      <c r="F343" t="s">
        <v>60</v>
      </c>
      <c r="G343" t="s">
        <v>32</v>
      </c>
      <c r="H343" s="1">
        <v>44089</v>
      </c>
      <c r="I343" t="s">
        <v>426</v>
      </c>
      <c r="J343" t="s">
        <v>42</v>
      </c>
      <c r="K343" t="s">
        <v>75</v>
      </c>
      <c r="L343" t="s">
        <v>389</v>
      </c>
    </row>
    <row r="344" spans="1:12" x14ac:dyDescent="0.25">
      <c r="A344" t="s">
        <v>427</v>
      </c>
      <c r="B344">
        <v>1231</v>
      </c>
      <c r="C344">
        <v>214</v>
      </c>
      <c r="D344">
        <v>20</v>
      </c>
      <c r="E344" t="s">
        <v>13</v>
      </c>
      <c r="F344" t="s">
        <v>39</v>
      </c>
      <c r="G344" t="s">
        <v>32</v>
      </c>
      <c r="H344" s="1">
        <v>44943</v>
      </c>
      <c r="I344" t="s">
        <v>428</v>
      </c>
      <c r="J344" t="s">
        <v>98</v>
      </c>
      <c r="K344" t="s">
        <v>99</v>
      </c>
      <c r="L344" t="s">
        <v>333</v>
      </c>
    </row>
    <row r="345" spans="1:12" x14ac:dyDescent="0.25">
      <c r="A345" t="s">
        <v>427</v>
      </c>
      <c r="B345">
        <v>1231</v>
      </c>
      <c r="C345">
        <v>214</v>
      </c>
      <c r="D345">
        <v>20</v>
      </c>
      <c r="E345" t="s">
        <v>13</v>
      </c>
      <c r="F345" t="s">
        <v>39</v>
      </c>
      <c r="G345" t="s">
        <v>32</v>
      </c>
      <c r="H345" s="1">
        <v>43998</v>
      </c>
      <c r="I345" t="s">
        <v>429</v>
      </c>
      <c r="J345" t="s">
        <v>25</v>
      </c>
      <c r="K345" t="s">
        <v>68</v>
      </c>
      <c r="L345" t="s">
        <v>313</v>
      </c>
    </row>
    <row r="346" spans="1:12" x14ac:dyDescent="0.25">
      <c r="A346" t="s">
        <v>430</v>
      </c>
      <c r="B346">
        <v>6891</v>
      </c>
      <c r="C346">
        <v>2529</v>
      </c>
      <c r="D346">
        <v>3</v>
      </c>
      <c r="E346" t="s">
        <v>30</v>
      </c>
      <c r="F346" t="s">
        <v>78</v>
      </c>
      <c r="G346" t="s">
        <v>32</v>
      </c>
      <c r="H346" s="1">
        <v>45413</v>
      </c>
      <c r="I346" t="s">
        <v>431</v>
      </c>
      <c r="J346" t="s">
        <v>98</v>
      </c>
      <c r="K346" t="s">
        <v>117</v>
      </c>
      <c r="L346" t="s">
        <v>35</v>
      </c>
    </row>
    <row r="347" spans="1:12" x14ac:dyDescent="0.25">
      <c r="A347" t="s">
        <v>432</v>
      </c>
      <c r="B347">
        <v>7524</v>
      </c>
      <c r="C347">
        <v>2308</v>
      </c>
      <c r="D347">
        <v>15</v>
      </c>
      <c r="E347" t="s">
        <v>13</v>
      </c>
      <c r="F347" t="s">
        <v>39</v>
      </c>
      <c r="G347" t="s">
        <v>40</v>
      </c>
      <c r="H347" s="1">
        <v>45267</v>
      </c>
      <c r="I347" t="s">
        <v>433</v>
      </c>
      <c r="J347" t="s">
        <v>71</v>
      </c>
      <c r="K347" t="s">
        <v>86</v>
      </c>
      <c r="L347" t="s">
        <v>102</v>
      </c>
    </row>
    <row r="348" spans="1:12" x14ac:dyDescent="0.25">
      <c r="A348" t="s">
        <v>432</v>
      </c>
      <c r="B348">
        <v>6864</v>
      </c>
      <c r="C348">
        <v>1824</v>
      </c>
      <c r="D348">
        <v>14</v>
      </c>
      <c r="E348" t="s">
        <v>13</v>
      </c>
      <c r="F348" t="s">
        <v>28</v>
      </c>
      <c r="G348" t="s">
        <v>47</v>
      </c>
      <c r="H348" s="1">
        <v>45267</v>
      </c>
      <c r="I348" t="s">
        <v>433</v>
      </c>
      <c r="J348" t="s">
        <v>71</v>
      </c>
      <c r="K348" t="s">
        <v>86</v>
      </c>
      <c r="L348" t="s">
        <v>102</v>
      </c>
    </row>
    <row r="349" spans="1:12" x14ac:dyDescent="0.25">
      <c r="A349" t="s">
        <v>434</v>
      </c>
      <c r="B349">
        <v>4215</v>
      </c>
      <c r="C349">
        <v>432</v>
      </c>
      <c r="D349">
        <v>14</v>
      </c>
      <c r="E349" t="s">
        <v>45</v>
      </c>
      <c r="F349" t="s">
        <v>49</v>
      </c>
      <c r="G349" t="s">
        <v>32</v>
      </c>
      <c r="H349" s="1">
        <v>45324</v>
      </c>
      <c r="I349" t="s">
        <v>435</v>
      </c>
      <c r="J349" t="s">
        <v>98</v>
      </c>
      <c r="K349" t="s">
        <v>99</v>
      </c>
      <c r="L349" t="s">
        <v>218</v>
      </c>
    </row>
    <row r="350" spans="1:12" x14ac:dyDescent="0.25">
      <c r="A350" t="s">
        <v>436</v>
      </c>
      <c r="B350">
        <v>622</v>
      </c>
      <c r="C350">
        <v>218</v>
      </c>
      <c r="D350">
        <v>19</v>
      </c>
      <c r="E350" t="s">
        <v>45</v>
      </c>
      <c r="F350" t="s">
        <v>109</v>
      </c>
      <c r="G350" t="s">
        <v>47</v>
      </c>
      <c r="H350" s="1">
        <v>45466</v>
      </c>
      <c r="I350" t="s">
        <v>437</v>
      </c>
      <c r="J350" t="s">
        <v>42</v>
      </c>
      <c r="K350" t="s">
        <v>75</v>
      </c>
      <c r="L350" t="s">
        <v>262</v>
      </c>
    </row>
    <row r="351" spans="1:12" x14ac:dyDescent="0.25">
      <c r="A351" t="s">
        <v>436</v>
      </c>
      <c r="B351">
        <v>1755</v>
      </c>
      <c r="C351">
        <v>495</v>
      </c>
      <c r="D351">
        <v>18</v>
      </c>
      <c r="E351" t="s">
        <v>30</v>
      </c>
      <c r="F351" t="s">
        <v>31</v>
      </c>
      <c r="G351" t="s">
        <v>15</v>
      </c>
      <c r="H351" s="1">
        <v>45466</v>
      </c>
      <c r="I351" t="s">
        <v>437</v>
      </c>
      <c r="J351" t="s">
        <v>42</v>
      </c>
      <c r="K351" t="s">
        <v>75</v>
      </c>
      <c r="L351" t="s">
        <v>262</v>
      </c>
    </row>
    <row r="352" spans="1:12" x14ac:dyDescent="0.25">
      <c r="A352" t="s">
        <v>436</v>
      </c>
      <c r="B352">
        <v>8020</v>
      </c>
      <c r="C352">
        <v>3898</v>
      </c>
      <c r="D352">
        <v>20</v>
      </c>
      <c r="E352" t="s">
        <v>13</v>
      </c>
      <c r="F352" t="s">
        <v>14</v>
      </c>
      <c r="G352" t="s">
        <v>40</v>
      </c>
      <c r="H352" s="1">
        <v>45466</v>
      </c>
      <c r="I352" t="s">
        <v>437</v>
      </c>
      <c r="J352" t="s">
        <v>42</v>
      </c>
      <c r="K352" t="s">
        <v>75</v>
      </c>
      <c r="L352" t="s">
        <v>262</v>
      </c>
    </row>
    <row r="353" spans="1:12" x14ac:dyDescent="0.25">
      <c r="A353" t="s">
        <v>438</v>
      </c>
      <c r="B353">
        <v>7333</v>
      </c>
      <c r="C353">
        <v>1576</v>
      </c>
      <c r="D353">
        <v>4</v>
      </c>
      <c r="E353" t="s">
        <v>13</v>
      </c>
      <c r="F353" t="s">
        <v>39</v>
      </c>
      <c r="G353" t="s">
        <v>47</v>
      </c>
      <c r="H353" s="1">
        <v>45450</v>
      </c>
      <c r="I353" t="s">
        <v>439</v>
      </c>
      <c r="J353" t="s">
        <v>25</v>
      </c>
      <c r="K353" t="s">
        <v>26</v>
      </c>
      <c r="L353" t="s">
        <v>262</v>
      </c>
    </row>
    <row r="354" spans="1:12" x14ac:dyDescent="0.25">
      <c r="A354" t="s">
        <v>440</v>
      </c>
      <c r="B354">
        <v>7690</v>
      </c>
      <c r="C354">
        <v>1134</v>
      </c>
      <c r="D354">
        <v>4</v>
      </c>
      <c r="E354" t="s">
        <v>13</v>
      </c>
      <c r="F354" t="s">
        <v>14</v>
      </c>
      <c r="G354" t="s">
        <v>65</v>
      </c>
      <c r="H354" s="1">
        <v>45212</v>
      </c>
      <c r="I354" t="s">
        <v>441</v>
      </c>
      <c r="J354" t="s">
        <v>25</v>
      </c>
      <c r="K354" t="s">
        <v>68</v>
      </c>
      <c r="L354" t="s">
        <v>442</v>
      </c>
    </row>
    <row r="355" spans="1:12" x14ac:dyDescent="0.25">
      <c r="A355" t="s">
        <v>440</v>
      </c>
      <c r="B355">
        <v>912</v>
      </c>
      <c r="C355">
        <v>246</v>
      </c>
      <c r="D355">
        <v>2</v>
      </c>
      <c r="E355" t="s">
        <v>45</v>
      </c>
      <c r="F355" t="s">
        <v>60</v>
      </c>
      <c r="G355" t="s">
        <v>40</v>
      </c>
      <c r="H355" s="1">
        <v>45212</v>
      </c>
      <c r="I355" t="s">
        <v>441</v>
      </c>
      <c r="J355" t="s">
        <v>25</v>
      </c>
      <c r="K355" t="s">
        <v>68</v>
      </c>
      <c r="L355" t="s">
        <v>442</v>
      </c>
    </row>
    <row r="356" spans="1:12" x14ac:dyDescent="0.25">
      <c r="A356" t="s">
        <v>443</v>
      </c>
      <c r="B356">
        <v>2791</v>
      </c>
      <c r="C356">
        <v>894</v>
      </c>
      <c r="D356">
        <v>14</v>
      </c>
      <c r="E356" t="s">
        <v>13</v>
      </c>
      <c r="F356" t="s">
        <v>39</v>
      </c>
      <c r="G356" t="s">
        <v>65</v>
      </c>
      <c r="H356" s="1">
        <v>44842</v>
      </c>
      <c r="I356" t="s">
        <v>444</v>
      </c>
      <c r="J356" t="s">
        <v>71</v>
      </c>
      <c r="K356" t="s">
        <v>86</v>
      </c>
      <c r="L356" t="s">
        <v>96</v>
      </c>
    </row>
    <row r="357" spans="1:12" x14ac:dyDescent="0.25">
      <c r="A357" t="s">
        <v>443</v>
      </c>
      <c r="B357">
        <v>2791</v>
      </c>
      <c r="C357">
        <v>894</v>
      </c>
      <c r="D357">
        <v>14</v>
      </c>
      <c r="E357" t="s">
        <v>13</v>
      </c>
      <c r="F357" t="s">
        <v>39</v>
      </c>
      <c r="G357" t="s">
        <v>65</v>
      </c>
      <c r="H357" s="1">
        <v>45226</v>
      </c>
      <c r="I357" t="s">
        <v>445</v>
      </c>
      <c r="J357" t="s">
        <v>98</v>
      </c>
      <c r="K357" t="s">
        <v>107</v>
      </c>
      <c r="L357" t="s">
        <v>442</v>
      </c>
    </row>
    <row r="358" spans="1:12" x14ac:dyDescent="0.25">
      <c r="A358" t="s">
        <v>443</v>
      </c>
      <c r="B358">
        <v>2791</v>
      </c>
      <c r="C358">
        <v>894</v>
      </c>
      <c r="D358">
        <v>14</v>
      </c>
      <c r="E358" t="s">
        <v>13</v>
      </c>
      <c r="F358" t="s">
        <v>39</v>
      </c>
      <c r="G358" t="s">
        <v>65</v>
      </c>
      <c r="H358" s="1">
        <v>44236</v>
      </c>
      <c r="I358" t="s">
        <v>446</v>
      </c>
      <c r="J358" t="s">
        <v>71</v>
      </c>
      <c r="K358" t="s">
        <v>72</v>
      </c>
      <c r="L358" t="s">
        <v>292</v>
      </c>
    </row>
    <row r="359" spans="1:12" x14ac:dyDescent="0.25">
      <c r="A359" t="s">
        <v>443</v>
      </c>
      <c r="B359">
        <v>6223</v>
      </c>
      <c r="C359">
        <v>1478</v>
      </c>
      <c r="D359">
        <v>3</v>
      </c>
      <c r="E359" t="s">
        <v>45</v>
      </c>
      <c r="F359" t="s">
        <v>60</v>
      </c>
      <c r="G359" t="s">
        <v>32</v>
      </c>
      <c r="H359" s="1">
        <v>44842</v>
      </c>
      <c r="I359" t="s">
        <v>444</v>
      </c>
      <c r="J359" t="s">
        <v>71</v>
      </c>
      <c r="K359" t="s">
        <v>86</v>
      </c>
      <c r="L359" t="s">
        <v>96</v>
      </c>
    </row>
    <row r="360" spans="1:12" x14ac:dyDescent="0.25">
      <c r="A360" t="s">
        <v>443</v>
      </c>
      <c r="B360">
        <v>6223</v>
      </c>
      <c r="C360">
        <v>1478</v>
      </c>
      <c r="D360">
        <v>3</v>
      </c>
      <c r="E360" t="s">
        <v>45</v>
      </c>
      <c r="F360" t="s">
        <v>60</v>
      </c>
      <c r="G360" t="s">
        <v>32</v>
      </c>
      <c r="H360" s="1">
        <v>45226</v>
      </c>
      <c r="I360" t="s">
        <v>445</v>
      </c>
      <c r="J360" t="s">
        <v>98</v>
      </c>
      <c r="K360" t="s">
        <v>107</v>
      </c>
      <c r="L360" t="s">
        <v>442</v>
      </c>
    </row>
    <row r="361" spans="1:12" x14ac:dyDescent="0.25">
      <c r="A361" t="s">
        <v>443</v>
      </c>
      <c r="B361">
        <v>6223</v>
      </c>
      <c r="C361">
        <v>1478</v>
      </c>
      <c r="D361">
        <v>3</v>
      </c>
      <c r="E361" t="s">
        <v>45</v>
      </c>
      <c r="F361" t="s">
        <v>60</v>
      </c>
      <c r="G361" t="s">
        <v>32</v>
      </c>
      <c r="H361" s="1">
        <v>44236</v>
      </c>
      <c r="I361" t="s">
        <v>446</v>
      </c>
      <c r="J361" t="s">
        <v>71</v>
      </c>
      <c r="K361" t="s">
        <v>72</v>
      </c>
      <c r="L361" t="s">
        <v>292</v>
      </c>
    </row>
    <row r="362" spans="1:12" x14ac:dyDescent="0.25">
      <c r="A362" t="s">
        <v>443</v>
      </c>
      <c r="B362">
        <v>8943</v>
      </c>
      <c r="C362">
        <v>3121</v>
      </c>
      <c r="D362">
        <v>17</v>
      </c>
      <c r="E362" t="s">
        <v>45</v>
      </c>
      <c r="F362" t="s">
        <v>49</v>
      </c>
      <c r="G362" t="s">
        <v>32</v>
      </c>
      <c r="H362" s="1">
        <v>44842</v>
      </c>
      <c r="I362" t="s">
        <v>444</v>
      </c>
      <c r="J362" t="s">
        <v>71</v>
      </c>
      <c r="K362" t="s">
        <v>86</v>
      </c>
      <c r="L362" t="s">
        <v>96</v>
      </c>
    </row>
    <row r="363" spans="1:12" x14ac:dyDescent="0.25">
      <c r="A363" t="s">
        <v>443</v>
      </c>
      <c r="B363">
        <v>8943</v>
      </c>
      <c r="C363">
        <v>3121</v>
      </c>
      <c r="D363">
        <v>17</v>
      </c>
      <c r="E363" t="s">
        <v>45</v>
      </c>
      <c r="F363" t="s">
        <v>49</v>
      </c>
      <c r="G363" t="s">
        <v>32</v>
      </c>
      <c r="H363" s="1">
        <v>45226</v>
      </c>
      <c r="I363" t="s">
        <v>445</v>
      </c>
      <c r="J363" t="s">
        <v>98</v>
      </c>
      <c r="K363" t="s">
        <v>107</v>
      </c>
      <c r="L363" t="s">
        <v>442</v>
      </c>
    </row>
    <row r="364" spans="1:12" x14ac:dyDescent="0.25">
      <c r="A364" t="s">
        <v>443</v>
      </c>
      <c r="B364">
        <v>8943</v>
      </c>
      <c r="C364">
        <v>3121</v>
      </c>
      <c r="D364">
        <v>17</v>
      </c>
      <c r="E364" t="s">
        <v>45</v>
      </c>
      <c r="F364" t="s">
        <v>49</v>
      </c>
      <c r="G364" t="s">
        <v>32</v>
      </c>
      <c r="H364" s="1">
        <v>44236</v>
      </c>
      <c r="I364" t="s">
        <v>446</v>
      </c>
      <c r="J364" t="s">
        <v>71</v>
      </c>
      <c r="K364" t="s">
        <v>72</v>
      </c>
      <c r="L364" t="s">
        <v>292</v>
      </c>
    </row>
    <row r="365" spans="1:12" x14ac:dyDescent="0.25">
      <c r="A365" t="s">
        <v>443</v>
      </c>
      <c r="B365">
        <v>3297</v>
      </c>
      <c r="C365">
        <v>102</v>
      </c>
      <c r="D365">
        <v>12</v>
      </c>
      <c r="E365" t="s">
        <v>13</v>
      </c>
      <c r="F365" t="s">
        <v>82</v>
      </c>
      <c r="G365" t="s">
        <v>47</v>
      </c>
      <c r="H365" s="1">
        <v>44842</v>
      </c>
      <c r="I365" t="s">
        <v>444</v>
      </c>
      <c r="J365" t="s">
        <v>71</v>
      </c>
      <c r="K365" t="s">
        <v>86</v>
      </c>
      <c r="L365" t="s">
        <v>96</v>
      </c>
    </row>
    <row r="366" spans="1:12" x14ac:dyDescent="0.25">
      <c r="A366" t="s">
        <v>443</v>
      </c>
      <c r="B366">
        <v>3297</v>
      </c>
      <c r="C366">
        <v>102</v>
      </c>
      <c r="D366">
        <v>12</v>
      </c>
      <c r="E366" t="s">
        <v>13</v>
      </c>
      <c r="F366" t="s">
        <v>82</v>
      </c>
      <c r="G366" t="s">
        <v>47</v>
      </c>
      <c r="H366" s="1">
        <v>45226</v>
      </c>
      <c r="I366" t="s">
        <v>445</v>
      </c>
      <c r="J366" t="s">
        <v>98</v>
      </c>
      <c r="K366" t="s">
        <v>107</v>
      </c>
      <c r="L366" t="s">
        <v>442</v>
      </c>
    </row>
    <row r="367" spans="1:12" x14ac:dyDescent="0.25">
      <c r="A367" t="s">
        <v>443</v>
      </c>
      <c r="B367">
        <v>3297</v>
      </c>
      <c r="C367">
        <v>102</v>
      </c>
      <c r="D367">
        <v>12</v>
      </c>
      <c r="E367" t="s">
        <v>13</v>
      </c>
      <c r="F367" t="s">
        <v>82</v>
      </c>
      <c r="G367" t="s">
        <v>47</v>
      </c>
      <c r="H367" s="1">
        <v>44236</v>
      </c>
      <c r="I367" t="s">
        <v>446</v>
      </c>
      <c r="J367" t="s">
        <v>71</v>
      </c>
      <c r="K367" t="s">
        <v>72</v>
      </c>
      <c r="L367" t="s">
        <v>292</v>
      </c>
    </row>
    <row r="368" spans="1:12" x14ac:dyDescent="0.25">
      <c r="A368" t="s">
        <v>447</v>
      </c>
      <c r="B368">
        <v>8769</v>
      </c>
      <c r="C368">
        <v>1989</v>
      </c>
      <c r="D368">
        <v>20</v>
      </c>
      <c r="E368" t="s">
        <v>30</v>
      </c>
      <c r="F368" t="s">
        <v>64</v>
      </c>
      <c r="G368" t="s">
        <v>15</v>
      </c>
      <c r="H368" s="1">
        <v>44138</v>
      </c>
      <c r="I368" t="s">
        <v>448</v>
      </c>
      <c r="J368" t="s">
        <v>21</v>
      </c>
      <c r="K368" t="s">
        <v>22</v>
      </c>
      <c r="L368" t="s">
        <v>80</v>
      </c>
    </row>
    <row r="369" spans="1:12" x14ac:dyDescent="0.25">
      <c r="A369" t="s">
        <v>449</v>
      </c>
      <c r="B369">
        <v>9057</v>
      </c>
      <c r="C369">
        <v>1888</v>
      </c>
      <c r="D369">
        <v>19</v>
      </c>
      <c r="E369" t="s">
        <v>13</v>
      </c>
      <c r="F369" t="s">
        <v>28</v>
      </c>
      <c r="G369" t="s">
        <v>65</v>
      </c>
      <c r="H369" s="1">
        <v>44711</v>
      </c>
      <c r="I369" t="s">
        <v>450</v>
      </c>
      <c r="J369" t="s">
        <v>17</v>
      </c>
      <c r="K369" t="s">
        <v>34</v>
      </c>
      <c r="L369" t="s">
        <v>180</v>
      </c>
    </row>
    <row r="370" spans="1:12" x14ac:dyDescent="0.25">
      <c r="A370" t="s">
        <v>449</v>
      </c>
      <c r="B370">
        <v>6864</v>
      </c>
      <c r="C370">
        <v>3275</v>
      </c>
      <c r="D370">
        <v>11</v>
      </c>
      <c r="E370" t="s">
        <v>45</v>
      </c>
      <c r="F370" t="s">
        <v>46</v>
      </c>
      <c r="G370" t="s">
        <v>47</v>
      </c>
      <c r="H370" s="1">
        <v>44711</v>
      </c>
      <c r="I370" t="s">
        <v>450</v>
      </c>
      <c r="J370" t="s">
        <v>17</v>
      </c>
      <c r="K370" t="s">
        <v>34</v>
      </c>
      <c r="L370" t="s">
        <v>180</v>
      </c>
    </row>
    <row r="371" spans="1:12" x14ac:dyDescent="0.25">
      <c r="A371" t="s">
        <v>449</v>
      </c>
      <c r="B371">
        <v>9200</v>
      </c>
      <c r="C371">
        <v>809</v>
      </c>
      <c r="D371">
        <v>13</v>
      </c>
      <c r="E371" t="s">
        <v>13</v>
      </c>
      <c r="F371" t="s">
        <v>39</v>
      </c>
      <c r="G371" t="s">
        <v>65</v>
      </c>
      <c r="H371" s="1">
        <v>44711</v>
      </c>
      <c r="I371" t="s">
        <v>450</v>
      </c>
      <c r="J371" t="s">
        <v>17</v>
      </c>
      <c r="K371" t="s">
        <v>34</v>
      </c>
      <c r="L371" t="s">
        <v>180</v>
      </c>
    </row>
    <row r="372" spans="1:12" x14ac:dyDescent="0.25">
      <c r="A372" t="s">
        <v>451</v>
      </c>
      <c r="B372">
        <v>6113</v>
      </c>
      <c r="C372">
        <v>2508</v>
      </c>
      <c r="D372">
        <v>6</v>
      </c>
      <c r="E372" t="s">
        <v>13</v>
      </c>
      <c r="F372" t="s">
        <v>39</v>
      </c>
      <c r="G372" t="s">
        <v>15</v>
      </c>
      <c r="H372" s="1">
        <v>45459</v>
      </c>
      <c r="I372" t="s">
        <v>452</v>
      </c>
      <c r="J372" t="s">
        <v>17</v>
      </c>
      <c r="K372" t="s">
        <v>34</v>
      </c>
      <c r="L372" t="s">
        <v>262</v>
      </c>
    </row>
    <row r="373" spans="1:12" x14ac:dyDescent="0.25">
      <c r="A373" t="s">
        <v>451</v>
      </c>
      <c r="B373">
        <v>7733</v>
      </c>
      <c r="C373">
        <v>2784</v>
      </c>
      <c r="D373">
        <v>15</v>
      </c>
      <c r="E373" t="s">
        <v>45</v>
      </c>
      <c r="F373" t="s">
        <v>46</v>
      </c>
      <c r="G373" t="s">
        <v>40</v>
      </c>
      <c r="H373" s="1">
        <v>45459</v>
      </c>
      <c r="I373" t="s">
        <v>452</v>
      </c>
      <c r="J373" t="s">
        <v>17</v>
      </c>
      <c r="K373" t="s">
        <v>34</v>
      </c>
      <c r="L373" t="s">
        <v>262</v>
      </c>
    </row>
    <row r="374" spans="1:12" x14ac:dyDescent="0.25">
      <c r="A374" t="s">
        <v>451</v>
      </c>
      <c r="B374">
        <v>8524</v>
      </c>
      <c r="C374">
        <v>154</v>
      </c>
      <c r="D374">
        <v>14</v>
      </c>
      <c r="E374" t="s">
        <v>45</v>
      </c>
      <c r="F374" t="s">
        <v>46</v>
      </c>
      <c r="G374" t="s">
        <v>65</v>
      </c>
      <c r="H374" s="1">
        <v>45459</v>
      </c>
      <c r="I374" t="s">
        <v>452</v>
      </c>
      <c r="J374" t="s">
        <v>17</v>
      </c>
      <c r="K374" t="s">
        <v>34</v>
      </c>
      <c r="L374" t="s">
        <v>262</v>
      </c>
    </row>
    <row r="375" spans="1:12" x14ac:dyDescent="0.25">
      <c r="A375" t="s">
        <v>451</v>
      </c>
      <c r="B375">
        <v>6187</v>
      </c>
      <c r="C375">
        <v>2344</v>
      </c>
      <c r="D375">
        <v>15</v>
      </c>
      <c r="E375" t="s">
        <v>45</v>
      </c>
      <c r="F375" t="s">
        <v>109</v>
      </c>
      <c r="G375" t="s">
        <v>40</v>
      </c>
      <c r="H375" s="1">
        <v>45459</v>
      </c>
      <c r="I375" t="s">
        <v>452</v>
      </c>
      <c r="J375" t="s">
        <v>17</v>
      </c>
      <c r="K375" t="s">
        <v>34</v>
      </c>
      <c r="L375" t="s">
        <v>262</v>
      </c>
    </row>
    <row r="376" spans="1:12" x14ac:dyDescent="0.25">
      <c r="A376" t="s">
        <v>453</v>
      </c>
      <c r="B376">
        <v>4364</v>
      </c>
      <c r="C376">
        <v>148</v>
      </c>
      <c r="D376">
        <v>18</v>
      </c>
      <c r="E376" t="s">
        <v>45</v>
      </c>
      <c r="F376" t="s">
        <v>46</v>
      </c>
      <c r="G376" t="s">
        <v>40</v>
      </c>
      <c r="H376" s="1">
        <v>44757</v>
      </c>
      <c r="I376" t="s">
        <v>454</v>
      </c>
      <c r="J376" t="s">
        <v>98</v>
      </c>
      <c r="K376" t="s">
        <v>107</v>
      </c>
      <c r="L376" t="s">
        <v>418</v>
      </c>
    </row>
    <row r="377" spans="1:12" x14ac:dyDescent="0.25">
      <c r="A377" t="s">
        <v>453</v>
      </c>
      <c r="B377">
        <v>736</v>
      </c>
      <c r="C377">
        <v>286</v>
      </c>
      <c r="D377">
        <v>12</v>
      </c>
      <c r="E377" t="s">
        <v>30</v>
      </c>
      <c r="F377" t="s">
        <v>31</v>
      </c>
      <c r="G377" t="s">
        <v>40</v>
      </c>
      <c r="H377" s="1">
        <v>44757</v>
      </c>
      <c r="I377" t="s">
        <v>454</v>
      </c>
      <c r="J377" t="s">
        <v>98</v>
      </c>
      <c r="K377" t="s">
        <v>107</v>
      </c>
      <c r="L377" t="s">
        <v>418</v>
      </c>
    </row>
    <row r="378" spans="1:12" x14ac:dyDescent="0.25">
      <c r="A378" t="s">
        <v>455</v>
      </c>
      <c r="B378">
        <v>9905</v>
      </c>
      <c r="C378">
        <v>633</v>
      </c>
      <c r="D378">
        <v>17</v>
      </c>
      <c r="E378" t="s">
        <v>30</v>
      </c>
      <c r="F378" t="s">
        <v>31</v>
      </c>
      <c r="G378" t="s">
        <v>40</v>
      </c>
      <c r="H378" s="1">
        <v>44395</v>
      </c>
      <c r="I378" t="s">
        <v>456</v>
      </c>
      <c r="J378" t="s">
        <v>71</v>
      </c>
      <c r="K378" t="s">
        <v>72</v>
      </c>
      <c r="L378" t="s">
        <v>27</v>
      </c>
    </row>
    <row r="379" spans="1:12" x14ac:dyDescent="0.25">
      <c r="A379" t="s">
        <v>455</v>
      </c>
      <c r="B379">
        <v>9905</v>
      </c>
      <c r="C379">
        <v>633</v>
      </c>
      <c r="D379">
        <v>17</v>
      </c>
      <c r="E379" t="s">
        <v>30</v>
      </c>
      <c r="F379" t="s">
        <v>31</v>
      </c>
      <c r="G379" t="s">
        <v>40</v>
      </c>
      <c r="H379" s="1">
        <v>44471</v>
      </c>
      <c r="I379" t="s">
        <v>457</v>
      </c>
      <c r="J379" t="s">
        <v>17</v>
      </c>
      <c r="K379" t="s">
        <v>150</v>
      </c>
      <c r="L379" t="s">
        <v>37</v>
      </c>
    </row>
    <row r="380" spans="1:12" x14ac:dyDescent="0.25">
      <c r="A380" t="s">
        <v>458</v>
      </c>
      <c r="B380">
        <v>2493</v>
      </c>
      <c r="C380">
        <v>1221</v>
      </c>
      <c r="D380">
        <v>9</v>
      </c>
      <c r="E380" t="s">
        <v>30</v>
      </c>
      <c r="F380" t="s">
        <v>64</v>
      </c>
      <c r="G380" t="s">
        <v>47</v>
      </c>
      <c r="H380" s="1">
        <v>45398</v>
      </c>
      <c r="I380" t="s">
        <v>459</v>
      </c>
      <c r="J380" t="s">
        <v>21</v>
      </c>
      <c r="K380" t="s">
        <v>63</v>
      </c>
      <c r="L380" t="s">
        <v>235</v>
      </c>
    </row>
    <row r="381" spans="1:12" x14ac:dyDescent="0.25">
      <c r="A381" t="s">
        <v>458</v>
      </c>
      <c r="B381">
        <v>9849</v>
      </c>
      <c r="C381">
        <v>963</v>
      </c>
      <c r="D381">
        <v>1</v>
      </c>
      <c r="E381" t="s">
        <v>30</v>
      </c>
      <c r="F381" t="s">
        <v>31</v>
      </c>
      <c r="G381" t="s">
        <v>47</v>
      </c>
      <c r="H381" s="1">
        <v>45398</v>
      </c>
      <c r="I381" t="s">
        <v>459</v>
      </c>
      <c r="J381" t="s">
        <v>21</v>
      </c>
      <c r="K381" t="s">
        <v>63</v>
      </c>
      <c r="L381" t="s">
        <v>235</v>
      </c>
    </row>
    <row r="382" spans="1:12" x14ac:dyDescent="0.25">
      <c r="A382" t="s">
        <v>460</v>
      </c>
      <c r="B382">
        <v>3423</v>
      </c>
      <c r="C382">
        <v>804</v>
      </c>
      <c r="D382">
        <v>4</v>
      </c>
      <c r="E382" t="s">
        <v>13</v>
      </c>
      <c r="F382" t="s">
        <v>28</v>
      </c>
      <c r="G382" t="s">
        <v>47</v>
      </c>
      <c r="H382" s="1">
        <v>44021</v>
      </c>
      <c r="I382" t="s">
        <v>461</v>
      </c>
      <c r="J382" t="s">
        <v>21</v>
      </c>
      <c r="K382" t="s">
        <v>172</v>
      </c>
      <c r="L382" t="s">
        <v>462</v>
      </c>
    </row>
    <row r="383" spans="1:12" x14ac:dyDescent="0.25">
      <c r="A383" t="s">
        <v>460</v>
      </c>
      <c r="B383">
        <v>3423</v>
      </c>
      <c r="C383">
        <v>804</v>
      </c>
      <c r="D383">
        <v>4</v>
      </c>
      <c r="E383" t="s">
        <v>13</v>
      </c>
      <c r="F383" t="s">
        <v>28</v>
      </c>
      <c r="G383" t="s">
        <v>47</v>
      </c>
      <c r="H383" s="1">
        <v>44037</v>
      </c>
      <c r="I383" t="s">
        <v>463</v>
      </c>
      <c r="J383" t="s">
        <v>71</v>
      </c>
      <c r="K383" t="s">
        <v>72</v>
      </c>
      <c r="L383" t="s">
        <v>462</v>
      </c>
    </row>
    <row r="384" spans="1:12" x14ac:dyDescent="0.25">
      <c r="A384" t="s">
        <v>460</v>
      </c>
      <c r="B384">
        <v>3423</v>
      </c>
      <c r="C384">
        <v>804</v>
      </c>
      <c r="D384">
        <v>4</v>
      </c>
      <c r="E384" t="s">
        <v>13</v>
      </c>
      <c r="F384" t="s">
        <v>28</v>
      </c>
      <c r="G384" t="s">
        <v>47</v>
      </c>
      <c r="H384" s="1">
        <v>45315</v>
      </c>
      <c r="I384" t="s">
        <v>464</v>
      </c>
      <c r="J384" t="s">
        <v>71</v>
      </c>
      <c r="K384" t="s">
        <v>86</v>
      </c>
      <c r="L384" t="s">
        <v>76</v>
      </c>
    </row>
    <row r="385" spans="1:12" x14ac:dyDescent="0.25">
      <c r="A385" t="s">
        <v>460</v>
      </c>
      <c r="B385">
        <v>3423</v>
      </c>
      <c r="C385">
        <v>804</v>
      </c>
      <c r="D385">
        <v>4</v>
      </c>
      <c r="E385" t="s">
        <v>13</v>
      </c>
      <c r="F385" t="s">
        <v>28</v>
      </c>
      <c r="G385" t="s">
        <v>47</v>
      </c>
      <c r="H385" s="1">
        <v>43955</v>
      </c>
      <c r="I385" t="s">
        <v>465</v>
      </c>
      <c r="J385" t="s">
        <v>71</v>
      </c>
      <c r="K385" t="s">
        <v>72</v>
      </c>
      <c r="L385" t="s">
        <v>59</v>
      </c>
    </row>
    <row r="386" spans="1:12" x14ac:dyDescent="0.25">
      <c r="A386" t="s">
        <v>460</v>
      </c>
      <c r="B386">
        <v>3423</v>
      </c>
      <c r="C386">
        <v>804</v>
      </c>
      <c r="D386">
        <v>4</v>
      </c>
      <c r="E386" t="s">
        <v>13</v>
      </c>
      <c r="F386" t="s">
        <v>28</v>
      </c>
      <c r="G386" t="s">
        <v>47</v>
      </c>
      <c r="H386" s="1">
        <v>44513</v>
      </c>
      <c r="I386" t="s">
        <v>466</v>
      </c>
      <c r="J386" t="s">
        <v>98</v>
      </c>
      <c r="K386" t="s">
        <v>107</v>
      </c>
      <c r="L386" t="s">
        <v>175</v>
      </c>
    </row>
    <row r="387" spans="1:12" x14ac:dyDescent="0.25">
      <c r="A387" t="s">
        <v>467</v>
      </c>
      <c r="B387">
        <v>3900</v>
      </c>
      <c r="C387">
        <v>115</v>
      </c>
      <c r="D387">
        <v>9</v>
      </c>
      <c r="E387" t="s">
        <v>45</v>
      </c>
      <c r="F387" t="s">
        <v>49</v>
      </c>
      <c r="G387" t="s">
        <v>65</v>
      </c>
      <c r="H387" s="1">
        <v>45206</v>
      </c>
      <c r="I387" t="s">
        <v>468</v>
      </c>
      <c r="J387" t="s">
        <v>21</v>
      </c>
      <c r="K387" t="s">
        <v>63</v>
      </c>
      <c r="L387" t="s">
        <v>442</v>
      </c>
    </row>
    <row r="388" spans="1:12" x14ac:dyDescent="0.25">
      <c r="A388" t="s">
        <v>469</v>
      </c>
      <c r="B388">
        <v>8568</v>
      </c>
      <c r="C388">
        <v>2419</v>
      </c>
      <c r="D388">
        <v>11</v>
      </c>
      <c r="E388" t="s">
        <v>13</v>
      </c>
      <c r="F388" t="s">
        <v>14</v>
      </c>
      <c r="G388" t="s">
        <v>15</v>
      </c>
      <c r="H388" s="1">
        <v>44492</v>
      </c>
      <c r="I388" t="s">
        <v>470</v>
      </c>
      <c r="J388" t="s">
        <v>25</v>
      </c>
      <c r="K388" t="s">
        <v>68</v>
      </c>
      <c r="L388" t="s">
        <v>37</v>
      </c>
    </row>
    <row r="389" spans="1:12" x14ac:dyDescent="0.25">
      <c r="A389" t="s">
        <v>469</v>
      </c>
      <c r="B389">
        <v>3283</v>
      </c>
      <c r="C389">
        <v>71</v>
      </c>
      <c r="D389">
        <v>6</v>
      </c>
      <c r="E389" t="s">
        <v>30</v>
      </c>
      <c r="F389" t="s">
        <v>31</v>
      </c>
      <c r="G389" t="s">
        <v>40</v>
      </c>
      <c r="H389" s="1">
        <v>44492</v>
      </c>
      <c r="I389" t="s">
        <v>470</v>
      </c>
      <c r="J389" t="s">
        <v>25</v>
      </c>
      <c r="K389" t="s">
        <v>68</v>
      </c>
      <c r="L389" t="s">
        <v>37</v>
      </c>
    </row>
    <row r="390" spans="1:12" x14ac:dyDescent="0.25">
      <c r="A390" t="s">
        <v>471</v>
      </c>
      <c r="B390">
        <v>7643</v>
      </c>
      <c r="C390">
        <v>3720</v>
      </c>
      <c r="D390">
        <v>19</v>
      </c>
      <c r="E390" t="s">
        <v>13</v>
      </c>
      <c r="F390" t="s">
        <v>14</v>
      </c>
      <c r="G390" t="s">
        <v>40</v>
      </c>
      <c r="H390" s="1">
        <v>44760</v>
      </c>
      <c r="I390" t="s">
        <v>472</v>
      </c>
      <c r="J390" t="s">
        <v>71</v>
      </c>
      <c r="K390" t="s">
        <v>72</v>
      </c>
      <c r="L390" t="s">
        <v>418</v>
      </c>
    </row>
    <row r="391" spans="1:12" x14ac:dyDescent="0.25">
      <c r="A391" t="s">
        <v>473</v>
      </c>
      <c r="B391">
        <v>3461</v>
      </c>
      <c r="C391">
        <v>1537</v>
      </c>
      <c r="D391">
        <v>15</v>
      </c>
      <c r="E391" t="s">
        <v>45</v>
      </c>
      <c r="F391" t="s">
        <v>60</v>
      </c>
      <c r="G391" t="s">
        <v>40</v>
      </c>
      <c r="H391" s="1">
        <v>45527</v>
      </c>
      <c r="I391" t="s">
        <v>474</v>
      </c>
      <c r="J391" t="s">
        <v>21</v>
      </c>
      <c r="K391" t="s">
        <v>22</v>
      </c>
      <c r="L391" t="s">
        <v>114</v>
      </c>
    </row>
    <row r="392" spans="1:12" x14ac:dyDescent="0.25">
      <c r="A392" t="s">
        <v>473</v>
      </c>
      <c r="B392">
        <v>5714</v>
      </c>
      <c r="C392">
        <v>1438</v>
      </c>
      <c r="D392">
        <v>6</v>
      </c>
      <c r="E392" t="s">
        <v>13</v>
      </c>
      <c r="F392" t="s">
        <v>14</v>
      </c>
      <c r="G392" t="s">
        <v>47</v>
      </c>
      <c r="H392" s="1">
        <v>45527</v>
      </c>
      <c r="I392" t="s">
        <v>474</v>
      </c>
      <c r="J392" t="s">
        <v>21</v>
      </c>
      <c r="K392" t="s">
        <v>22</v>
      </c>
      <c r="L392" t="s">
        <v>114</v>
      </c>
    </row>
    <row r="393" spans="1:12" x14ac:dyDescent="0.25">
      <c r="A393" t="s">
        <v>473</v>
      </c>
      <c r="B393">
        <v>3853</v>
      </c>
      <c r="C393">
        <v>1457</v>
      </c>
      <c r="D393">
        <v>10</v>
      </c>
      <c r="E393" t="s">
        <v>30</v>
      </c>
      <c r="F393" t="s">
        <v>78</v>
      </c>
      <c r="G393" t="s">
        <v>65</v>
      </c>
      <c r="H393" s="1">
        <v>45527</v>
      </c>
      <c r="I393" t="s">
        <v>474</v>
      </c>
      <c r="J393" t="s">
        <v>21</v>
      </c>
      <c r="K393" t="s">
        <v>22</v>
      </c>
      <c r="L393" t="s">
        <v>114</v>
      </c>
    </row>
    <row r="394" spans="1:12" x14ac:dyDescent="0.25">
      <c r="A394" t="s">
        <v>475</v>
      </c>
      <c r="B394">
        <v>6016</v>
      </c>
      <c r="C394">
        <v>431</v>
      </c>
      <c r="D394">
        <v>20</v>
      </c>
      <c r="E394" t="s">
        <v>30</v>
      </c>
      <c r="F394" t="s">
        <v>31</v>
      </c>
      <c r="G394" t="s">
        <v>15</v>
      </c>
      <c r="H394" s="1">
        <v>44132</v>
      </c>
      <c r="I394" t="s">
        <v>476</v>
      </c>
      <c r="J394" t="s">
        <v>21</v>
      </c>
      <c r="K394" t="s">
        <v>22</v>
      </c>
      <c r="L394" t="s">
        <v>119</v>
      </c>
    </row>
    <row r="395" spans="1:12" x14ac:dyDescent="0.25">
      <c r="A395" t="s">
        <v>477</v>
      </c>
      <c r="B395">
        <v>1290</v>
      </c>
      <c r="C395">
        <v>204</v>
      </c>
      <c r="D395">
        <v>12</v>
      </c>
      <c r="E395" t="s">
        <v>30</v>
      </c>
      <c r="F395" t="s">
        <v>57</v>
      </c>
      <c r="G395" t="s">
        <v>15</v>
      </c>
      <c r="H395" s="1">
        <v>45458</v>
      </c>
      <c r="I395" t="s">
        <v>478</v>
      </c>
      <c r="J395" t="s">
        <v>25</v>
      </c>
      <c r="K395" t="s">
        <v>26</v>
      </c>
      <c r="L395" t="s">
        <v>262</v>
      </c>
    </row>
    <row r="396" spans="1:12" x14ac:dyDescent="0.25">
      <c r="A396" t="s">
        <v>477</v>
      </c>
      <c r="B396">
        <v>1290</v>
      </c>
      <c r="C396">
        <v>204</v>
      </c>
      <c r="D396">
        <v>12</v>
      </c>
      <c r="E396" t="s">
        <v>30</v>
      </c>
      <c r="F396" t="s">
        <v>57</v>
      </c>
      <c r="G396" t="s">
        <v>15</v>
      </c>
      <c r="H396" s="1">
        <v>45645</v>
      </c>
      <c r="I396" t="s">
        <v>479</v>
      </c>
      <c r="J396" t="s">
        <v>42</v>
      </c>
      <c r="K396" t="s">
        <v>92</v>
      </c>
      <c r="L396" t="s">
        <v>23</v>
      </c>
    </row>
    <row r="397" spans="1:12" x14ac:dyDescent="0.25">
      <c r="A397" t="s">
        <v>480</v>
      </c>
      <c r="B397">
        <v>4569</v>
      </c>
      <c r="C397">
        <v>1693</v>
      </c>
      <c r="D397">
        <v>10</v>
      </c>
      <c r="E397" t="s">
        <v>13</v>
      </c>
      <c r="F397" t="s">
        <v>28</v>
      </c>
      <c r="G397" t="s">
        <v>15</v>
      </c>
      <c r="H397" s="1">
        <v>44078</v>
      </c>
      <c r="I397" t="s">
        <v>481</v>
      </c>
      <c r="J397" t="s">
        <v>21</v>
      </c>
      <c r="K397" t="s">
        <v>63</v>
      </c>
      <c r="L397" t="s">
        <v>389</v>
      </c>
    </row>
    <row r="398" spans="1:12" x14ac:dyDescent="0.25">
      <c r="A398" t="s">
        <v>482</v>
      </c>
      <c r="B398">
        <v>3083</v>
      </c>
      <c r="C398">
        <v>1151</v>
      </c>
      <c r="D398">
        <v>16</v>
      </c>
      <c r="E398" t="s">
        <v>45</v>
      </c>
      <c r="F398" t="s">
        <v>109</v>
      </c>
      <c r="G398" t="s">
        <v>32</v>
      </c>
      <c r="H398" s="1">
        <v>44667</v>
      </c>
      <c r="I398" t="s">
        <v>483</v>
      </c>
      <c r="J398" t="s">
        <v>17</v>
      </c>
      <c r="K398" t="s">
        <v>34</v>
      </c>
      <c r="L398" t="s">
        <v>187</v>
      </c>
    </row>
    <row r="399" spans="1:12" x14ac:dyDescent="0.25">
      <c r="A399" t="s">
        <v>484</v>
      </c>
      <c r="B399">
        <v>3522</v>
      </c>
      <c r="C399">
        <v>898</v>
      </c>
      <c r="D399">
        <v>15</v>
      </c>
      <c r="E399" t="s">
        <v>30</v>
      </c>
      <c r="F399" t="s">
        <v>31</v>
      </c>
      <c r="G399" t="s">
        <v>47</v>
      </c>
      <c r="H399" s="1">
        <v>45533</v>
      </c>
      <c r="I399" t="s">
        <v>485</v>
      </c>
      <c r="J399" t="s">
        <v>98</v>
      </c>
      <c r="K399" t="s">
        <v>117</v>
      </c>
      <c r="L399" t="s">
        <v>114</v>
      </c>
    </row>
    <row r="400" spans="1:12" x14ac:dyDescent="0.25">
      <c r="A400" t="s">
        <v>484</v>
      </c>
      <c r="B400">
        <v>3522</v>
      </c>
      <c r="C400">
        <v>898</v>
      </c>
      <c r="D400">
        <v>15</v>
      </c>
      <c r="E400" t="s">
        <v>30</v>
      </c>
      <c r="F400" t="s">
        <v>31</v>
      </c>
      <c r="G400" t="s">
        <v>47</v>
      </c>
      <c r="H400" s="1">
        <v>44575</v>
      </c>
      <c r="I400" t="s">
        <v>486</v>
      </c>
      <c r="J400" t="s">
        <v>42</v>
      </c>
      <c r="K400" t="s">
        <v>43</v>
      </c>
      <c r="L400" t="s">
        <v>87</v>
      </c>
    </row>
    <row r="401" spans="1:12" x14ac:dyDescent="0.25">
      <c r="A401" t="s">
        <v>487</v>
      </c>
      <c r="B401">
        <v>7301</v>
      </c>
      <c r="C401">
        <v>3602</v>
      </c>
      <c r="D401">
        <v>3</v>
      </c>
      <c r="E401" t="s">
        <v>30</v>
      </c>
      <c r="F401" t="s">
        <v>78</v>
      </c>
      <c r="G401" t="s">
        <v>32</v>
      </c>
      <c r="H401" s="1">
        <v>45389</v>
      </c>
      <c r="I401" t="s">
        <v>488</v>
      </c>
      <c r="J401" t="s">
        <v>71</v>
      </c>
      <c r="K401" t="s">
        <v>138</v>
      </c>
      <c r="L401" t="s">
        <v>235</v>
      </c>
    </row>
    <row r="402" spans="1:12" x14ac:dyDescent="0.25">
      <c r="A402" t="s">
        <v>489</v>
      </c>
      <c r="B402">
        <v>4462</v>
      </c>
      <c r="C402">
        <v>121</v>
      </c>
      <c r="D402">
        <v>8</v>
      </c>
      <c r="E402" t="s">
        <v>13</v>
      </c>
      <c r="F402" t="s">
        <v>39</v>
      </c>
      <c r="G402" t="s">
        <v>65</v>
      </c>
      <c r="H402" s="1">
        <v>44675</v>
      </c>
      <c r="I402" t="s">
        <v>490</v>
      </c>
      <c r="J402" t="s">
        <v>21</v>
      </c>
      <c r="K402" t="s">
        <v>63</v>
      </c>
      <c r="L402" t="s">
        <v>187</v>
      </c>
    </row>
    <row r="403" spans="1:12" x14ac:dyDescent="0.25">
      <c r="A403" t="s">
        <v>489</v>
      </c>
      <c r="B403">
        <v>6212</v>
      </c>
      <c r="C403">
        <v>1881</v>
      </c>
      <c r="D403">
        <v>17</v>
      </c>
      <c r="E403" t="s">
        <v>13</v>
      </c>
      <c r="F403" t="s">
        <v>82</v>
      </c>
      <c r="G403" t="s">
        <v>65</v>
      </c>
      <c r="H403" s="1">
        <v>44675</v>
      </c>
      <c r="I403" t="s">
        <v>490</v>
      </c>
      <c r="J403" t="s">
        <v>21</v>
      </c>
      <c r="K403" t="s">
        <v>63</v>
      </c>
      <c r="L403" t="s">
        <v>187</v>
      </c>
    </row>
    <row r="404" spans="1:12" x14ac:dyDescent="0.25">
      <c r="A404" t="s">
        <v>491</v>
      </c>
      <c r="B404">
        <v>4027</v>
      </c>
      <c r="C404">
        <v>1386</v>
      </c>
      <c r="D404">
        <v>3</v>
      </c>
      <c r="E404" t="s">
        <v>45</v>
      </c>
      <c r="F404" t="s">
        <v>109</v>
      </c>
      <c r="G404" t="s">
        <v>40</v>
      </c>
      <c r="H404" s="1">
        <v>44070</v>
      </c>
      <c r="I404" t="s">
        <v>492</v>
      </c>
      <c r="J404" t="s">
        <v>17</v>
      </c>
      <c r="K404" t="s">
        <v>150</v>
      </c>
      <c r="L404" t="s">
        <v>185</v>
      </c>
    </row>
    <row r="405" spans="1:12" x14ac:dyDescent="0.25">
      <c r="A405" t="s">
        <v>493</v>
      </c>
      <c r="B405">
        <v>1676</v>
      </c>
      <c r="C405">
        <v>330</v>
      </c>
      <c r="D405">
        <v>14</v>
      </c>
      <c r="E405" t="s">
        <v>13</v>
      </c>
      <c r="F405" t="s">
        <v>39</v>
      </c>
      <c r="G405" t="s">
        <v>40</v>
      </c>
      <c r="H405" s="1">
        <v>44986</v>
      </c>
      <c r="I405" t="s">
        <v>494</v>
      </c>
      <c r="J405" t="s">
        <v>98</v>
      </c>
      <c r="K405" t="s">
        <v>117</v>
      </c>
      <c r="L405" t="s">
        <v>245</v>
      </c>
    </row>
    <row r="406" spans="1:12" x14ac:dyDescent="0.25">
      <c r="A406" t="s">
        <v>493</v>
      </c>
      <c r="B406">
        <v>3927</v>
      </c>
      <c r="C406">
        <v>1133</v>
      </c>
      <c r="D406">
        <v>12</v>
      </c>
      <c r="E406" t="s">
        <v>45</v>
      </c>
      <c r="F406" t="s">
        <v>109</v>
      </c>
      <c r="G406" t="s">
        <v>65</v>
      </c>
      <c r="H406" s="1">
        <v>44986</v>
      </c>
      <c r="I406" t="s">
        <v>494</v>
      </c>
      <c r="J406" t="s">
        <v>98</v>
      </c>
      <c r="K406" t="s">
        <v>117</v>
      </c>
      <c r="L406" t="s">
        <v>245</v>
      </c>
    </row>
    <row r="407" spans="1:12" x14ac:dyDescent="0.25">
      <c r="A407" t="s">
        <v>493</v>
      </c>
      <c r="B407">
        <v>2776</v>
      </c>
      <c r="C407">
        <v>887</v>
      </c>
      <c r="D407">
        <v>9</v>
      </c>
      <c r="E407" t="s">
        <v>13</v>
      </c>
      <c r="F407" t="s">
        <v>82</v>
      </c>
      <c r="G407" t="s">
        <v>32</v>
      </c>
      <c r="H407" s="1">
        <v>44986</v>
      </c>
      <c r="I407" t="s">
        <v>494</v>
      </c>
      <c r="J407" t="s">
        <v>98</v>
      </c>
      <c r="K407" t="s">
        <v>117</v>
      </c>
      <c r="L407" t="s">
        <v>245</v>
      </c>
    </row>
    <row r="408" spans="1:12" x14ac:dyDescent="0.25">
      <c r="A408" t="s">
        <v>495</v>
      </c>
      <c r="B408">
        <v>7684</v>
      </c>
      <c r="C408">
        <v>1157</v>
      </c>
      <c r="D408">
        <v>12</v>
      </c>
      <c r="E408" t="s">
        <v>45</v>
      </c>
      <c r="F408" t="s">
        <v>60</v>
      </c>
      <c r="G408" t="s">
        <v>65</v>
      </c>
      <c r="H408" s="1">
        <v>44106</v>
      </c>
      <c r="I408" t="s">
        <v>496</v>
      </c>
      <c r="J408" t="s">
        <v>21</v>
      </c>
      <c r="K408" t="s">
        <v>22</v>
      </c>
      <c r="L408" t="s">
        <v>119</v>
      </c>
    </row>
    <row r="409" spans="1:12" x14ac:dyDescent="0.25">
      <c r="A409" t="s">
        <v>495</v>
      </c>
      <c r="B409">
        <v>7684</v>
      </c>
      <c r="C409">
        <v>1157</v>
      </c>
      <c r="D409">
        <v>12</v>
      </c>
      <c r="E409" t="s">
        <v>45</v>
      </c>
      <c r="F409" t="s">
        <v>60</v>
      </c>
      <c r="G409" t="s">
        <v>65</v>
      </c>
      <c r="H409" s="1">
        <v>44005</v>
      </c>
      <c r="I409" t="s">
        <v>497</v>
      </c>
      <c r="J409" t="s">
        <v>25</v>
      </c>
      <c r="K409" t="s">
        <v>26</v>
      </c>
      <c r="L409" t="s">
        <v>313</v>
      </c>
    </row>
    <row r="410" spans="1:12" x14ac:dyDescent="0.25">
      <c r="A410" t="s">
        <v>495</v>
      </c>
      <c r="B410">
        <v>7684</v>
      </c>
      <c r="C410">
        <v>1157</v>
      </c>
      <c r="D410">
        <v>12</v>
      </c>
      <c r="E410" t="s">
        <v>45</v>
      </c>
      <c r="F410" t="s">
        <v>60</v>
      </c>
      <c r="G410" t="s">
        <v>65</v>
      </c>
      <c r="H410" s="1">
        <v>45159</v>
      </c>
      <c r="I410" t="s">
        <v>498</v>
      </c>
      <c r="J410" t="s">
        <v>98</v>
      </c>
      <c r="K410" t="s">
        <v>99</v>
      </c>
      <c r="L410" t="s">
        <v>121</v>
      </c>
    </row>
    <row r="411" spans="1:12" x14ac:dyDescent="0.25">
      <c r="A411" t="s">
        <v>499</v>
      </c>
      <c r="B411">
        <v>6008</v>
      </c>
      <c r="C411">
        <v>2498</v>
      </c>
      <c r="D411">
        <v>17</v>
      </c>
      <c r="E411" t="s">
        <v>13</v>
      </c>
      <c r="F411" t="s">
        <v>82</v>
      </c>
      <c r="G411" t="s">
        <v>47</v>
      </c>
      <c r="H411" s="1">
        <v>44758</v>
      </c>
      <c r="I411" t="s">
        <v>500</v>
      </c>
      <c r="J411" t="s">
        <v>17</v>
      </c>
      <c r="K411" t="s">
        <v>18</v>
      </c>
      <c r="L411" t="s">
        <v>418</v>
      </c>
    </row>
    <row r="412" spans="1:12" x14ac:dyDescent="0.25">
      <c r="A412" t="s">
        <v>501</v>
      </c>
      <c r="B412">
        <v>7344</v>
      </c>
      <c r="C412">
        <v>2598</v>
      </c>
      <c r="D412">
        <v>20</v>
      </c>
      <c r="E412" t="s">
        <v>45</v>
      </c>
      <c r="F412" t="s">
        <v>109</v>
      </c>
      <c r="G412" t="s">
        <v>65</v>
      </c>
      <c r="H412" s="1">
        <v>44774</v>
      </c>
      <c r="I412" t="s">
        <v>502</v>
      </c>
      <c r="J412" t="s">
        <v>71</v>
      </c>
      <c r="K412" t="s">
        <v>72</v>
      </c>
      <c r="L412" t="s">
        <v>209</v>
      </c>
    </row>
    <row r="413" spans="1:12" x14ac:dyDescent="0.25">
      <c r="A413" t="s">
        <v>503</v>
      </c>
      <c r="B413">
        <v>6932</v>
      </c>
      <c r="C413">
        <v>3218</v>
      </c>
      <c r="D413">
        <v>20</v>
      </c>
      <c r="E413" t="s">
        <v>30</v>
      </c>
      <c r="F413" t="s">
        <v>31</v>
      </c>
      <c r="G413" t="s">
        <v>65</v>
      </c>
      <c r="H413" s="1">
        <v>44028</v>
      </c>
      <c r="I413" t="s">
        <v>504</v>
      </c>
      <c r="J413" t="s">
        <v>17</v>
      </c>
      <c r="K413" t="s">
        <v>34</v>
      </c>
      <c r="L413" t="s">
        <v>462</v>
      </c>
    </row>
    <row r="414" spans="1:12" x14ac:dyDescent="0.25">
      <c r="A414" t="s">
        <v>505</v>
      </c>
      <c r="B414">
        <v>7748</v>
      </c>
      <c r="C414">
        <v>1706</v>
      </c>
      <c r="D414">
        <v>16</v>
      </c>
      <c r="E414" t="s">
        <v>13</v>
      </c>
      <c r="F414" t="s">
        <v>14</v>
      </c>
      <c r="G414" t="s">
        <v>40</v>
      </c>
      <c r="H414" s="1">
        <v>43953</v>
      </c>
      <c r="I414" t="s">
        <v>506</v>
      </c>
      <c r="J414" t="s">
        <v>98</v>
      </c>
      <c r="K414" t="s">
        <v>107</v>
      </c>
      <c r="L414" t="s">
        <v>59</v>
      </c>
    </row>
    <row r="415" spans="1:12" x14ac:dyDescent="0.25">
      <c r="A415" t="s">
        <v>505</v>
      </c>
      <c r="B415">
        <v>6381</v>
      </c>
      <c r="C415">
        <v>2763</v>
      </c>
      <c r="D415">
        <v>20</v>
      </c>
      <c r="E415" t="s">
        <v>30</v>
      </c>
      <c r="F415" t="s">
        <v>57</v>
      </c>
      <c r="G415" t="s">
        <v>15</v>
      </c>
      <c r="H415" s="1">
        <v>43953</v>
      </c>
      <c r="I415" t="s">
        <v>506</v>
      </c>
      <c r="J415" t="s">
        <v>98</v>
      </c>
      <c r="K415" t="s">
        <v>107</v>
      </c>
      <c r="L415" t="s">
        <v>59</v>
      </c>
    </row>
    <row r="416" spans="1:12" x14ac:dyDescent="0.25">
      <c r="A416" t="s">
        <v>505</v>
      </c>
      <c r="B416">
        <v>992</v>
      </c>
      <c r="C416">
        <v>64</v>
      </c>
      <c r="D416">
        <v>6</v>
      </c>
      <c r="E416" t="s">
        <v>13</v>
      </c>
      <c r="F416" t="s">
        <v>82</v>
      </c>
      <c r="G416" t="s">
        <v>47</v>
      </c>
      <c r="H416" s="1">
        <v>43953</v>
      </c>
      <c r="I416" t="s">
        <v>506</v>
      </c>
      <c r="J416" t="s">
        <v>98</v>
      </c>
      <c r="K416" t="s">
        <v>107</v>
      </c>
      <c r="L416" t="s">
        <v>59</v>
      </c>
    </row>
    <row r="417" spans="1:12" x14ac:dyDescent="0.25">
      <c r="A417" t="s">
        <v>507</v>
      </c>
      <c r="B417">
        <v>8649</v>
      </c>
      <c r="C417">
        <v>2631</v>
      </c>
      <c r="D417">
        <v>13</v>
      </c>
      <c r="E417" t="s">
        <v>13</v>
      </c>
      <c r="F417" t="s">
        <v>39</v>
      </c>
      <c r="G417" t="s">
        <v>40</v>
      </c>
      <c r="H417" s="1">
        <v>45301</v>
      </c>
      <c r="I417" t="s">
        <v>508</v>
      </c>
      <c r="J417" t="s">
        <v>42</v>
      </c>
      <c r="K417" t="s">
        <v>92</v>
      </c>
      <c r="L417" t="s">
        <v>76</v>
      </c>
    </row>
    <row r="418" spans="1:12" x14ac:dyDescent="0.25">
      <c r="A418" t="s">
        <v>507</v>
      </c>
      <c r="B418">
        <v>8649</v>
      </c>
      <c r="C418">
        <v>2631</v>
      </c>
      <c r="D418">
        <v>13</v>
      </c>
      <c r="E418" t="s">
        <v>13</v>
      </c>
      <c r="F418" t="s">
        <v>39</v>
      </c>
      <c r="G418" t="s">
        <v>40</v>
      </c>
      <c r="H418" s="1">
        <v>44104</v>
      </c>
      <c r="I418" t="s">
        <v>509</v>
      </c>
      <c r="J418" t="s">
        <v>25</v>
      </c>
      <c r="K418" t="s">
        <v>68</v>
      </c>
      <c r="L418" t="s">
        <v>389</v>
      </c>
    </row>
    <row r="419" spans="1:12" x14ac:dyDescent="0.25">
      <c r="A419" t="s">
        <v>510</v>
      </c>
      <c r="B419">
        <v>4099</v>
      </c>
      <c r="C419">
        <v>52</v>
      </c>
      <c r="D419">
        <v>18</v>
      </c>
      <c r="E419" t="s">
        <v>13</v>
      </c>
      <c r="F419" t="s">
        <v>39</v>
      </c>
      <c r="G419" t="s">
        <v>15</v>
      </c>
      <c r="H419" s="1">
        <v>44648</v>
      </c>
      <c r="I419" t="s">
        <v>511</v>
      </c>
      <c r="J419" t="s">
        <v>25</v>
      </c>
      <c r="K419" t="s">
        <v>51</v>
      </c>
      <c r="L419" t="s">
        <v>134</v>
      </c>
    </row>
    <row r="420" spans="1:12" x14ac:dyDescent="0.25">
      <c r="A420" t="s">
        <v>512</v>
      </c>
      <c r="B420">
        <v>2539</v>
      </c>
      <c r="C420">
        <v>324</v>
      </c>
      <c r="D420">
        <v>5</v>
      </c>
      <c r="E420" t="s">
        <v>13</v>
      </c>
      <c r="F420" t="s">
        <v>14</v>
      </c>
      <c r="G420" t="s">
        <v>15</v>
      </c>
      <c r="H420" s="1">
        <v>44226</v>
      </c>
      <c r="I420" t="s">
        <v>513</v>
      </c>
      <c r="J420" t="s">
        <v>42</v>
      </c>
      <c r="K420" t="s">
        <v>92</v>
      </c>
      <c r="L420" t="s">
        <v>276</v>
      </c>
    </row>
    <row r="421" spans="1:12" x14ac:dyDescent="0.25">
      <c r="A421" t="s">
        <v>514</v>
      </c>
      <c r="B421">
        <v>9845</v>
      </c>
      <c r="C421">
        <v>3062</v>
      </c>
      <c r="D421">
        <v>9</v>
      </c>
      <c r="E421" t="s">
        <v>30</v>
      </c>
      <c r="F421" t="s">
        <v>64</v>
      </c>
      <c r="G421" t="s">
        <v>65</v>
      </c>
      <c r="H421" s="1">
        <v>45730</v>
      </c>
      <c r="I421" t="s">
        <v>515</v>
      </c>
      <c r="J421" t="s">
        <v>17</v>
      </c>
      <c r="K421" t="s">
        <v>34</v>
      </c>
      <c r="L421" t="s">
        <v>157</v>
      </c>
    </row>
    <row r="422" spans="1:12" x14ac:dyDescent="0.25">
      <c r="A422" t="s">
        <v>516</v>
      </c>
      <c r="B422">
        <v>2901</v>
      </c>
      <c r="C422">
        <v>1411</v>
      </c>
      <c r="D422">
        <v>2</v>
      </c>
      <c r="E422" t="s">
        <v>30</v>
      </c>
      <c r="F422" t="s">
        <v>64</v>
      </c>
      <c r="G422" t="s">
        <v>32</v>
      </c>
      <c r="H422" s="1">
        <v>44495</v>
      </c>
      <c r="I422" t="s">
        <v>517</v>
      </c>
      <c r="J422" t="s">
        <v>71</v>
      </c>
      <c r="K422" t="s">
        <v>86</v>
      </c>
      <c r="L422" t="s">
        <v>37</v>
      </c>
    </row>
    <row r="423" spans="1:12" x14ac:dyDescent="0.25">
      <c r="A423" t="s">
        <v>516</v>
      </c>
      <c r="B423">
        <v>2901</v>
      </c>
      <c r="C423">
        <v>1411</v>
      </c>
      <c r="D423">
        <v>2</v>
      </c>
      <c r="E423" t="s">
        <v>30</v>
      </c>
      <c r="F423" t="s">
        <v>64</v>
      </c>
      <c r="G423" t="s">
        <v>32</v>
      </c>
      <c r="H423" s="1">
        <v>44937</v>
      </c>
      <c r="I423" t="s">
        <v>518</v>
      </c>
      <c r="J423" t="s">
        <v>42</v>
      </c>
      <c r="K423" t="s">
        <v>43</v>
      </c>
      <c r="L423" t="s">
        <v>333</v>
      </c>
    </row>
    <row r="424" spans="1:12" x14ac:dyDescent="0.25">
      <c r="A424" t="s">
        <v>516</v>
      </c>
      <c r="B424">
        <v>6934</v>
      </c>
      <c r="C424">
        <v>1152</v>
      </c>
      <c r="D424">
        <v>6</v>
      </c>
      <c r="E424" t="s">
        <v>30</v>
      </c>
      <c r="F424" t="s">
        <v>31</v>
      </c>
      <c r="G424" t="s">
        <v>47</v>
      </c>
      <c r="H424" s="1">
        <v>44495</v>
      </c>
      <c r="I424" t="s">
        <v>517</v>
      </c>
      <c r="J424" t="s">
        <v>71</v>
      </c>
      <c r="K424" t="s">
        <v>86</v>
      </c>
      <c r="L424" t="s">
        <v>37</v>
      </c>
    </row>
    <row r="425" spans="1:12" x14ac:dyDescent="0.25">
      <c r="A425" t="s">
        <v>516</v>
      </c>
      <c r="B425">
        <v>6934</v>
      </c>
      <c r="C425">
        <v>1152</v>
      </c>
      <c r="D425">
        <v>6</v>
      </c>
      <c r="E425" t="s">
        <v>30</v>
      </c>
      <c r="F425" t="s">
        <v>31</v>
      </c>
      <c r="G425" t="s">
        <v>47</v>
      </c>
      <c r="H425" s="1">
        <v>44937</v>
      </c>
      <c r="I425" t="s">
        <v>518</v>
      </c>
      <c r="J425" t="s">
        <v>42</v>
      </c>
      <c r="K425" t="s">
        <v>43</v>
      </c>
      <c r="L425" t="s">
        <v>333</v>
      </c>
    </row>
    <row r="426" spans="1:12" x14ac:dyDescent="0.25">
      <c r="A426" t="s">
        <v>519</v>
      </c>
      <c r="B426">
        <v>9640</v>
      </c>
      <c r="C426">
        <v>2606</v>
      </c>
      <c r="D426">
        <v>2</v>
      </c>
      <c r="E426" t="s">
        <v>45</v>
      </c>
      <c r="F426" t="s">
        <v>109</v>
      </c>
      <c r="G426" t="s">
        <v>47</v>
      </c>
      <c r="H426" s="1">
        <v>44500</v>
      </c>
      <c r="I426" t="s">
        <v>520</v>
      </c>
      <c r="J426" t="s">
        <v>21</v>
      </c>
      <c r="K426" t="s">
        <v>172</v>
      </c>
      <c r="L426" t="s">
        <v>37</v>
      </c>
    </row>
    <row r="427" spans="1:12" x14ac:dyDescent="0.25">
      <c r="A427" t="s">
        <v>521</v>
      </c>
      <c r="B427">
        <v>7930</v>
      </c>
      <c r="C427">
        <v>1981</v>
      </c>
      <c r="D427">
        <v>13</v>
      </c>
      <c r="E427" t="s">
        <v>45</v>
      </c>
      <c r="F427" t="s">
        <v>49</v>
      </c>
      <c r="G427" t="s">
        <v>47</v>
      </c>
      <c r="H427" s="1">
        <v>45050</v>
      </c>
      <c r="I427" t="s">
        <v>522</v>
      </c>
      <c r="J427" t="s">
        <v>98</v>
      </c>
      <c r="K427" t="s">
        <v>117</v>
      </c>
      <c r="L427" t="s">
        <v>127</v>
      </c>
    </row>
    <row r="428" spans="1:12" x14ac:dyDescent="0.25">
      <c r="A428" t="s">
        <v>521</v>
      </c>
      <c r="B428">
        <v>7930</v>
      </c>
      <c r="C428">
        <v>1981</v>
      </c>
      <c r="D428">
        <v>13</v>
      </c>
      <c r="E428" t="s">
        <v>45</v>
      </c>
      <c r="F428" t="s">
        <v>49</v>
      </c>
      <c r="G428" t="s">
        <v>47</v>
      </c>
      <c r="H428" s="1">
        <v>45513</v>
      </c>
      <c r="I428" t="s">
        <v>523</v>
      </c>
      <c r="J428" t="s">
        <v>21</v>
      </c>
      <c r="K428" t="s">
        <v>63</v>
      </c>
      <c r="L428" t="s">
        <v>114</v>
      </c>
    </row>
    <row r="429" spans="1:12" x14ac:dyDescent="0.25">
      <c r="A429" t="s">
        <v>524</v>
      </c>
      <c r="B429">
        <v>9894</v>
      </c>
      <c r="C429">
        <v>829</v>
      </c>
      <c r="D429">
        <v>1</v>
      </c>
      <c r="E429" t="s">
        <v>30</v>
      </c>
      <c r="F429" t="s">
        <v>78</v>
      </c>
      <c r="G429" t="s">
        <v>65</v>
      </c>
      <c r="H429" s="1">
        <v>44794</v>
      </c>
      <c r="I429" t="s">
        <v>525</v>
      </c>
      <c r="J429" t="s">
        <v>42</v>
      </c>
      <c r="K429" t="s">
        <v>75</v>
      </c>
      <c r="L429" t="s">
        <v>209</v>
      </c>
    </row>
    <row r="430" spans="1:12" x14ac:dyDescent="0.25">
      <c r="A430" t="s">
        <v>524</v>
      </c>
      <c r="B430">
        <v>4534</v>
      </c>
      <c r="C430">
        <v>2235</v>
      </c>
      <c r="D430">
        <v>4</v>
      </c>
      <c r="E430" t="s">
        <v>45</v>
      </c>
      <c r="F430" t="s">
        <v>46</v>
      </c>
      <c r="G430" t="s">
        <v>65</v>
      </c>
      <c r="H430" s="1">
        <v>44794</v>
      </c>
      <c r="I430" t="s">
        <v>525</v>
      </c>
      <c r="J430" t="s">
        <v>42</v>
      </c>
      <c r="K430" t="s">
        <v>75</v>
      </c>
      <c r="L430" t="s">
        <v>209</v>
      </c>
    </row>
    <row r="431" spans="1:12" x14ac:dyDescent="0.25">
      <c r="A431" t="s">
        <v>526</v>
      </c>
      <c r="B431">
        <v>4911</v>
      </c>
      <c r="C431">
        <v>186</v>
      </c>
      <c r="D431">
        <v>20</v>
      </c>
      <c r="E431" t="s">
        <v>13</v>
      </c>
      <c r="F431" t="s">
        <v>82</v>
      </c>
      <c r="G431" t="s">
        <v>32</v>
      </c>
      <c r="H431" s="1">
        <v>44731</v>
      </c>
      <c r="I431" t="s">
        <v>527</v>
      </c>
      <c r="J431" t="s">
        <v>25</v>
      </c>
      <c r="K431" t="s">
        <v>26</v>
      </c>
      <c r="L431" t="s">
        <v>165</v>
      </c>
    </row>
    <row r="432" spans="1:12" x14ac:dyDescent="0.25">
      <c r="A432" t="s">
        <v>526</v>
      </c>
      <c r="B432">
        <v>531</v>
      </c>
      <c r="C432">
        <v>189</v>
      </c>
      <c r="D432">
        <v>20</v>
      </c>
      <c r="E432" t="s">
        <v>45</v>
      </c>
      <c r="F432" t="s">
        <v>109</v>
      </c>
      <c r="G432" t="s">
        <v>32</v>
      </c>
      <c r="H432" s="1">
        <v>44731</v>
      </c>
      <c r="I432" t="s">
        <v>527</v>
      </c>
      <c r="J432" t="s">
        <v>25</v>
      </c>
      <c r="K432" t="s">
        <v>26</v>
      </c>
      <c r="L432" t="s">
        <v>165</v>
      </c>
    </row>
    <row r="433" spans="1:12" x14ac:dyDescent="0.25">
      <c r="A433" t="s">
        <v>528</v>
      </c>
      <c r="B433">
        <v>9707</v>
      </c>
      <c r="C433">
        <v>3483</v>
      </c>
      <c r="D433">
        <v>10</v>
      </c>
      <c r="E433" t="s">
        <v>13</v>
      </c>
      <c r="F433" t="s">
        <v>14</v>
      </c>
      <c r="G433" t="s">
        <v>40</v>
      </c>
      <c r="H433" s="1">
        <v>45686</v>
      </c>
      <c r="I433" t="s">
        <v>529</v>
      </c>
      <c r="J433" t="s">
        <v>21</v>
      </c>
      <c r="K433" t="s">
        <v>172</v>
      </c>
      <c r="L433" t="s">
        <v>308</v>
      </c>
    </row>
    <row r="434" spans="1:12" x14ac:dyDescent="0.25">
      <c r="A434" t="s">
        <v>528</v>
      </c>
      <c r="B434">
        <v>8521</v>
      </c>
      <c r="C434">
        <v>2584</v>
      </c>
      <c r="D434">
        <v>7</v>
      </c>
      <c r="E434" t="s">
        <v>30</v>
      </c>
      <c r="F434" t="s">
        <v>64</v>
      </c>
      <c r="G434" t="s">
        <v>65</v>
      </c>
      <c r="H434" s="1">
        <v>45686</v>
      </c>
      <c r="I434" t="s">
        <v>529</v>
      </c>
      <c r="J434" t="s">
        <v>21</v>
      </c>
      <c r="K434" t="s">
        <v>172</v>
      </c>
      <c r="L434" t="s">
        <v>308</v>
      </c>
    </row>
    <row r="435" spans="1:12" x14ac:dyDescent="0.25">
      <c r="A435" t="s">
        <v>530</v>
      </c>
      <c r="B435">
        <v>8438</v>
      </c>
      <c r="C435">
        <v>3427</v>
      </c>
      <c r="D435">
        <v>12</v>
      </c>
      <c r="E435" t="s">
        <v>30</v>
      </c>
      <c r="F435" t="s">
        <v>78</v>
      </c>
      <c r="G435" t="s">
        <v>47</v>
      </c>
      <c r="H435" s="1">
        <v>44575</v>
      </c>
      <c r="I435" t="s">
        <v>531</v>
      </c>
      <c r="J435" t="s">
        <v>25</v>
      </c>
      <c r="K435" t="s">
        <v>26</v>
      </c>
      <c r="L435" t="s">
        <v>87</v>
      </c>
    </row>
    <row r="436" spans="1:12" x14ac:dyDescent="0.25">
      <c r="A436" t="s">
        <v>530</v>
      </c>
      <c r="B436">
        <v>1689</v>
      </c>
      <c r="C436">
        <v>109</v>
      </c>
      <c r="D436">
        <v>9</v>
      </c>
      <c r="E436" t="s">
        <v>13</v>
      </c>
      <c r="F436" t="s">
        <v>14</v>
      </c>
      <c r="G436" t="s">
        <v>15</v>
      </c>
      <c r="H436" s="1">
        <v>44575</v>
      </c>
      <c r="I436" t="s">
        <v>531</v>
      </c>
      <c r="J436" t="s">
        <v>25</v>
      </c>
      <c r="K436" t="s">
        <v>26</v>
      </c>
      <c r="L436" t="s">
        <v>87</v>
      </c>
    </row>
    <row r="437" spans="1:12" x14ac:dyDescent="0.25">
      <c r="A437" t="s">
        <v>530</v>
      </c>
      <c r="B437">
        <v>3936</v>
      </c>
      <c r="C437">
        <v>1626</v>
      </c>
      <c r="D437">
        <v>14</v>
      </c>
      <c r="E437" t="s">
        <v>30</v>
      </c>
      <c r="F437" t="s">
        <v>64</v>
      </c>
      <c r="G437" t="s">
        <v>65</v>
      </c>
      <c r="H437" s="1">
        <v>44575</v>
      </c>
      <c r="I437" t="s">
        <v>531</v>
      </c>
      <c r="J437" t="s">
        <v>25</v>
      </c>
      <c r="K437" t="s">
        <v>26</v>
      </c>
      <c r="L437" t="s">
        <v>87</v>
      </c>
    </row>
    <row r="438" spans="1:12" x14ac:dyDescent="0.25">
      <c r="A438" t="s">
        <v>532</v>
      </c>
      <c r="B438">
        <v>7664</v>
      </c>
      <c r="C438">
        <v>1753</v>
      </c>
      <c r="D438">
        <v>19</v>
      </c>
      <c r="E438" t="s">
        <v>13</v>
      </c>
      <c r="F438" t="s">
        <v>82</v>
      </c>
      <c r="G438" t="s">
        <v>32</v>
      </c>
      <c r="H438" s="1">
        <v>45092</v>
      </c>
      <c r="I438" t="s">
        <v>533</v>
      </c>
      <c r="J438" t="s">
        <v>98</v>
      </c>
      <c r="K438" t="s">
        <v>107</v>
      </c>
      <c r="L438" t="s">
        <v>19</v>
      </c>
    </row>
    <row r="439" spans="1:12" x14ac:dyDescent="0.25">
      <c r="A439" t="s">
        <v>534</v>
      </c>
      <c r="B439">
        <v>721</v>
      </c>
      <c r="C439">
        <v>258</v>
      </c>
      <c r="D439">
        <v>13</v>
      </c>
      <c r="E439" t="s">
        <v>13</v>
      </c>
      <c r="F439" t="s">
        <v>39</v>
      </c>
      <c r="G439" t="s">
        <v>32</v>
      </c>
      <c r="H439" s="1">
        <v>45217</v>
      </c>
      <c r="I439" t="s">
        <v>535</v>
      </c>
      <c r="J439" t="s">
        <v>21</v>
      </c>
      <c r="K439" t="s">
        <v>172</v>
      </c>
      <c r="L439" t="s">
        <v>442</v>
      </c>
    </row>
    <row r="440" spans="1:12" x14ac:dyDescent="0.25">
      <c r="A440" t="s">
        <v>534</v>
      </c>
      <c r="B440">
        <v>721</v>
      </c>
      <c r="C440">
        <v>258</v>
      </c>
      <c r="D440">
        <v>13</v>
      </c>
      <c r="E440" t="s">
        <v>13</v>
      </c>
      <c r="F440" t="s">
        <v>39</v>
      </c>
      <c r="G440" t="s">
        <v>32</v>
      </c>
      <c r="H440" s="1">
        <v>44725</v>
      </c>
      <c r="I440" t="s">
        <v>536</v>
      </c>
      <c r="J440" t="s">
        <v>25</v>
      </c>
      <c r="K440" t="s">
        <v>26</v>
      </c>
      <c r="L440" t="s">
        <v>165</v>
      </c>
    </row>
    <row r="441" spans="1:12" x14ac:dyDescent="0.25">
      <c r="A441" t="s">
        <v>534</v>
      </c>
      <c r="B441">
        <v>8364</v>
      </c>
      <c r="C441">
        <v>3055</v>
      </c>
      <c r="D441">
        <v>17</v>
      </c>
      <c r="E441" t="s">
        <v>13</v>
      </c>
      <c r="F441" t="s">
        <v>39</v>
      </c>
      <c r="G441" t="s">
        <v>47</v>
      </c>
      <c r="H441" s="1">
        <v>45217</v>
      </c>
      <c r="I441" t="s">
        <v>535</v>
      </c>
      <c r="J441" t="s">
        <v>21</v>
      </c>
      <c r="K441" t="s">
        <v>172</v>
      </c>
      <c r="L441" t="s">
        <v>442</v>
      </c>
    </row>
    <row r="442" spans="1:12" x14ac:dyDescent="0.25">
      <c r="A442" t="s">
        <v>534</v>
      </c>
      <c r="B442">
        <v>8364</v>
      </c>
      <c r="C442">
        <v>3055</v>
      </c>
      <c r="D442">
        <v>17</v>
      </c>
      <c r="E442" t="s">
        <v>13</v>
      </c>
      <c r="F442" t="s">
        <v>39</v>
      </c>
      <c r="G442" t="s">
        <v>47</v>
      </c>
      <c r="H442" s="1">
        <v>44725</v>
      </c>
      <c r="I442" t="s">
        <v>536</v>
      </c>
      <c r="J442" t="s">
        <v>25</v>
      </c>
      <c r="K442" t="s">
        <v>26</v>
      </c>
      <c r="L442" t="s">
        <v>165</v>
      </c>
    </row>
    <row r="443" spans="1:12" x14ac:dyDescent="0.25">
      <c r="A443" t="s">
        <v>534</v>
      </c>
      <c r="B443">
        <v>5234</v>
      </c>
      <c r="C443">
        <v>2021</v>
      </c>
      <c r="D443">
        <v>15</v>
      </c>
      <c r="E443" t="s">
        <v>45</v>
      </c>
      <c r="F443" t="s">
        <v>109</v>
      </c>
      <c r="G443" t="s">
        <v>40</v>
      </c>
      <c r="H443" s="1">
        <v>45217</v>
      </c>
      <c r="I443" t="s">
        <v>535</v>
      </c>
      <c r="J443" t="s">
        <v>21</v>
      </c>
      <c r="K443" t="s">
        <v>172</v>
      </c>
      <c r="L443" t="s">
        <v>442</v>
      </c>
    </row>
    <row r="444" spans="1:12" x14ac:dyDescent="0.25">
      <c r="A444" t="s">
        <v>534</v>
      </c>
      <c r="B444">
        <v>5234</v>
      </c>
      <c r="C444">
        <v>2021</v>
      </c>
      <c r="D444">
        <v>15</v>
      </c>
      <c r="E444" t="s">
        <v>45</v>
      </c>
      <c r="F444" t="s">
        <v>109</v>
      </c>
      <c r="G444" t="s">
        <v>40</v>
      </c>
      <c r="H444" s="1">
        <v>44725</v>
      </c>
      <c r="I444" t="s">
        <v>536</v>
      </c>
      <c r="J444" t="s">
        <v>25</v>
      </c>
      <c r="K444" t="s">
        <v>26</v>
      </c>
      <c r="L444" t="s">
        <v>165</v>
      </c>
    </row>
    <row r="445" spans="1:12" x14ac:dyDescent="0.25">
      <c r="A445" t="s">
        <v>537</v>
      </c>
      <c r="B445">
        <v>3944</v>
      </c>
      <c r="C445">
        <v>1559</v>
      </c>
      <c r="D445">
        <v>18</v>
      </c>
      <c r="E445" t="s">
        <v>13</v>
      </c>
      <c r="F445" t="s">
        <v>82</v>
      </c>
      <c r="G445" t="s">
        <v>47</v>
      </c>
      <c r="H445" s="1">
        <v>45455</v>
      </c>
      <c r="I445" t="s">
        <v>538</v>
      </c>
      <c r="J445" t="s">
        <v>42</v>
      </c>
      <c r="K445" t="s">
        <v>92</v>
      </c>
      <c r="L445" t="s">
        <v>262</v>
      </c>
    </row>
    <row r="446" spans="1:12" x14ac:dyDescent="0.25">
      <c r="A446" t="s">
        <v>537</v>
      </c>
      <c r="B446">
        <v>6711</v>
      </c>
      <c r="C446">
        <v>1045</v>
      </c>
      <c r="D446">
        <v>12</v>
      </c>
      <c r="E446" t="s">
        <v>30</v>
      </c>
      <c r="F446" t="s">
        <v>31</v>
      </c>
      <c r="G446" t="s">
        <v>47</v>
      </c>
      <c r="H446" s="1">
        <v>45455</v>
      </c>
      <c r="I446" t="s">
        <v>538</v>
      </c>
      <c r="J446" t="s">
        <v>42</v>
      </c>
      <c r="K446" t="s">
        <v>92</v>
      </c>
      <c r="L446" t="s">
        <v>262</v>
      </c>
    </row>
    <row r="447" spans="1:12" x14ac:dyDescent="0.25">
      <c r="A447" t="s">
        <v>537</v>
      </c>
      <c r="B447">
        <v>5031</v>
      </c>
      <c r="C447">
        <v>714</v>
      </c>
      <c r="D447">
        <v>4</v>
      </c>
      <c r="E447" t="s">
        <v>45</v>
      </c>
      <c r="F447" t="s">
        <v>46</v>
      </c>
      <c r="G447" t="s">
        <v>47</v>
      </c>
      <c r="H447" s="1">
        <v>45455</v>
      </c>
      <c r="I447" t="s">
        <v>538</v>
      </c>
      <c r="J447" t="s">
        <v>42</v>
      </c>
      <c r="K447" t="s">
        <v>92</v>
      </c>
      <c r="L447" t="s">
        <v>262</v>
      </c>
    </row>
    <row r="448" spans="1:12" x14ac:dyDescent="0.25">
      <c r="A448" t="s">
        <v>537</v>
      </c>
      <c r="B448">
        <v>6295</v>
      </c>
      <c r="C448">
        <v>2469</v>
      </c>
      <c r="D448">
        <v>14</v>
      </c>
      <c r="E448" t="s">
        <v>30</v>
      </c>
      <c r="F448" t="s">
        <v>78</v>
      </c>
      <c r="G448" t="s">
        <v>40</v>
      </c>
      <c r="H448" s="1">
        <v>45455</v>
      </c>
      <c r="I448" t="s">
        <v>538</v>
      </c>
      <c r="J448" t="s">
        <v>42</v>
      </c>
      <c r="K448" t="s">
        <v>92</v>
      </c>
      <c r="L448" t="s">
        <v>262</v>
      </c>
    </row>
    <row r="449" spans="1:12" x14ac:dyDescent="0.25">
      <c r="A449" t="s">
        <v>539</v>
      </c>
      <c r="B449">
        <v>9654</v>
      </c>
      <c r="C449">
        <v>4111</v>
      </c>
      <c r="D449">
        <v>1</v>
      </c>
      <c r="E449" t="s">
        <v>30</v>
      </c>
      <c r="F449" t="s">
        <v>64</v>
      </c>
      <c r="G449" t="s">
        <v>15</v>
      </c>
      <c r="H449" s="1">
        <v>44739</v>
      </c>
      <c r="I449" t="s">
        <v>540</v>
      </c>
      <c r="J449" t="s">
        <v>42</v>
      </c>
      <c r="K449" t="s">
        <v>92</v>
      </c>
      <c r="L449" t="s">
        <v>165</v>
      </c>
    </row>
    <row r="450" spans="1:12" x14ac:dyDescent="0.25">
      <c r="A450" t="s">
        <v>539</v>
      </c>
      <c r="B450">
        <v>3112</v>
      </c>
      <c r="C450">
        <v>1065</v>
      </c>
      <c r="D450">
        <v>20</v>
      </c>
      <c r="E450" t="s">
        <v>30</v>
      </c>
      <c r="F450" t="s">
        <v>78</v>
      </c>
      <c r="G450" t="s">
        <v>65</v>
      </c>
      <c r="H450" s="1">
        <v>44739</v>
      </c>
      <c r="I450" t="s">
        <v>540</v>
      </c>
      <c r="J450" t="s">
        <v>42</v>
      </c>
      <c r="K450" t="s">
        <v>92</v>
      </c>
      <c r="L450" t="s">
        <v>165</v>
      </c>
    </row>
    <row r="451" spans="1:12" x14ac:dyDescent="0.25">
      <c r="A451" t="s">
        <v>541</v>
      </c>
      <c r="B451">
        <v>7838</v>
      </c>
      <c r="C451">
        <v>1142</v>
      </c>
      <c r="D451">
        <v>13</v>
      </c>
      <c r="E451" t="s">
        <v>13</v>
      </c>
      <c r="F451" t="s">
        <v>82</v>
      </c>
      <c r="G451" t="s">
        <v>15</v>
      </c>
      <c r="H451" s="1">
        <v>44245</v>
      </c>
      <c r="I451" t="s">
        <v>542</v>
      </c>
      <c r="J451" t="s">
        <v>42</v>
      </c>
      <c r="K451" t="s">
        <v>92</v>
      </c>
      <c r="L451" t="s">
        <v>292</v>
      </c>
    </row>
    <row r="452" spans="1:12" x14ac:dyDescent="0.25">
      <c r="A452" t="s">
        <v>541</v>
      </c>
      <c r="B452">
        <v>9300</v>
      </c>
      <c r="C452">
        <v>3146</v>
      </c>
      <c r="D452">
        <v>6</v>
      </c>
      <c r="E452" t="s">
        <v>13</v>
      </c>
      <c r="F452" t="s">
        <v>82</v>
      </c>
      <c r="G452" t="s">
        <v>47</v>
      </c>
      <c r="H452" s="1">
        <v>44245</v>
      </c>
      <c r="I452" t="s">
        <v>542</v>
      </c>
      <c r="J452" t="s">
        <v>42</v>
      </c>
      <c r="K452" t="s">
        <v>92</v>
      </c>
      <c r="L452" t="s">
        <v>292</v>
      </c>
    </row>
    <row r="453" spans="1:12" x14ac:dyDescent="0.25">
      <c r="A453" t="s">
        <v>541</v>
      </c>
      <c r="B453">
        <v>1733</v>
      </c>
      <c r="C453">
        <v>133</v>
      </c>
      <c r="D453">
        <v>17</v>
      </c>
      <c r="E453" t="s">
        <v>30</v>
      </c>
      <c r="F453" t="s">
        <v>64</v>
      </c>
      <c r="G453" t="s">
        <v>32</v>
      </c>
      <c r="H453" s="1">
        <v>44245</v>
      </c>
      <c r="I453" t="s">
        <v>542</v>
      </c>
      <c r="J453" t="s">
        <v>42</v>
      </c>
      <c r="K453" t="s">
        <v>92</v>
      </c>
      <c r="L453" t="s">
        <v>292</v>
      </c>
    </row>
    <row r="454" spans="1:12" x14ac:dyDescent="0.25">
      <c r="A454" t="s">
        <v>543</v>
      </c>
      <c r="B454">
        <v>874</v>
      </c>
      <c r="C454">
        <v>235</v>
      </c>
      <c r="D454">
        <v>15</v>
      </c>
      <c r="E454" t="s">
        <v>30</v>
      </c>
      <c r="F454" t="s">
        <v>78</v>
      </c>
      <c r="G454" t="s">
        <v>32</v>
      </c>
      <c r="H454" s="1">
        <v>45075</v>
      </c>
      <c r="I454" t="s">
        <v>544</v>
      </c>
      <c r="J454" t="s">
        <v>25</v>
      </c>
      <c r="K454" t="s">
        <v>68</v>
      </c>
      <c r="L454" t="s">
        <v>127</v>
      </c>
    </row>
    <row r="455" spans="1:12" x14ac:dyDescent="0.25">
      <c r="A455" t="s">
        <v>543</v>
      </c>
      <c r="B455">
        <v>874</v>
      </c>
      <c r="C455">
        <v>235</v>
      </c>
      <c r="D455">
        <v>15</v>
      </c>
      <c r="E455" t="s">
        <v>30</v>
      </c>
      <c r="F455" t="s">
        <v>78</v>
      </c>
      <c r="G455" t="s">
        <v>32</v>
      </c>
      <c r="H455" s="1">
        <v>44351</v>
      </c>
      <c r="I455" t="s">
        <v>545</v>
      </c>
      <c r="J455" t="s">
        <v>17</v>
      </c>
      <c r="K455" t="s">
        <v>18</v>
      </c>
      <c r="L455" t="s">
        <v>125</v>
      </c>
    </row>
    <row r="456" spans="1:12" x14ac:dyDescent="0.25">
      <c r="A456" t="s">
        <v>546</v>
      </c>
      <c r="B456">
        <v>1248</v>
      </c>
      <c r="C456">
        <v>584</v>
      </c>
      <c r="D456">
        <v>13</v>
      </c>
      <c r="E456" t="s">
        <v>30</v>
      </c>
      <c r="F456" t="s">
        <v>31</v>
      </c>
      <c r="G456" t="s">
        <v>40</v>
      </c>
      <c r="H456" s="1">
        <v>45313</v>
      </c>
      <c r="I456" t="s">
        <v>547</v>
      </c>
      <c r="J456" t="s">
        <v>98</v>
      </c>
      <c r="K456" t="s">
        <v>99</v>
      </c>
      <c r="L456" t="s">
        <v>76</v>
      </c>
    </row>
    <row r="457" spans="1:12" x14ac:dyDescent="0.25">
      <c r="A457" t="s">
        <v>546</v>
      </c>
      <c r="B457">
        <v>1248</v>
      </c>
      <c r="C457">
        <v>584</v>
      </c>
      <c r="D457">
        <v>13</v>
      </c>
      <c r="E457" t="s">
        <v>30</v>
      </c>
      <c r="F457" t="s">
        <v>31</v>
      </c>
      <c r="G457" t="s">
        <v>40</v>
      </c>
      <c r="H457" s="1">
        <v>44922</v>
      </c>
      <c r="I457" t="s">
        <v>548</v>
      </c>
      <c r="J457" t="s">
        <v>42</v>
      </c>
      <c r="K457" t="s">
        <v>92</v>
      </c>
      <c r="L457" t="s">
        <v>152</v>
      </c>
    </row>
    <row r="458" spans="1:12" x14ac:dyDescent="0.25">
      <c r="A458" t="s">
        <v>546</v>
      </c>
      <c r="B458">
        <v>3669</v>
      </c>
      <c r="C458">
        <v>154</v>
      </c>
      <c r="D458">
        <v>14</v>
      </c>
      <c r="E458" t="s">
        <v>30</v>
      </c>
      <c r="F458" t="s">
        <v>57</v>
      </c>
      <c r="G458" t="s">
        <v>40</v>
      </c>
      <c r="H458" s="1">
        <v>45313</v>
      </c>
      <c r="I458" t="s">
        <v>547</v>
      </c>
      <c r="J458" t="s">
        <v>98</v>
      </c>
      <c r="K458" t="s">
        <v>99</v>
      </c>
      <c r="L458" t="s">
        <v>76</v>
      </c>
    </row>
    <row r="459" spans="1:12" x14ac:dyDescent="0.25">
      <c r="A459" t="s">
        <v>546</v>
      </c>
      <c r="B459">
        <v>3669</v>
      </c>
      <c r="C459">
        <v>154</v>
      </c>
      <c r="D459">
        <v>14</v>
      </c>
      <c r="E459" t="s">
        <v>30</v>
      </c>
      <c r="F459" t="s">
        <v>57</v>
      </c>
      <c r="G459" t="s">
        <v>40</v>
      </c>
      <c r="H459" s="1">
        <v>44922</v>
      </c>
      <c r="I459" t="s">
        <v>548</v>
      </c>
      <c r="J459" t="s">
        <v>42</v>
      </c>
      <c r="K459" t="s">
        <v>92</v>
      </c>
      <c r="L459" t="s">
        <v>152</v>
      </c>
    </row>
    <row r="460" spans="1:12" x14ac:dyDescent="0.25">
      <c r="A460" t="s">
        <v>546</v>
      </c>
      <c r="B460">
        <v>514</v>
      </c>
      <c r="C460">
        <v>109</v>
      </c>
      <c r="D460">
        <v>15</v>
      </c>
      <c r="E460" t="s">
        <v>30</v>
      </c>
      <c r="F460" t="s">
        <v>64</v>
      </c>
      <c r="G460" t="s">
        <v>32</v>
      </c>
      <c r="H460" s="1">
        <v>45313</v>
      </c>
      <c r="I460" t="s">
        <v>547</v>
      </c>
      <c r="J460" t="s">
        <v>98</v>
      </c>
      <c r="K460" t="s">
        <v>99</v>
      </c>
      <c r="L460" t="s">
        <v>76</v>
      </c>
    </row>
    <row r="461" spans="1:12" x14ac:dyDescent="0.25">
      <c r="A461" t="s">
        <v>546</v>
      </c>
      <c r="B461">
        <v>514</v>
      </c>
      <c r="C461">
        <v>109</v>
      </c>
      <c r="D461">
        <v>15</v>
      </c>
      <c r="E461" t="s">
        <v>30</v>
      </c>
      <c r="F461" t="s">
        <v>64</v>
      </c>
      <c r="G461" t="s">
        <v>32</v>
      </c>
      <c r="H461" s="1">
        <v>44922</v>
      </c>
      <c r="I461" t="s">
        <v>548</v>
      </c>
      <c r="J461" t="s">
        <v>42</v>
      </c>
      <c r="K461" t="s">
        <v>92</v>
      </c>
      <c r="L461" t="s">
        <v>152</v>
      </c>
    </row>
    <row r="462" spans="1:12" x14ac:dyDescent="0.25">
      <c r="A462" t="s">
        <v>549</v>
      </c>
      <c r="B462">
        <v>3273</v>
      </c>
      <c r="C462">
        <v>85</v>
      </c>
      <c r="D462">
        <v>16</v>
      </c>
      <c r="E462" t="s">
        <v>13</v>
      </c>
      <c r="F462" t="s">
        <v>82</v>
      </c>
      <c r="G462" t="s">
        <v>15</v>
      </c>
      <c r="H462" s="1">
        <v>45381</v>
      </c>
      <c r="I462" t="s">
        <v>550</v>
      </c>
      <c r="J462" t="s">
        <v>98</v>
      </c>
      <c r="K462" t="s">
        <v>107</v>
      </c>
      <c r="L462" t="s">
        <v>338</v>
      </c>
    </row>
    <row r="463" spans="1:12" x14ac:dyDescent="0.25">
      <c r="A463" t="s">
        <v>551</v>
      </c>
      <c r="B463">
        <v>5035</v>
      </c>
      <c r="C463">
        <v>2008</v>
      </c>
      <c r="D463">
        <v>2</v>
      </c>
      <c r="E463" t="s">
        <v>45</v>
      </c>
      <c r="F463" t="s">
        <v>49</v>
      </c>
      <c r="G463" t="s">
        <v>65</v>
      </c>
      <c r="H463" s="1">
        <v>43925</v>
      </c>
      <c r="I463" t="s">
        <v>552</v>
      </c>
      <c r="J463" t="s">
        <v>17</v>
      </c>
      <c r="K463" t="s">
        <v>18</v>
      </c>
      <c r="L463" t="s">
        <v>162</v>
      </c>
    </row>
    <row r="464" spans="1:12" x14ac:dyDescent="0.25">
      <c r="A464" t="s">
        <v>551</v>
      </c>
      <c r="B464">
        <v>7702</v>
      </c>
      <c r="C464">
        <v>60</v>
      </c>
      <c r="D464">
        <v>19</v>
      </c>
      <c r="E464" t="s">
        <v>13</v>
      </c>
      <c r="F464" t="s">
        <v>28</v>
      </c>
      <c r="G464" t="s">
        <v>15</v>
      </c>
      <c r="H464" s="1">
        <v>43925</v>
      </c>
      <c r="I464" t="s">
        <v>552</v>
      </c>
      <c r="J464" t="s">
        <v>17</v>
      </c>
      <c r="K464" t="s">
        <v>18</v>
      </c>
      <c r="L464" t="s">
        <v>162</v>
      </c>
    </row>
    <row r="465" spans="1:12" x14ac:dyDescent="0.25">
      <c r="A465" t="s">
        <v>551</v>
      </c>
      <c r="B465">
        <v>9884</v>
      </c>
      <c r="C465">
        <v>4446</v>
      </c>
      <c r="D465">
        <v>7</v>
      </c>
      <c r="E465" t="s">
        <v>13</v>
      </c>
      <c r="F465" t="s">
        <v>28</v>
      </c>
      <c r="G465" t="s">
        <v>40</v>
      </c>
      <c r="H465" s="1">
        <v>43925</v>
      </c>
      <c r="I465" t="s">
        <v>552</v>
      </c>
      <c r="J465" t="s">
        <v>17</v>
      </c>
      <c r="K465" t="s">
        <v>18</v>
      </c>
      <c r="L465" t="s">
        <v>162</v>
      </c>
    </row>
    <row r="466" spans="1:12" x14ac:dyDescent="0.25">
      <c r="A466" t="s">
        <v>553</v>
      </c>
      <c r="B466">
        <v>5564</v>
      </c>
      <c r="C466">
        <v>175</v>
      </c>
      <c r="D466">
        <v>11</v>
      </c>
      <c r="E466" t="s">
        <v>13</v>
      </c>
      <c r="F466" t="s">
        <v>39</v>
      </c>
      <c r="G466" t="s">
        <v>65</v>
      </c>
      <c r="H466" s="1">
        <v>44948</v>
      </c>
      <c r="I466" t="s">
        <v>554</v>
      </c>
      <c r="J466" t="s">
        <v>21</v>
      </c>
      <c r="K466" t="s">
        <v>22</v>
      </c>
      <c r="L466" t="s">
        <v>333</v>
      </c>
    </row>
    <row r="467" spans="1:12" x14ac:dyDescent="0.25">
      <c r="A467" t="s">
        <v>553</v>
      </c>
      <c r="B467">
        <v>5564</v>
      </c>
      <c r="C467">
        <v>175</v>
      </c>
      <c r="D467">
        <v>11</v>
      </c>
      <c r="E467" t="s">
        <v>13</v>
      </c>
      <c r="F467" t="s">
        <v>39</v>
      </c>
      <c r="G467" t="s">
        <v>65</v>
      </c>
      <c r="H467" s="1">
        <v>44663</v>
      </c>
      <c r="I467" t="s">
        <v>555</v>
      </c>
      <c r="J467" t="s">
        <v>71</v>
      </c>
      <c r="K467" t="s">
        <v>138</v>
      </c>
      <c r="L467" t="s">
        <v>187</v>
      </c>
    </row>
    <row r="468" spans="1:12" x14ac:dyDescent="0.25">
      <c r="A468" t="s">
        <v>553</v>
      </c>
      <c r="B468">
        <v>5564</v>
      </c>
      <c r="C468">
        <v>175</v>
      </c>
      <c r="D468">
        <v>11</v>
      </c>
      <c r="E468" t="s">
        <v>13</v>
      </c>
      <c r="F468" t="s">
        <v>39</v>
      </c>
      <c r="G468" t="s">
        <v>65</v>
      </c>
      <c r="H468" s="1">
        <v>45273</v>
      </c>
      <c r="I468" t="s">
        <v>556</v>
      </c>
      <c r="J468" t="s">
        <v>17</v>
      </c>
      <c r="K468" t="s">
        <v>18</v>
      </c>
      <c r="L468" t="s">
        <v>102</v>
      </c>
    </row>
    <row r="469" spans="1:12" x14ac:dyDescent="0.25">
      <c r="A469" t="s">
        <v>553</v>
      </c>
      <c r="B469">
        <v>3953</v>
      </c>
      <c r="C469">
        <v>1776</v>
      </c>
      <c r="D469">
        <v>15</v>
      </c>
      <c r="E469" t="s">
        <v>13</v>
      </c>
      <c r="F469" t="s">
        <v>14</v>
      </c>
      <c r="G469" t="s">
        <v>15</v>
      </c>
      <c r="H469" s="1">
        <v>44948</v>
      </c>
      <c r="I469" t="s">
        <v>554</v>
      </c>
      <c r="J469" t="s">
        <v>21</v>
      </c>
      <c r="K469" t="s">
        <v>22</v>
      </c>
      <c r="L469" t="s">
        <v>333</v>
      </c>
    </row>
    <row r="470" spans="1:12" x14ac:dyDescent="0.25">
      <c r="A470" t="s">
        <v>553</v>
      </c>
      <c r="B470">
        <v>3953</v>
      </c>
      <c r="C470">
        <v>1776</v>
      </c>
      <c r="D470">
        <v>15</v>
      </c>
      <c r="E470" t="s">
        <v>13</v>
      </c>
      <c r="F470" t="s">
        <v>14</v>
      </c>
      <c r="G470" t="s">
        <v>15</v>
      </c>
      <c r="H470" s="1">
        <v>44663</v>
      </c>
      <c r="I470" t="s">
        <v>555</v>
      </c>
      <c r="J470" t="s">
        <v>71</v>
      </c>
      <c r="K470" t="s">
        <v>138</v>
      </c>
      <c r="L470" t="s">
        <v>187</v>
      </c>
    </row>
    <row r="471" spans="1:12" x14ac:dyDescent="0.25">
      <c r="A471" t="s">
        <v>553</v>
      </c>
      <c r="B471">
        <v>3953</v>
      </c>
      <c r="C471">
        <v>1776</v>
      </c>
      <c r="D471">
        <v>15</v>
      </c>
      <c r="E471" t="s">
        <v>13</v>
      </c>
      <c r="F471" t="s">
        <v>14</v>
      </c>
      <c r="G471" t="s">
        <v>15</v>
      </c>
      <c r="H471" s="1">
        <v>45273</v>
      </c>
      <c r="I471" t="s">
        <v>556</v>
      </c>
      <c r="J471" t="s">
        <v>17</v>
      </c>
      <c r="K471" t="s">
        <v>18</v>
      </c>
      <c r="L471" t="s">
        <v>102</v>
      </c>
    </row>
    <row r="472" spans="1:12" x14ac:dyDescent="0.25">
      <c r="A472" t="s">
        <v>557</v>
      </c>
      <c r="B472">
        <v>6488</v>
      </c>
      <c r="C472">
        <v>1591</v>
      </c>
      <c r="D472">
        <v>18</v>
      </c>
      <c r="E472" t="s">
        <v>13</v>
      </c>
      <c r="F472" t="s">
        <v>28</v>
      </c>
      <c r="G472" t="s">
        <v>40</v>
      </c>
      <c r="H472" s="1">
        <v>45070</v>
      </c>
      <c r="I472" t="s">
        <v>558</v>
      </c>
      <c r="J472" t="s">
        <v>71</v>
      </c>
      <c r="K472" t="s">
        <v>72</v>
      </c>
      <c r="L472" t="s">
        <v>127</v>
      </c>
    </row>
    <row r="473" spans="1:12" x14ac:dyDescent="0.25">
      <c r="A473" t="s">
        <v>557</v>
      </c>
      <c r="B473">
        <v>6488</v>
      </c>
      <c r="C473">
        <v>1591</v>
      </c>
      <c r="D473">
        <v>18</v>
      </c>
      <c r="E473" t="s">
        <v>13</v>
      </c>
      <c r="F473" t="s">
        <v>28</v>
      </c>
      <c r="G473" t="s">
        <v>40</v>
      </c>
      <c r="H473" s="1">
        <v>44164</v>
      </c>
      <c r="I473" t="s">
        <v>559</v>
      </c>
      <c r="J473" t="s">
        <v>71</v>
      </c>
      <c r="K473" t="s">
        <v>138</v>
      </c>
      <c r="L473" t="s">
        <v>80</v>
      </c>
    </row>
    <row r="474" spans="1:12" x14ac:dyDescent="0.25">
      <c r="A474" t="s">
        <v>560</v>
      </c>
      <c r="B474">
        <v>7856</v>
      </c>
      <c r="C474">
        <v>3699</v>
      </c>
      <c r="D474">
        <v>17</v>
      </c>
      <c r="E474" t="s">
        <v>13</v>
      </c>
      <c r="F474" t="s">
        <v>14</v>
      </c>
      <c r="G474" t="s">
        <v>15</v>
      </c>
      <c r="H474" s="1">
        <v>44279</v>
      </c>
      <c r="I474" t="s">
        <v>561</v>
      </c>
      <c r="J474" t="s">
        <v>17</v>
      </c>
      <c r="K474" t="s">
        <v>34</v>
      </c>
      <c r="L474" t="s">
        <v>167</v>
      </c>
    </row>
    <row r="475" spans="1:12" x14ac:dyDescent="0.25">
      <c r="A475" t="s">
        <v>560</v>
      </c>
      <c r="B475">
        <v>1165</v>
      </c>
      <c r="C475">
        <v>51</v>
      </c>
      <c r="D475">
        <v>3</v>
      </c>
      <c r="E475" t="s">
        <v>30</v>
      </c>
      <c r="F475" t="s">
        <v>31</v>
      </c>
      <c r="G475" t="s">
        <v>40</v>
      </c>
      <c r="H475" s="1">
        <v>44279</v>
      </c>
      <c r="I475" t="s">
        <v>561</v>
      </c>
      <c r="J475" t="s">
        <v>17</v>
      </c>
      <c r="K475" t="s">
        <v>34</v>
      </c>
      <c r="L475" t="s">
        <v>167</v>
      </c>
    </row>
    <row r="476" spans="1:12" x14ac:dyDescent="0.25">
      <c r="A476" t="s">
        <v>562</v>
      </c>
      <c r="B476">
        <v>9386</v>
      </c>
      <c r="C476">
        <v>2555</v>
      </c>
      <c r="D476">
        <v>20</v>
      </c>
      <c r="E476" t="s">
        <v>30</v>
      </c>
      <c r="F476" t="s">
        <v>57</v>
      </c>
      <c r="G476" t="s">
        <v>47</v>
      </c>
      <c r="H476" s="1">
        <v>44062</v>
      </c>
      <c r="I476" t="s">
        <v>563</v>
      </c>
      <c r="J476" t="s">
        <v>42</v>
      </c>
      <c r="K476" t="s">
        <v>75</v>
      </c>
      <c r="L476" t="s">
        <v>185</v>
      </c>
    </row>
    <row r="477" spans="1:12" x14ac:dyDescent="0.25">
      <c r="A477" t="s">
        <v>562</v>
      </c>
      <c r="B477">
        <v>9386</v>
      </c>
      <c r="C477">
        <v>2555</v>
      </c>
      <c r="D477">
        <v>20</v>
      </c>
      <c r="E477" t="s">
        <v>30</v>
      </c>
      <c r="F477" t="s">
        <v>57</v>
      </c>
      <c r="G477" t="s">
        <v>47</v>
      </c>
      <c r="H477" s="1">
        <v>44854</v>
      </c>
      <c r="I477" t="s">
        <v>564</v>
      </c>
      <c r="J477" t="s">
        <v>98</v>
      </c>
      <c r="K477" t="s">
        <v>117</v>
      </c>
      <c r="L477" t="s">
        <v>96</v>
      </c>
    </row>
    <row r="478" spans="1:12" x14ac:dyDescent="0.25">
      <c r="A478" t="s">
        <v>565</v>
      </c>
      <c r="B478">
        <v>3956</v>
      </c>
      <c r="C478">
        <v>142</v>
      </c>
      <c r="D478">
        <v>12</v>
      </c>
      <c r="E478" t="s">
        <v>30</v>
      </c>
      <c r="F478" t="s">
        <v>31</v>
      </c>
      <c r="G478" t="s">
        <v>32</v>
      </c>
      <c r="H478" s="1">
        <v>45189</v>
      </c>
      <c r="I478" t="s">
        <v>566</v>
      </c>
      <c r="J478" t="s">
        <v>17</v>
      </c>
      <c r="K478" t="s">
        <v>150</v>
      </c>
      <c r="L478" t="s">
        <v>273</v>
      </c>
    </row>
    <row r="479" spans="1:12" x14ac:dyDescent="0.25">
      <c r="A479" t="s">
        <v>565</v>
      </c>
      <c r="B479">
        <v>3956</v>
      </c>
      <c r="C479">
        <v>142</v>
      </c>
      <c r="D479">
        <v>12</v>
      </c>
      <c r="E479" t="s">
        <v>30</v>
      </c>
      <c r="F479" t="s">
        <v>31</v>
      </c>
      <c r="G479" t="s">
        <v>32</v>
      </c>
      <c r="H479" s="1">
        <v>45652</v>
      </c>
      <c r="I479" t="s">
        <v>567</v>
      </c>
      <c r="J479" t="s">
        <v>71</v>
      </c>
      <c r="K479" t="s">
        <v>72</v>
      </c>
      <c r="L479" t="s">
        <v>23</v>
      </c>
    </row>
    <row r="480" spans="1:12" x14ac:dyDescent="0.25">
      <c r="A480" t="s">
        <v>565</v>
      </c>
      <c r="B480">
        <v>6449</v>
      </c>
      <c r="C480">
        <v>2628</v>
      </c>
      <c r="D480">
        <v>11</v>
      </c>
      <c r="E480" t="s">
        <v>45</v>
      </c>
      <c r="F480" t="s">
        <v>109</v>
      </c>
      <c r="G480" t="s">
        <v>40</v>
      </c>
      <c r="H480" s="1">
        <v>45189</v>
      </c>
      <c r="I480" t="s">
        <v>566</v>
      </c>
      <c r="J480" t="s">
        <v>17</v>
      </c>
      <c r="K480" t="s">
        <v>150</v>
      </c>
      <c r="L480" t="s">
        <v>273</v>
      </c>
    </row>
    <row r="481" spans="1:12" x14ac:dyDescent="0.25">
      <c r="A481" t="s">
        <v>565</v>
      </c>
      <c r="B481">
        <v>6449</v>
      </c>
      <c r="C481">
        <v>2628</v>
      </c>
      <c r="D481">
        <v>11</v>
      </c>
      <c r="E481" t="s">
        <v>45</v>
      </c>
      <c r="F481" t="s">
        <v>109</v>
      </c>
      <c r="G481" t="s">
        <v>40</v>
      </c>
      <c r="H481" s="1">
        <v>45652</v>
      </c>
      <c r="I481" t="s">
        <v>567</v>
      </c>
      <c r="J481" t="s">
        <v>71</v>
      </c>
      <c r="K481" t="s">
        <v>72</v>
      </c>
      <c r="L481" t="s">
        <v>23</v>
      </c>
    </row>
    <row r="482" spans="1:12" x14ac:dyDescent="0.25">
      <c r="A482" t="s">
        <v>568</v>
      </c>
      <c r="B482">
        <v>6255</v>
      </c>
      <c r="C482">
        <v>437</v>
      </c>
      <c r="D482">
        <v>18</v>
      </c>
      <c r="E482" t="s">
        <v>30</v>
      </c>
      <c r="F482" t="s">
        <v>57</v>
      </c>
      <c r="G482" t="s">
        <v>65</v>
      </c>
      <c r="H482" s="1">
        <v>44533</v>
      </c>
      <c r="I482" t="s">
        <v>569</v>
      </c>
      <c r="J482" t="s">
        <v>25</v>
      </c>
      <c r="K482" t="s">
        <v>68</v>
      </c>
      <c r="L482" t="s">
        <v>90</v>
      </c>
    </row>
    <row r="483" spans="1:12" x14ac:dyDescent="0.25">
      <c r="A483" t="s">
        <v>568</v>
      </c>
      <c r="B483">
        <v>2109</v>
      </c>
      <c r="C483">
        <v>681</v>
      </c>
      <c r="D483">
        <v>20</v>
      </c>
      <c r="E483" t="s">
        <v>13</v>
      </c>
      <c r="F483" t="s">
        <v>14</v>
      </c>
      <c r="G483" t="s">
        <v>15</v>
      </c>
      <c r="H483" s="1">
        <v>44533</v>
      </c>
      <c r="I483" t="s">
        <v>569</v>
      </c>
      <c r="J483" t="s">
        <v>25</v>
      </c>
      <c r="K483" t="s">
        <v>68</v>
      </c>
      <c r="L483" t="s">
        <v>90</v>
      </c>
    </row>
    <row r="484" spans="1:12" x14ac:dyDescent="0.25">
      <c r="A484" t="s">
        <v>570</v>
      </c>
      <c r="B484">
        <v>6707</v>
      </c>
      <c r="C484">
        <v>1041</v>
      </c>
      <c r="D484">
        <v>20</v>
      </c>
      <c r="E484" t="s">
        <v>13</v>
      </c>
      <c r="F484" t="s">
        <v>82</v>
      </c>
      <c r="G484" t="s">
        <v>47</v>
      </c>
      <c r="H484" s="1">
        <v>44453</v>
      </c>
      <c r="I484" t="s">
        <v>571</v>
      </c>
      <c r="J484" t="s">
        <v>71</v>
      </c>
      <c r="K484" t="s">
        <v>86</v>
      </c>
      <c r="L484" t="s">
        <v>224</v>
      </c>
    </row>
    <row r="485" spans="1:12" x14ac:dyDescent="0.25">
      <c r="A485" t="s">
        <v>572</v>
      </c>
      <c r="B485">
        <v>7633</v>
      </c>
      <c r="C485">
        <v>184</v>
      </c>
      <c r="D485">
        <v>13</v>
      </c>
      <c r="E485" t="s">
        <v>30</v>
      </c>
      <c r="F485" t="s">
        <v>31</v>
      </c>
      <c r="G485" t="s">
        <v>65</v>
      </c>
      <c r="H485" s="1">
        <v>44469</v>
      </c>
      <c r="I485" t="s">
        <v>573</v>
      </c>
      <c r="J485" t="s">
        <v>21</v>
      </c>
      <c r="K485" t="s">
        <v>63</v>
      </c>
      <c r="L485" t="s">
        <v>224</v>
      </c>
    </row>
    <row r="486" spans="1:12" x14ac:dyDescent="0.25">
      <c r="A486" t="s">
        <v>574</v>
      </c>
      <c r="B486">
        <v>975</v>
      </c>
      <c r="C486">
        <v>224</v>
      </c>
      <c r="D486">
        <v>18</v>
      </c>
      <c r="E486" t="s">
        <v>30</v>
      </c>
      <c r="F486" t="s">
        <v>31</v>
      </c>
      <c r="G486" t="s">
        <v>65</v>
      </c>
      <c r="H486" s="1">
        <v>44552</v>
      </c>
      <c r="I486" t="s">
        <v>575</v>
      </c>
      <c r="J486" t="s">
        <v>42</v>
      </c>
      <c r="K486" t="s">
        <v>75</v>
      </c>
      <c r="L486" t="s">
        <v>90</v>
      </c>
    </row>
    <row r="487" spans="1:12" x14ac:dyDescent="0.25">
      <c r="A487" t="s">
        <v>574</v>
      </c>
      <c r="B487">
        <v>4492</v>
      </c>
      <c r="C487">
        <v>1450</v>
      </c>
      <c r="D487">
        <v>7</v>
      </c>
      <c r="E487" t="s">
        <v>45</v>
      </c>
      <c r="F487" t="s">
        <v>46</v>
      </c>
      <c r="G487" t="s">
        <v>40</v>
      </c>
      <c r="H487" s="1">
        <v>44552</v>
      </c>
      <c r="I487" t="s">
        <v>575</v>
      </c>
      <c r="J487" t="s">
        <v>42</v>
      </c>
      <c r="K487" t="s">
        <v>75</v>
      </c>
      <c r="L487" t="s">
        <v>90</v>
      </c>
    </row>
    <row r="488" spans="1:12" x14ac:dyDescent="0.25">
      <c r="A488" t="s">
        <v>574</v>
      </c>
      <c r="B488">
        <v>7957</v>
      </c>
      <c r="C488">
        <v>2834</v>
      </c>
      <c r="D488">
        <v>12</v>
      </c>
      <c r="E488" t="s">
        <v>45</v>
      </c>
      <c r="F488" t="s">
        <v>49</v>
      </c>
      <c r="G488" t="s">
        <v>15</v>
      </c>
      <c r="H488" s="1">
        <v>44552</v>
      </c>
      <c r="I488" t="s">
        <v>575</v>
      </c>
      <c r="J488" t="s">
        <v>42</v>
      </c>
      <c r="K488" t="s">
        <v>75</v>
      </c>
      <c r="L488" t="s">
        <v>90</v>
      </c>
    </row>
    <row r="489" spans="1:12" x14ac:dyDescent="0.25">
      <c r="A489" t="s">
        <v>576</v>
      </c>
      <c r="B489">
        <v>4906</v>
      </c>
      <c r="C489">
        <v>975</v>
      </c>
      <c r="D489">
        <v>7</v>
      </c>
      <c r="E489" t="s">
        <v>45</v>
      </c>
      <c r="F489" t="s">
        <v>46</v>
      </c>
      <c r="G489" t="s">
        <v>32</v>
      </c>
      <c r="H489" s="1">
        <v>44699</v>
      </c>
      <c r="I489" t="s">
        <v>577</v>
      </c>
      <c r="J489" t="s">
        <v>71</v>
      </c>
      <c r="K489" t="s">
        <v>138</v>
      </c>
      <c r="L489" t="s">
        <v>180</v>
      </c>
    </row>
    <row r="490" spans="1:12" x14ac:dyDescent="0.25">
      <c r="A490" t="s">
        <v>578</v>
      </c>
      <c r="B490">
        <v>1379</v>
      </c>
      <c r="C490">
        <v>250</v>
      </c>
      <c r="D490">
        <v>3</v>
      </c>
      <c r="E490" t="s">
        <v>30</v>
      </c>
      <c r="F490" t="s">
        <v>31</v>
      </c>
      <c r="G490" t="s">
        <v>47</v>
      </c>
      <c r="H490" s="1">
        <v>44112</v>
      </c>
      <c r="I490" t="s">
        <v>579</v>
      </c>
      <c r="J490" t="s">
        <v>25</v>
      </c>
      <c r="K490" t="s">
        <v>26</v>
      </c>
      <c r="L490" t="s">
        <v>119</v>
      </c>
    </row>
    <row r="491" spans="1:12" x14ac:dyDescent="0.25">
      <c r="A491" t="s">
        <v>578</v>
      </c>
      <c r="B491">
        <v>4244</v>
      </c>
      <c r="C491">
        <v>340</v>
      </c>
      <c r="D491">
        <v>10</v>
      </c>
      <c r="E491" t="s">
        <v>13</v>
      </c>
      <c r="F491" t="s">
        <v>39</v>
      </c>
      <c r="G491" t="s">
        <v>32</v>
      </c>
      <c r="H491" s="1">
        <v>44112</v>
      </c>
      <c r="I491" t="s">
        <v>579</v>
      </c>
      <c r="J491" t="s">
        <v>25</v>
      </c>
      <c r="K491" t="s">
        <v>26</v>
      </c>
      <c r="L491" t="s">
        <v>119</v>
      </c>
    </row>
    <row r="492" spans="1:12" x14ac:dyDescent="0.25">
      <c r="A492" t="s">
        <v>580</v>
      </c>
      <c r="B492">
        <v>5911</v>
      </c>
      <c r="C492">
        <v>2333</v>
      </c>
      <c r="D492">
        <v>14</v>
      </c>
      <c r="E492" t="s">
        <v>45</v>
      </c>
      <c r="F492" t="s">
        <v>109</v>
      </c>
      <c r="G492" t="s">
        <v>40</v>
      </c>
      <c r="H492" s="1">
        <v>44793</v>
      </c>
      <c r="I492" t="s">
        <v>581</v>
      </c>
      <c r="J492" t="s">
        <v>42</v>
      </c>
      <c r="K492" t="s">
        <v>75</v>
      </c>
      <c r="L492" t="s">
        <v>209</v>
      </c>
    </row>
    <row r="493" spans="1:12" x14ac:dyDescent="0.25">
      <c r="A493" t="s">
        <v>580</v>
      </c>
      <c r="B493">
        <v>5911</v>
      </c>
      <c r="C493">
        <v>2333</v>
      </c>
      <c r="D493">
        <v>14</v>
      </c>
      <c r="E493" t="s">
        <v>45</v>
      </c>
      <c r="F493" t="s">
        <v>109</v>
      </c>
      <c r="G493" t="s">
        <v>40</v>
      </c>
      <c r="H493" s="1">
        <v>45621</v>
      </c>
      <c r="I493" t="s">
        <v>582</v>
      </c>
      <c r="J493" t="s">
        <v>42</v>
      </c>
      <c r="K493" t="s">
        <v>92</v>
      </c>
      <c r="L493" t="s">
        <v>255</v>
      </c>
    </row>
    <row r="494" spans="1:12" x14ac:dyDescent="0.25">
      <c r="A494" t="s">
        <v>580</v>
      </c>
      <c r="B494">
        <v>1818</v>
      </c>
      <c r="C494">
        <v>738</v>
      </c>
      <c r="D494">
        <v>11</v>
      </c>
      <c r="E494" t="s">
        <v>30</v>
      </c>
      <c r="F494" t="s">
        <v>57</v>
      </c>
      <c r="G494" t="s">
        <v>40</v>
      </c>
      <c r="H494" s="1">
        <v>44793</v>
      </c>
      <c r="I494" t="s">
        <v>581</v>
      </c>
      <c r="J494" t="s">
        <v>42</v>
      </c>
      <c r="K494" t="s">
        <v>75</v>
      </c>
      <c r="L494" t="s">
        <v>209</v>
      </c>
    </row>
    <row r="495" spans="1:12" x14ac:dyDescent="0.25">
      <c r="A495" t="s">
        <v>580</v>
      </c>
      <c r="B495">
        <v>1818</v>
      </c>
      <c r="C495">
        <v>738</v>
      </c>
      <c r="D495">
        <v>11</v>
      </c>
      <c r="E495" t="s">
        <v>30</v>
      </c>
      <c r="F495" t="s">
        <v>57</v>
      </c>
      <c r="G495" t="s">
        <v>40</v>
      </c>
      <c r="H495" s="1">
        <v>45621</v>
      </c>
      <c r="I495" t="s">
        <v>582</v>
      </c>
      <c r="J495" t="s">
        <v>42</v>
      </c>
      <c r="K495" t="s">
        <v>92</v>
      </c>
      <c r="L495" t="s">
        <v>255</v>
      </c>
    </row>
    <row r="496" spans="1:12" x14ac:dyDescent="0.25">
      <c r="A496" t="s">
        <v>583</v>
      </c>
      <c r="B496">
        <v>2140</v>
      </c>
      <c r="C496">
        <v>970</v>
      </c>
      <c r="D496">
        <v>4</v>
      </c>
      <c r="E496" t="s">
        <v>30</v>
      </c>
      <c r="F496" t="s">
        <v>64</v>
      </c>
      <c r="G496" t="s">
        <v>47</v>
      </c>
      <c r="H496" s="1">
        <v>44104</v>
      </c>
      <c r="I496" t="s">
        <v>584</v>
      </c>
      <c r="J496" t="s">
        <v>42</v>
      </c>
      <c r="K496" t="s">
        <v>75</v>
      </c>
      <c r="L496" t="s">
        <v>389</v>
      </c>
    </row>
    <row r="497" spans="1:12" x14ac:dyDescent="0.25">
      <c r="A497" t="s">
        <v>583</v>
      </c>
      <c r="B497">
        <v>2140</v>
      </c>
      <c r="C497">
        <v>970</v>
      </c>
      <c r="D497">
        <v>4</v>
      </c>
      <c r="E497" t="s">
        <v>30</v>
      </c>
      <c r="F497" t="s">
        <v>64</v>
      </c>
      <c r="G497" t="s">
        <v>47</v>
      </c>
      <c r="H497" s="1">
        <v>45708</v>
      </c>
      <c r="I497" t="s">
        <v>585</v>
      </c>
      <c r="J497" t="s">
        <v>17</v>
      </c>
      <c r="K497" t="s">
        <v>34</v>
      </c>
      <c r="L497" t="s">
        <v>73</v>
      </c>
    </row>
    <row r="498" spans="1:12" x14ac:dyDescent="0.25">
      <c r="A498" t="s">
        <v>583</v>
      </c>
      <c r="B498">
        <v>2140</v>
      </c>
      <c r="C498">
        <v>970</v>
      </c>
      <c r="D498">
        <v>4</v>
      </c>
      <c r="E498" t="s">
        <v>30</v>
      </c>
      <c r="F498" t="s">
        <v>64</v>
      </c>
      <c r="G498" t="s">
        <v>47</v>
      </c>
      <c r="H498" s="1">
        <v>44640</v>
      </c>
      <c r="I498" t="s">
        <v>586</v>
      </c>
      <c r="J498" t="s">
        <v>42</v>
      </c>
      <c r="K498" t="s">
        <v>92</v>
      </c>
      <c r="L498" t="s">
        <v>134</v>
      </c>
    </row>
    <row r="499" spans="1:12" x14ac:dyDescent="0.25">
      <c r="A499" t="s">
        <v>583</v>
      </c>
      <c r="B499">
        <v>2670</v>
      </c>
      <c r="C499">
        <v>1026</v>
      </c>
      <c r="D499">
        <v>1</v>
      </c>
      <c r="E499" t="s">
        <v>13</v>
      </c>
      <c r="F499" t="s">
        <v>39</v>
      </c>
      <c r="G499" t="s">
        <v>32</v>
      </c>
      <c r="H499" s="1">
        <v>44104</v>
      </c>
      <c r="I499" t="s">
        <v>584</v>
      </c>
      <c r="J499" t="s">
        <v>42</v>
      </c>
      <c r="K499" t="s">
        <v>75</v>
      </c>
      <c r="L499" t="s">
        <v>389</v>
      </c>
    </row>
    <row r="500" spans="1:12" x14ac:dyDescent="0.25">
      <c r="A500" t="s">
        <v>583</v>
      </c>
      <c r="B500">
        <v>2670</v>
      </c>
      <c r="C500">
        <v>1026</v>
      </c>
      <c r="D500">
        <v>1</v>
      </c>
      <c r="E500" t="s">
        <v>13</v>
      </c>
      <c r="F500" t="s">
        <v>39</v>
      </c>
      <c r="G500" t="s">
        <v>32</v>
      </c>
      <c r="H500" s="1">
        <v>45708</v>
      </c>
      <c r="I500" t="s">
        <v>585</v>
      </c>
      <c r="J500" t="s">
        <v>17</v>
      </c>
      <c r="K500" t="s">
        <v>34</v>
      </c>
      <c r="L500" t="s">
        <v>73</v>
      </c>
    </row>
    <row r="501" spans="1:12" x14ac:dyDescent="0.25">
      <c r="A501" t="s">
        <v>583</v>
      </c>
      <c r="B501">
        <v>2670</v>
      </c>
      <c r="C501">
        <v>1026</v>
      </c>
      <c r="D501">
        <v>1</v>
      </c>
      <c r="E501" t="s">
        <v>13</v>
      </c>
      <c r="F501" t="s">
        <v>39</v>
      </c>
      <c r="G501" t="s">
        <v>32</v>
      </c>
      <c r="H501" s="1">
        <v>44640</v>
      </c>
      <c r="I501" t="s">
        <v>586</v>
      </c>
      <c r="J501" t="s">
        <v>42</v>
      </c>
      <c r="K501" t="s">
        <v>92</v>
      </c>
      <c r="L501" t="s">
        <v>134</v>
      </c>
    </row>
    <row r="502" spans="1:12" x14ac:dyDescent="0.25">
      <c r="A502" t="s">
        <v>587</v>
      </c>
      <c r="B502">
        <v>1108</v>
      </c>
      <c r="C502">
        <v>167</v>
      </c>
      <c r="D502">
        <v>18</v>
      </c>
      <c r="E502" t="s">
        <v>13</v>
      </c>
      <c r="F502" t="s">
        <v>39</v>
      </c>
      <c r="G502" t="s">
        <v>32</v>
      </c>
      <c r="H502" s="1">
        <v>45723</v>
      </c>
      <c r="I502" t="s">
        <v>588</v>
      </c>
      <c r="J502" t="s">
        <v>21</v>
      </c>
      <c r="K502" t="s">
        <v>63</v>
      </c>
      <c r="L502" t="s">
        <v>157</v>
      </c>
    </row>
    <row r="503" spans="1:12" x14ac:dyDescent="0.25">
      <c r="A503" t="s">
        <v>587</v>
      </c>
      <c r="B503">
        <v>9776</v>
      </c>
      <c r="C503">
        <v>3750</v>
      </c>
      <c r="D503">
        <v>9</v>
      </c>
      <c r="E503" t="s">
        <v>30</v>
      </c>
      <c r="F503" t="s">
        <v>78</v>
      </c>
      <c r="G503" t="s">
        <v>15</v>
      </c>
      <c r="H503" s="1">
        <v>45723</v>
      </c>
      <c r="I503" t="s">
        <v>588</v>
      </c>
      <c r="J503" t="s">
        <v>21</v>
      </c>
      <c r="K503" t="s">
        <v>63</v>
      </c>
      <c r="L503" t="s">
        <v>157</v>
      </c>
    </row>
    <row r="504" spans="1:12" x14ac:dyDescent="0.25">
      <c r="A504" t="s">
        <v>587</v>
      </c>
      <c r="B504">
        <v>535</v>
      </c>
      <c r="C504">
        <v>72</v>
      </c>
      <c r="D504">
        <v>6</v>
      </c>
      <c r="E504" t="s">
        <v>45</v>
      </c>
      <c r="F504" t="s">
        <v>109</v>
      </c>
      <c r="G504" t="s">
        <v>65</v>
      </c>
      <c r="H504" s="1">
        <v>45723</v>
      </c>
      <c r="I504" t="s">
        <v>588</v>
      </c>
      <c r="J504" t="s">
        <v>21</v>
      </c>
      <c r="K504" t="s">
        <v>63</v>
      </c>
      <c r="L504" t="s">
        <v>157</v>
      </c>
    </row>
    <row r="505" spans="1:12" x14ac:dyDescent="0.25">
      <c r="A505" t="s">
        <v>589</v>
      </c>
      <c r="B505">
        <v>7564</v>
      </c>
      <c r="C505">
        <v>3463</v>
      </c>
      <c r="D505">
        <v>5</v>
      </c>
      <c r="E505" t="s">
        <v>30</v>
      </c>
      <c r="F505" t="s">
        <v>64</v>
      </c>
      <c r="G505" t="s">
        <v>47</v>
      </c>
      <c r="H505" s="1">
        <v>45459</v>
      </c>
      <c r="I505" t="s">
        <v>590</v>
      </c>
      <c r="J505" t="s">
        <v>17</v>
      </c>
      <c r="K505" t="s">
        <v>150</v>
      </c>
      <c r="L505" t="s">
        <v>262</v>
      </c>
    </row>
    <row r="506" spans="1:12" x14ac:dyDescent="0.25">
      <c r="A506" t="s">
        <v>589</v>
      </c>
      <c r="B506">
        <v>7564</v>
      </c>
      <c r="C506">
        <v>3463</v>
      </c>
      <c r="D506">
        <v>5</v>
      </c>
      <c r="E506" t="s">
        <v>30</v>
      </c>
      <c r="F506" t="s">
        <v>64</v>
      </c>
      <c r="G506" t="s">
        <v>47</v>
      </c>
      <c r="H506" s="1">
        <v>44156</v>
      </c>
      <c r="I506" t="s">
        <v>591</v>
      </c>
      <c r="J506" t="s">
        <v>21</v>
      </c>
      <c r="K506" t="s">
        <v>172</v>
      </c>
      <c r="L506" t="s">
        <v>80</v>
      </c>
    </row>
    <row r="507" spans="1:12" x14ac:dyDescent="0.25">
      <c r="A507" t="s">
        <v>589</v>
      </c>
      <c r="B507">
        <v>7564</v>
      </c>
      <c r="C507">
        <v>3463</v>
      </c>
      <c r="D507">
        <v>5</v>
      </c>
      <c r="E507" t="s">
        <v>30</v>
      </c>
      <c r="F507" t="s">
        <v>64</v>
      </c>
      <c r="G507" t="s">
        <v>47</v>
      </c>
      <c r="H507" s="1">
        <v>45566</v>
      </c>
      <c r="I507" t="s">
        <v>592</v>
      </c>
      <c r="J507" t="s">
        <v>17</v>
      </c>
      <c r="K507" t="s">
        <v>18</v>
      </c>
      <c r="L507" t="s">
        <v>360</v>
      </c>
    </row>
    <row r="508" spans="1:12" x14ac:dyDescent="0.25">
      <c r="A508" t="s">
        <v>589</v>
      </c>
      <c r="B508">
        <v>7564</v>
      </c>
      <c r="C508">
        <v>3463</v>
      </c>
      <c r="D508">
        <v>5</v>
      </c>
      <c r="E508" t="s">
        <v>30</v>
      </c>
      <c r="F508" t="s">
        <v>64</v>
      </c>
      <c r="G508" t="s">
        <v>47</v>
      </c>
      <c r="H508" s="1">
        <v>45474</v>
      </c>
      <c r="I508" t="s">
        <v>593</v>
      </c>
      <c r="J508" t="s">
        <v>71</v>
      </c>
      <c r="K508" t="s">
        <v>138</v>
      </c>
      <c r="L508" t="s">
        <v>215</v>
      </c>
    </row>
    <row r="509" spans="1:12" x14ac:dyDescent="0.25">
      <c r="A509" t="s">
        <v>589</v>
      </c>
      <c r="B509">
        <v>3409</v>
      </c>
      <c r="C509">
        <v>1605</v>
      </c>
      <c r="D509">
        <v>20</v>
      </c>
      <c r="E509" t="s">
        <v>13</v>
      </c>
      <c r="F509" t="s">
        <v>14</v>
      </c>
      <c r="G509" t="s">
        <v>15</v>
      </c>
      <c r="H509" s="1">
        <v>45459</v>
      </c>
      <c r="I509" t="s">
        <v>590</v>
      </c>
      <c r="J509" t="s">
        <v>17</v>
      </c>
      <c r="K509" t="s">
        <v>150</v>
      </c>
      <c r="L509" t="s">
        <v>262</v>
      </c>
    </row>
    <row r="510" spans="1:12" x14ac:dyDescent="0.25">
      <c r="A510" t="s">
        <v>589</v>
      </c>
      <c r="B510">
        <v>3409</v>
      </c>
      <c r="C510">
        <v>1605</v>
      </c>
      <c r="D510">
        <v>20</v>
      </c>
      <c r="E510" t="s">
        <v>13</v>
      </c>
      <c r="F510" t="s">
        <v>14</v>
      </c>
      <c r="G510" t="s">
        <v>15</v>
      </c>
      <c r="H510" s="1">
        <v>44156</v>
      </c>
      <c r="I510" t="s">
        <v>591</v>
      </c>
      <c r="J510" t="s">
        <v>21</v>
      </c>
      <c r="K510" t="s">
        <v>172</v>
      </c>
      <c r="L510" t="s">
        <v>80</v>
      </c>
    </row>
    <row r="511" spans="1:12" x14ac:dyDescent="0.25">
      <c r="A511" t="s">
        <v>589</v>
      </c>
      <c r="B511">
        <v>3409</v>
      </c>
      <c r="C511">
        <v>1605</v>
      </c>
      <c r="D511">
        <v>20</v>
      </c>
      <c r="E511" t="s">
        <v>13</v>
      </c>
      <c r="F511" t="s">
        <v>14</v>
      </c>
      <c r="G511" t="s">
        <v>15</v>
      </c>
      <c r="H511" s="1">
        <v>45566</v>
      </c>
      <c r="I511" t="s">
        <v>592</v>
      </c>
      <c r="J511" t="s">
        <v>17</v>
      </c>
      <c r="K511" t="s">
        <v>18</v>
      </c>
      <c r="L511" t="s">
        <v>360</v>
      </c>
    </row>
    <row r="512" spans="1:12" x14ac:dyDescent="0.25">
      <c r="A512" t="s">
        <v>589</v>
      </c>
      <c r="B512">
        <v>3409</v>
      </c>
      <c r="C512">
        <v>1605</v>
      </c>
      <c r="D512">
        <v>20</v>
      </c>
      <c r="E512" t="s">
        <v>13</v>
      </c>
      <c r="F512" t="s">
        <v>14</v>
      </c>
      <c r="G512" t="s">
        <v>15</v>
      </c>
      <c r="H512" s="1">
        <v>45474</v>
      </c>
      <c r="I512" t="s">
        <v>593</v>
      </c>
      <c r="J512" t="s">
        <v>71</v>
      </c>
      <c r="K512" t="s">
        <v>138</v>
      </c>
      <c r="L512" t="s">
        <v>215</v>
      </c>
    </row>
    <row r="513" spans="1:12" x14ac:dyDescent="0.25">
      <c r="A513" t="s">
        <v>594</v>
      </c>
      <c r="B513">
        <v>9751</v>
      </c>
      <c r="C513">
        <v>2459</v>
      </c>
      <c r="D513">
        <v>13</v>
      </c>
      <c r="E513" t="s">
        <v>30</v>
      </c>
      <c r="F513" t="s">
        <v>31</v>
      </c>
      <c r="G513" t="s">
        <v>65</v>
      </c>
      <c r="H513" s="1">
        <v>44158</v>
      </c>
      <c r="I513" t="s">
        <v>595</v>
      </c>
      <c r="J513" t="s">
        <v>25</v>
      </c>
      <c r="K513" t="s">
        <v>26</v>
      </c>
      <c r="L513" t="s">
        <v>80</v>
      </c>
    </row>
    <row r="514" spans="1:12" x14ac:dyDescent="0.25">
      <c r="A514" t="s">
        <v>596</v>
      </c>
      <c r="B514">
        <v>6385</v>
      </c>
      <c r="C514">
        <v>2656</v>
      </c>
      <c r="D514">
        <v>11</v>
      </c>
      <c r="E514" t="s">
        <v>13</v>
      </c>
      <c r="F514" t="s">
        <v>28</v>
      </c>
      <c r="G514" t="s">
        <v>47</v>
      </c>
      <c r="H514" s="1">
        <v>45003</v>
      </c>
      <c r="I514" t="s">
        <v>597</v>
      </c>
      <c r="J514" t="s">
        <v>17</v>
      </c>
      <c r="K514" t="s">
        <v>34</v>
      </c>
      <c r="L514" t="s">
        <v>245</v>
      </c>
    </row>
    <row r="515" spans="1:12" x14ac:dyDescent="0.25">
      <c r="A515" t="s">
        <v>596</v>
      </c>
      <c r="B515">
        <v>6385</v>
      </c>
      <c r="C515">
        <v>2656</v>
      </c>
      <c r="D515">
        <v>11</v>
      </c>
      <c r="E515" t="s">
        <v>13</v>
      </c>
      <c r="F515" t="s">
        <v>28</v>
      </c>
      <c r="G515" t="s">
        <v>47</v>
      </c>
      <c r="H515" s="1">
        <v>44853</v>
      </c>
      <c r="I515" t="s">
        <v>598</v>
      </c>
      <c r="J515" t="s">
        <v>17</v>
      </c>
      <c r="K515" t="s">
        <v>150</v>
      </c>
      <c r="L515" t="s">
        <v>96</v>
      </c>
    </row>
    <row r="516" spans="1:12" x14ac:dyDescent="0.25">
      <c r="A516" t="s">
        <v>599</v>
      </c>
      <c r="B516">
        <v>6355</v>
      </c>
      <c r="C516">
        <v>1335</v>
      </c>
      <c r="D516">
        <v>15</v>
      </c>
      <c r="E516" t="s">
        <v>13</v>
      </c>
      <c r="F516" t="s">
        <v>14</v>
      </c>
      <c r="G516" t="s">
        <v>32</v>
      </c>
      <c r="H516" s="1">
        <v>45169</v>
      </c>
      <c r="I516" t="s">
        <v>600</v>
      </c>
      <c r="J516" t="s">
        <v>71</v>
      </c>
      <c r="K516" t="s">
        <v>86</v>
      </c>
      <c r="L516" t="s">
        <v>121</v>
      </c>
    </row>
    <row r="517" spans="1:12" x14ac:dyDescent="0.25">
      <c r="A517" t="s">
        <v>599</v>
      </c>
      <c r="B517">
        <v>6355</v>
      </c>
      <c r="C517">
        <v>1335</v>
      </c>
      <c r="D517">
        <v>15</v>
      </c>
      <c r="E517" t="s">
        <v>13</v>
      </c>
      <c r="F517" t="s">
        <v>14</v>
      </c>
      <c r="G517" t="s">
        <v>32</v>
      </c>
      <c r="H517" s="1">
        <v>44353</v>
      </c>
      <c r="I517" t="s">
        <v>601</v>
      </c>
      <c r="J517" t="s">
        <v>71</v>
      </c>
      <c r="K517" t="s">
        <v>86</v>
      </c>
      <c r="L517" t="s">
        <v>125</v>
      </c>
    </row>
    <row r="518" spans="1:12" x14ac:dyDescent="0.25">
      <c r="A518" t="s">
        <v>602</v>
      </c>
      <c r="B518">
        <v>7377</v>
      </c>
      <c r="C518">
        <v>320</v>
      </c>
      <c r="D518">
        <v>15</v>
      </c>
      <c r="E518" t="s">
        <v>13</v>
      </c>
      <c r="F518" t="s">
        <v>28</v>
      </c>
      <c r="G518" t="s">
        <v>32</v>
      </c>
      <c r="H518" s="1">
        <v>44916</v>
      </c>
      <c r="I518" t="s">
        <v>603</v>
      </c>
      <c r="J518" t="s">
        <v>71</v>
      </c>
      <c r="K518" t="s">
        <v>86</v>
      </c>
      <c r="L518" t="s">
        <v>152</v>
      </c>
    </row>
    <row r="519" spans="1:12" x14ac:dyDescent="0.25">
      <c r="A519" t="s">
        <v>602</v>
      </c>
      <c r="B519">
        <v>2054</v>
      </c>
      <c r="C519">
        <v>371</v>
      </c>
      <c r="D519">
        <v>12</v>
      </c>
      <c r="E519" t="s">
        <v>30</v>
      </c>
      <c r="F519" t="s">
        <v>57</v>
      </c>
      <c r="G519" t="s">
        <v>40</v>
      </c>
      <c r="H519" s="1">
        <v>44916</v>
      </c>
      <c r="I519" t="s">
        <v>603</v>
      </c>
      <c r="J519" t="s">
        <v>71</v>
      </c>
      <c r="K519" t="s">
        <v>86</v>
      </c>
      <c r="L519" t="s">
        <v>152</v>
      </c>
    </row>
    <row r="520" spans="1:12" x14ac:dyDescent="0.25">
      <c r="A520" t="s">
        <v>604</v>
      </c>
      <c r="B520">
        <v>7497</v>
      </c>
      <c r="C520">
        <v>319</v>
      </c>
      <c r="D520">
        <v>18</v>
      </c>
      <c r="E520" t="s">
        <v>45</v>
      </c>
      <c r="F520" t="s">
        <v>49</v>
      </c>
      <c r="G520" t="s">
        <v>65</v>
      </c>
      <c r="H520" s="1">
        <v>45334</v>
      </c>
      <c r="I520" t="s">
        <v>605</v>
      </c>
      <c r="J520" t="s">
        <v>21</v>
      </c>
      <c r="K520" t="s">
        <v>172</v>
      </c>
      <c r="L520" t="s">
        <v>218</v>
      </c>
    </row>
    <row r="521" spans="1:12" x14ac:dyDescent="0.25">
      <c r="A521" t="s">
        <v>606</v>
      </c>
      <c r="B521">
        <v>2565</v>
      </c>
      <c r="C521">
        <v>983</v>
      </c>
      <c r="D521">
        <v>20</v>
      </c>
      <c r="E521" t="s">
        <v>13</v>
      </c>
      <c r="F521" t="s">
        <v>14</v>
      </c>
      <c r="G521" t="s">
        <v>32</v>
      </c>
      <c r="H521" s="1">
        <v>44900</v>
      </c>
      <c r="I521" t="s">
        <v>607</v>
      </c>
      <c r="J521" t="s">
        <v>17</v>
      </c>
      <c r="K521" t="s">
        <v>18</v>
      </c>
      <c r="L521" t="s">
        <v>152</v>
      </c>
    </row>
    <row r="522" spans="1:12" x14ac:dyDescent="0.25">
      <c r="A522" t="s">
        <v>606</v>
      </c>
      <c r="B522">
        <v>5024</v>
      </c>
      <c r="C522">
        <v>1544</v>
      </c>
      <c r="D522">
        <v>19</v>
      </c>
      <c r="E522" t="s">
        <v>30</v>
      </c>
      <c r="F522" t="s">
        <v>31</v>
      </c>
      <c r="G522" t="s">
        <v>65</v>
      </c>
      <c r="H522" s="1">
        <v>44900</v>
      </c>
      <c r="I522" t="s">
        <v>607</v>
      </c>
      <c r="J522" t="s">
        <v>17</v>
      </c>
      <c r="K522" t="s">
        <v>18</v>
      </c>
      <c r="L522" t="s">
        <v>152</v>
      </c>
    </row>
    <row r="523" spans="1:12" x14ac:dyDescent="0.25">
      <c r="A523" t="s">
        <v>608</v>
      </c>
      <c r="B523">
        <v>8243</v>
      </c>
      <c r="C523">
        <v>1346</v>
      </c>
      <c r="D523">
        <v>15</v>
      </c>
      <c r="E523" t="s">
        <v>30</v>
      </c>
      <c r="F523" t="s">
        <v>78</v>
      </c>
      <c r="G523" t="s">
        <v>32</v>
      </c>
      <c r="H523" s="1">
        <v>44290</v>
      </c>
      <c r="I523" t="s">
        <v>609</v>
      </c>
      <c r="J523" t="s">
        <v>71</v>
      </c>
      <c r="K523" t="s">
        <v>138</v>
      </c>
      <c r="L523" t="s">
        <v>139</v>
      </c>
    </row>
    <row r="524" spans="1:12" x14ac:dyDescent="0.25">
      <c r="A524" t="s">
        <v>610</v>
      </c>
      <c r="B524">
        <v>7792</v>
      </c>
      <c r="C524">
        <v>1403</v>
      </c>
      <c r="D524">
        <v>13</v>
      </c>
      <c r="E524" t="s">
        <v>30</v>
      </c>
      <c r="F524" t="s">
        <v>64</v>
      </c>
      <c r="G524" t="s">
        <v>15</v>
      </c>
      <c r="H524" s="1">
        <v>44239</v>
      </c>
      <c r="I524" t="s">
        <v>611</v>
      </c>
      <c r="J524" t="s">
        <v>21</v>
      </c>
      <c r="K524" t="s">
        <v>172</v>
      </c>
      <c r="L524" t="s">
        <v>292</v>
      </c>
    </row>
    <row r="525" spans="1:12" x14ac:dyDescent="0.25">
      <c r="A525" t="s">
        <v>610</v>
      </c>
      <c r="B525">
        <v>7792</v>
      </c>
      <c r="C525">
        <v>1403</v>
      </c>
      <c r="D525">
        <v>13</v>
      </c>
      <c r="E525" t="s">
        <v>30</v>
      </c>
      <c r="F525" t="s">
        <v>64</v>
      </c>
      <c r="G525" t="s">
        <v>15</v>
      </c>
      <c r="H525" s="1">
        <v>44922</v>
      </c>
      <c r="I525" t="s">
        <v>612</v>
      </c>
      <c r="J525" t="s">
        <v>25</v>
      </c>
      <c r="K525" t="s">
        <v>68</v>
      </c>
      <c r="L525" t="s">
        <v>152</v>
      </c>
    </row>
    <row r="526" spans="1:12" x14ac:dyDescent="0.25">
      <c r="A526" t="s">
        <v>610</v>
      </c>
      <c r="B526">
        <v>7792</v>
      </c>
      <c r="C526">
        <v>1403</v>
      </c>
      <c r="D526">
        <v>13</v>
      </c>
      <c r="E526" t="s">
        <v>30</v>
      </c>
      <c r="F526" t="s">
        <v>64</v>
      </c>
      <c r="G526" t="s">
        <v>15</v>
      </c>
      <c r="H526" s="1">
        <v>45310</v>
      </c>
      <c r="I526" t="s">
        <v>613</v>
      </c>
      <c r="J526" t="s">
        <v>42</v>
      </c>
      <c r="K526" t="s">
        <v>75</v>
      </c>
      <c r="L526" t="s">
        <v>76</v>
      </c>
    </row>
    <row r="527" spans="1:12" x14ac:dyDescent="0.25">
      <c r="A527" t="s">
        <v>610</v>
      </c>
      <c r="B527">
        <v>2346</v>
      </c>
      <c r="C527">
        <v>388</v>
      </c>
      <c r="D527">
        <v>14</v>
      </c>
      <c r="E527" t="s">
        <v>45</v>
      </c>
      <c r="F527" t="s">
        <v>49</v>
      </c>
      <c r="G527" t="s">
        <v>32</v>
      </c>
      <c r="H527" s="1">
        <v>44239</v>
      </c>
      <c r="I527" t="s">
        <v>611</v>
      </c>
      <c r="J527" t="s">
        <v>21</v>
      </c>
      <c r="K527" t="s">
        <v>172</v>
      </c>
      <c r="L527" t="s">
        <v>292</v>
      </c>
    </row>
    <row r="528" spans="1:12" x14ac:dyDescent="0.25">
      <c r="A528" t="s">
        <v>610</v>
      </c>
      <c r="B528">
        <v>2346</v>
      </c>
      <c r="C528">
        <v>388</v>
      </c>
      <c r="D528">
        <v>14</v>
      </c>
      <c r="E528" t="s">
        <v>45</v>
      </c>
      <c r="F528" t="s">
        <v>49</v>
      </c>
      <c r="G528" t="s">
        <v>32</v>
      </c>
      <c r="H528" s="1">
        <v>44922</v>
      </c>
      <c r="I528" t="s">
        <v>612</v>
      </c>
      <c r="J528" t="s">
        <v>25</v>
      </c>
      <c r="K528" t="s">
        <v>68</v>
      </c>
      <c r="L528" t="s">
        <v>152</v>
      </c>
    </row>
    <row r="529" spans="1:12" x14ac:dyDescent="0.25">
      <c r="A529" t="s">
        <v>610</v>
      </c>
      <c r="B529">
        <v>2346</v>
      </c>
      <c r="C529">
        <v>388</v>
      </c>
      <c r="D529">
        <v>14</v>
      </c>
      <c r="E529" t="s">
        <v>45</v>
      </c>
      <c r="F529" t="s">
        <v>49</v>
      </c>
      <c r="G529" t="s">
        <v>32</v>
      </c>
      <c r="H529" s="1">
        <v>45310</v>
      </c>
      <c r="I529" t="s">
        <v>613</v>
      </c>
      <c r="J529" t="s">
        <v>42</v>
      </c>
      <c r="K529" t="s">
        <v>75</v>
      </c>
      <c r="L529" t="s">
        <v>76</v>
      </c>
    </row>
    <row r="530" spans="1:12" x14ac:dyDescent="0.25">
      <c r="A530" t="s">
        <v>614</v>
      </c>
      <c r="B530">
        <v>7346</v>
      </c>
      <c r="C530">
        <v>1043</v>
      </c>
      <c r="D530">
        <v>10</v>
      </c>
      <c r="E530" t="s">
        <v>45</v>
      </c>
      <c r="F530" t="s">
        <v>60</v>
      </c>
      <c r="G530" t="s">
        <v>47</v>
      </c>
      <c r="H530" s="1">
        <v>44920</v>
      </c>
      <c r="I530" t="s">
        <v>615</v>
      </c>
      <c r="J530" t="s">
        <v>98</v>
      </c>
      <c r="K530" t="s">
        <v>99</v>
      </c>
      <c r="L530" t="s">
        <v>152</v>
      </c>
    </row>
    <row r="531" spans="1:12" x14ac:dyDescent="0.25">
      <c r="A531" t="s">
        <v>614</v>
      </c>
      <c r="B531">
        <v>9770</v>
      </c>
      <c r="C531">
        <v>4132</v>
      </c>
      <c r="D531">
        <v>7</v>
      </c>
      <c r="E531" t="s">
        <v>13</v>
      </c>
      <c r="F531" t="s">
        <v>14</v>
      </c>
      <c r="G531" t="s">
        <v>15</v>
      </c>
      <c r="H531" s="1">
        <v>44920</v>
      </c>
      <c r="I531" t="s">
        <v>615</v>
      </c>
      <c r="J531" t="s">
        <v>98</v>
      </c>
      <c r="K531" t="s">
        <v>99</v>
      </c>
      <c r="L531" t="s">
        <v>152</v>
      </c>
    </row>
    <row r="532" spans="1:12" x14ac:dyDescent="0.25">
      <c r="A532" t="s">
        <v>614</v>
      </c>
      <c r="B532">
        <v>7179</v>
      </c>
      <c r="C532">
        <v>683</v>
      </c>
      <c r="D532">
        <v>13</v>
      </c>
      <c r="E532" t="s">
        <v>13</v>
      </c>
      <c r="F532" t="s">
        <v>39</v>
      </c>
      <c r="G532" t="s">
        <v>47</v>
      </c>
      <c r="H532" s="1">
        <v>44920</v>
      </c>
      <c r="I532" t="s">
        <v>615</v>
      </c>
      <c r="J532" t="s">
        <v>98</v>
      </c>
      <c r="K532" t="s">
        <v>99</v>
      </c>
      <c r="L532" t="s">
        <v>152</v>
      </c>
    </row>
    <row r="533" spans="1:12" x14ac:dyDescent="0.25">
      <c r="A533" t="s">
        <v>616</v>
      </c>
      <c r="B533">
        <v>5449</v>
      </c>
      <c r="C533">
        <v>2389</v>
      </c>
      <c r="D533">
        <v>2</v>
      </c>
      <c r="E533" t="s">
        <v>13</v>
      </c>
      <c r="F533" t="s">
        <v>82</v>
      </c>
      <c r="G533" t="s">
        <v>15</v>
      </c>
      <c r="H533" s="1">
        <v>44840</v>
      </c>
      <c r="I533" t="s">
        <v>617</v>
      </c>
      <c r="J533" t="s">
        <v>17</v>
      </c>
      <c r="K533" t="s">
        <v>18</v>
      </c>
      <c r="L533" t="s">
        <v>96</v>
      </c>
    </row>
    <row r="534" spans="1:12" x14ac:dyDescent="0.25">
      <c r="A534" t="s">
        <v>618</v>
      </c>
      <c r="B534">
        <v>2895</v>
      </c>
      <c r="C534">
        <v>104</v>
      </c>
      <c r="D534">
        <v>6</v>
      </c>
      <c r="E534" t="s">
        <v>45</v>
      </c>
      <c r="F534" t="s">
        <v>49</v>
      </c>
      <c r="G534" t="s">
        <v>65</v>
      </c>
      <c r="H534" s="1">
        <v>43948</v>
      </c>
      <c r="I534" t="s">
        <v>619</v>
      </c>
      <c r="J534" t="s">
        <v>25</v>
      </c>
      <c r="K534" t="s">
        <v>26</v>
      </c>
      <c r="L534" t="s">
        <v>162</v>
      </c>
    </row>
    <row r="535" spans="1:12" x14ac:dyDescent="0.25">
      <c r="A535" t="s">
        <v>618</v>
      </c>
      <c r="B535">
        <v>2895</v>
      </c>
      <c r="C535">
        <v>104</v>
      </c>
      <c r="D535">
        <v>6</v>
      </c>
      <c r="E535" t="s">
        <v>45</v>
      </c>
      <c r="F535" t="s">
        <v>49</v>
      </c>
      <c r="G535" t="s">
        <v>65</v>
      </c>
      <c r="H535" s="1">
        <v>45425</v>
      </c>
      <c r="I535" t="s">
        <v>620</v>
      </c>
      <c r="J535" t="s">
        <v>71</v>
      </c>
      <c r="K535" t="s">
        <v>138</v>
      </c>
      <c r="L535" t="s">
        <v>35</v>
      </c>
    </row>
    <row r="536" spans="1:12" x14ac:dyDescent="0.25">
      <c r="A536" t="s">
        <v>618</v>
      </c>
      <c r="B536">
        <v>697</v>
      </c>
      <c r="C536">
        <v>116</v>
      </c>
      <c r="D536">
        <v>1</v>
      </c>
      <c r="E536" t="s">
        <v>45</v>
      </c>
      <c r="F536" t="s">
        <v>49</v>
      </c>
      <c r="G536" t="s">
        <v>15</v>
      </c>
      <c r="H536" s="1">
        <v>43948</v>
      </c>
      <c r="I536" t="s">
        <v>619</v>
      </c>
      <c r="J536" t="s">
        <v>25</v>
      </c>
      <c r="K536" t="s">
        <v>26</v>
      </c>
      <c r="L536" t="s">
        <v>162</v>
      </c>
    </row>
    <row r="537" spans="1:12" x14ac:dyDescent="0.25">
      <c r="A537" t="s">
        <v>618</v>
      </c>
      <c r="B537">
        <v>697</v>
      </c>
      <c r="C537">
        <v>116</v>
      </c>
      <c r="D537">
        <v>1</v>
      </c>
      <c r="E537" t="s">
        <v>45</v>
      </c>
      <c r="F537" t="s">
        <v>49</v>
      </c>
      <c r="G537" t="s">
        <v>15</v>
      </c>
      <c r="H537" s="1">
        <v>45425</v>
      </c>
      <c r="I537" t="s">
        <v>620</v>
      </c>
      <c r="J537" t="s">
        <v>71</v>
      </c>
      <c r="K537" t="s">
        <v>138</v>
      </c>
      <c r="L537" t="s">
        <v>35</v>
      </c>
    </row>
    <row r="538" spans="1:12" x14ac:dyDescent="0.25">
      <c r="A538" t="s">
        <v>621</v>
      </c>
      <c r="B538">
        <v>6145</v>
      </c>
      <c r="C538">
        <v>1414</v>
      </c>
      <c r="D538">
        <v>4</v>
      </c>
      <c r="E538" t="s">
        <v>45</v>
      </c>
      <c r="F538" t="s">
        <v>49</v>
      </c>
      <c r="G538" t="s">
        <v>65</v>
      </c>
      <c r="H538" s="1">
        <v>44127</v>
      </c>
      <c r="I538" t="s">
        <v>622</v>
      </c>
      <c r="J538" t="s">
        <v>42</v>
      </c>
      <c r="K538" t="s">
        <v>43</v>
      </c>
      <c r="L538" t="s">
        <v>119</v>
      </c>
    </row>
    <row r="539" spans="1:12" x14ac:dyDescent="0.25">
      <c r="A539" t="s">
        <v>621</v>
      </c>
      <c r="B539">
        <v>2504</v>
      </c>
      <c r="C539">
        <v>440</v>
      </c>
      <c r="D539">
        <v>18</v>
      </c>
      <c r="E539" t="s">
        <v>13</v>
      </c>
      <c r="F539" t="s">
        <v>28</v>
      </c>
      <c r="G539" t="s">
        <v>15</v>
      </c>
      <c r="H539" s="1">
        <v>44127</v>
      </c>
      <c r="I539" t="s">
        <v>622</v>
      </c>
      <c r="J539" t="s">
        <v>42</v>
      </c>
      <c r="K539" t="s">
        <v>43</v>
      </c>
      <c r="L539" t="s">
        <v>119</v>
      </c>
    </row>
    <row r="540" spans="1:12" x14ac:dyDescent="0.25">
      <c r="A540" t="s">
        <v>621</v>
      </c>
      <c r="B540">
        <v>3124</v>
      </c>
      <c r="C540">
        <v>138</v>
      </c>
      <c r="D540">
        <v>16</v>
      </c>
      <c r="E540" t="s">
        <v>13</v>
      </c>
      <c r="F540" t="s">
        <v>82</v>
      </c>
      <c r="G540" t="s">
        <v>32</v>
      </c>
      <c r="H540" s="1">
        <v>44127</v>
      </c>
      <c r="I540" t="s">
        <v>622</v>
      </c>
      <c r="J540" t="s">
        <v>42</v>
      </c>
      <c r="K540" t="s">
        <v>43</v>
      </c>
      <c r="L540" t="s">
        <v>119</v>
      </c>
    </row>
    <row r="541" spans="1:12" x14ac:dyDescent="0.25">
      <c r="A541" t="s">
        <v>623</v>
      </c>
      <c r="B541">
        <v>6934</v>
      </c>
      <c r="C541">
        <v>1226</v>
      </c>
      <c r="D541">
        <v>1</v>
      </c>
      <c r="E541" t="s">
        <v>13</v>
      </c>
      <c r="F541" t="s">
        <v>14</v>
      </c>
      <c r="G541" t="s">
        <v>32</v>
      </c>
      <c r="H541" s="1">
        <v>44358</v>
      </c>
      <c r="I541" t="s">
        <v>624</v>
      </c>
      <c r="J541" t="s">
        <v>98</v>
      </c>
      <c r="K541" t="s">
        <v>107</v>
      </c>
      <c r="L541" t="s">
        <v>125</v>
      </c>
    </row>
    <row r="542" spans="1:12" x14ac:dyDescent="0.25">
      <c r="A542" t="s">
        <v>623</v>
      </c>
      <c r="B542">
        <v>6934</v>
      </c>
      <c r="C542">
        <v>1226</v>
      </c>
      <c r="D542">
        <v>1</v>
      </c>
      <c r="E542" t="s">
        <v>13</v>
      </c>
      <c r="F542" t="s">
        <v>14</v>
      </c>
      <c r="G542" t="s">
        <v>32</v>
      </c>
      <c r="H542" s="1">
        <v>44447</v>
      </c>
      <c r="I542" t="s">
        <v>595</v>
      </c>
      <c r="J542" t="s">
        <v>25</v>
      </c>
      <c r="K542" t="s">
        <v>68</v>
      </c>
      <c r="L542" t="s">
        <v>224</v>
      </c>
    </row>
    <row r="543" spans="1:12" x14ac:dyDescent="0.25">
      <c r="A543" t="s">
        <v>625</v>
      </c>
      <c r="B543">
        <v>4202</v>
      </c>
      <c r="C543">
        <v>1171</v>
      </c>
      <c r="D543">
        <v>3</v>
      </c>
      <c r="E543" t="s">
        <v>30</v>
      </c>
      <c r="F543" t="s">
        <v>57</v>
      </c>
      <c r="G543" t="s">
        <v>65</v>
      </c>
      <c r="H543" s="1">
        <v>44888</v>
      </c>
      <c r="I543" t="s">
        <v>626</v>
      </c>
      <c r="J543" t="s">
        <v>21</v>
      </c>
      <c r="K543" t="s">
        <v>172</v>
      </c>
      <c r="L543" t="s">
        <v>44</v>
      </c>
    </row>
    <row r="544" spans="1:12" x14ac:dyDescent="0.25">
      <c r="A544" t="s">
        <v>625</v>
      </c>
      <c r="B544">
        <v>4202</v>
      </c>
      <c r="C544">
        <v>1171</v>
      </c>
      <c r="D544">
        <v>3</v>
      </c>
      <c r="E544" t="s">
        <v>30</v>
      </c>
      <c r="F544" t="s">
        <v>57</v>
      </c>
      <c r="G544" t="s">
        <v>65</v>
      </c>
      <c r="H544" s="1">
        <v>44865</v>
      </c>
      <c r="I544" t="s">
        <v>627</v>
      </c>
      <c r="J544" t="s">
        <v>25</v>
      </c>
      <c r="K544" t="s">
        <v>68</v>
      </c>
      <c r="L544" t="s">
        <v>96</v>
      </c>
    </row>
    <row r="545" spans="1:12" x14ac:dyDescent="0.25">
      <c r="A545" t="s">
        <v>625</v>
      </c>
      <c r="B545">
        <v>4202</v>
      </c>
      <c r="C545">
        <v>1171</v>
      </c>
      <c r="D545">
        <v>3</v>
      </c>
      <c r="E545" t="s">
        <v>30</v>
      </c>
      <c r="F545" t="s">
        <v>57</v>
      </c>
      <c r="G545" t="s">
        <v>65</v>
      </c>
      <c r="H545" s="1">
        <v>45236</v>
      </c>
      <c r="I545" t="s">
        <v>628</v>
      </c>
      <c r="J545" t="s">
        <v>17</v>
      </c>
      <c r="K545" t="s">
        <v>150</v>
      </c>
      <c r="L545" t="s">
        <v>52</v>
      </c>
    </row>
    <row r="546" spans="1:12" x14ac:dyDescent="0.25">
      <c r="A546" t="s">
        <v>625</v>
      </c>
      <c r="B546">
        <v>4202</v>
      </c>
      <c r="C546">
        <v>1171</v>
      </c>
      <c r="D546">
        <v>3</v>
      </c>
      <c r="E546" t="s">
        <v>30</v>
      </c>
      <c r="F546" t="s">
        <v>57</v>
      </c>
      <c r="G546" t="s">
        <v>65</v>
      </c>
      <c r="H546" s="1">
        <v>45242</v>
      </c>
      <c r="I546" t="s">
        <v>629</v>
      </c>
      <c r="J546" t="s">
        <v>71</v>
      </c>
      <c r="K546" t="s">
        <v>138</v>
      </c>
      <c r="L546" t="s">
        <v>52</v>
      </c>
    </row>
    <row r="547" spans="1:12" x14ac:dyDescent="0.25">
      <c r="A547" t="s">
        <v>630</v>
      </c>
      <c r="B547">
        <v>2239</v>
      </c>
      <c r="C547">
        <v>828</v>
      </c>
      <c r="D547">
        <v>1</v>
      </c>
      <c r="E547" t="s">
        <v>13</v>
      </c>
      <c r="F547" t="s">
        <v>28</v>
      </c>
      <c r="G547" t="s">
        <v>15</v>
      </c>
      <c r="H547" s="1">
        <v>45103</v>
      </c>
      <c r="I547" t="s">
        <v>631</v>
      </c>
      <c r="J547" t="s">
        <v>42</v>
      </c>
      <c r="K547" t="s">
        <v>43</v>
      </c>
      <c r="L547" t="s">
        <v>19</v>
      </c>
    </row>
    <row r="548" spans="1:12" x14ac:dyDescent="0.25">
      <c r="A548" t="s">
        <v>630</v>
      </c>
      <c r="B548">
        <v>2239</v>
      </c>
      <c r="C548">
        <v>828</v>
      </c>
      <c r="D548">
        <v>1</v>
      </c>
      <c r="E548" t="s">
        <v>13</v>
      </c>
      <c r="F548" t="s">
        <v>28</v>
      </c>
      <c r="G548" t="s">
        <v>15</v>
      </c>
      <c r="H548" s="1">
        <v>45199</v>
      </c>
      <c r="I548" t="s">
        <v>632</v>
      </c>
      <c r="J548" t="s">
        <v>21</v>
      </c>
      <c r="K548" t="s">
        <v>22</v>
      </c>
      <c r="L548" t="s">
        <v>273</v>
      </c>
    </row>
    <row r="549" spans="1:12" x14ac:dyDescent="0.25">
      <c r="A549" t="s">
        <v>630</v>
      </c>
      <c r="B549">
        <v>2450</v>
      </c>
      <c r="C549">
        <v>1002</v>
      </c>
      <c r="D549">
        <v>4</v>
      </c>
      <c r="E549" t="s">
        <v>13</v>
      </c>
      <c r="F549" t="s">
        <v>82</v>
      </c>
      <c r="G549" t="s">
        <v>32</v>
      </c>
      <c r="H549" s="1">
        <v>45103</v>
      </c>
      <c r="I549" t="s">
        <v>631</v>
      </c>
      <c r="J549" t="s">
        <v>42</v>
      </c>
      <c r="K549" t="s">
        <v>43</v>
      </c>
      <c r="L549" t="s">
        <v>19</v>
      </c>
    </row>
    <row r="550" spans="1:12" x14ac:dyDescent="0.25">
      <c r="A550" t="s">
        <v>630</v>
      </c>
      <c r="B550">
        <v>2450</v>
      </c>
      <c r="C550">
        <v>1002</v>
      </c>
      <c r="D550">
        <v>4</v>
      </c>
      <c r="E550" t="s">
        <v>13</v>
      </c>
      <c r="F550" t="s">
        <v>82</v>
      </c>
      <c r="G550" t="s">
        <v>32</v>
      </c>
      <c r="H550" s="1">
        <v>45199</v>
      </c>
      <c r="I550" t="s">
        <v>632</v>
      </c>
      <c r="J550" t="s">
        <v>21</v>
      </c>
      <c r="K550" t="s">
        <v>22</v>
      </c>
      <c r="L550" t="s">
        <v>273</v>
      </c>
    </row>
    <row r="551" spans="1:12" x14ac:dyDescent="0.25">
      <c r="A551" t="s">
        <v>633</v>
      </c>
      <c r="B551">
        <v>9827</v>
      </c>
      <c r="C551">
        <v>4208</v>
      </c>
      <c r="D551">
        <v>13</v>
      </c>
      <c r="E551" t="s">
        <v>45</v>
      </c>
      <c r="F551" t="s">
        <v>49</v>
      </c>
      <c r="G551" t="s">
        <v>32</v>
      </c>
      <c r="H551" s="1">
        <v>44086</v>
      </c>
      <c r="I551" t="s">
        <v>634</v>
      </c>
      <c r="J551" t="s">
        <v>25</v>
      </c>
      <c r="K551" t="s">
        <v>51</v>
      </c>
      <c r="L551" t="s">
        <v>389</v>
      </c>
    </row>
    <row r="552" spans="1:12" x14ac:dyDescent="0.25">
      <c r="A552" t="s">
        <v>633</v>
      </c>
      <c r="B552">
        <v>8077</v>
      </c>
      <c r="C552">
        <v>240</v>
      </c>
      <c r="D552">
        <v>15</v>
      </c>
      <c r="E552" t="s">
        <v>45</v>
      </c>
      <c r="F552" t="s">
        <v>60</v>
      </c>
      <c r="G552" t="s">
        <v>47</v>
      </c>
      <c r="H552" s="1">
        <v>44086</v>
      </c>
      <c r="I552" t="s">
        <v>634</v>
      </c>
      <c r="J552" t="s">
        <v>25</v>
      </c>
      <c r="K552" t="s">
        <v>51</v>
      </c>
      <c r="L552" t="s">
        <v>389</v>
      </c>
    </row>
    <row r="553" spans="1:12" x14ac:dyDescent="0.25">
      <c r="A553" t="s">
        <v>635</v>
      </c>
      <c r="B553">
        <v>5152</v>
      </c>
      <c r="C553">
        <v>2045</v>
      </c>
      <c r="D553">
        <v>14</v>
      </c>
      <c r="E553" t="s">
        <v>13</v>
      </c>
      <c r="F553" t="s">
        <v>82</v>
      </c>
      <c r="G553" t="s">
        <v>15</v>
      </c>
      <c r="H553" s="1">
        <v>44162</v>
      </c>
      <c r="I553" t="s">
        <v>636</v>
      </c>
      <c r="J553" t="s">
        <v>21</v>
      </c>
      <c r="K553" t="s">
        <v>63</v>
      </c>
      <c r="L553" t="s">
        <v>80</v>
      </c>
    </row>
    <row r="554" spans="1:12" x14ac:dyDescent="0.25">
      <c r="A554" t="s">
        <v>635</v>
      </c>
      <c r="B554">
        <v>5152</v>
      </c>
      <c r="C554">
        <v>2045</v>
      </c>
      <c r="D554">
        <v>14</v>
      </c>
      <c r="E554" t="s">
        <v>13</v>
      </c>
      <c r="F554" t="s">
        <v>82</v>
      </c>
      <c r="G554" t="s">
        <v>15</v>
      </c>
      <c r="H554" s="1">
        <v>44798</v>
      </c>
      <c r="I554" t="s">
        <v>637</v>
      </c>
      <c r="J554" t="s">
        <v>42</v>
      </c>
      <c r="K554" t="s">
        <v>43</v>
      </c>
      <c r="L554" t="s">
        <v>209</v>
      </c>
    </row>
    <row r="555" spans="1:12" x14ac:dyDescent="0.25">
      <c r="A555" t="s">
        <v>635</v>
      </c>
      <c r="B555">
        <v>5152</v>
      </c>
      <c r="C555">
        <v>2045</v>
      </c>
      <c r="D555">
        <v>14</v>
      </c>
      <c r="E555" t="s">
        <v>13</v>
      </c>
      <c r="F555" t="s">
        <v>82</v>
      </c>
      <c r="G555" t="s">
        <v>15</v>
      </c>
      <c r="H555" s="1">
        <v>45161</v>
      </c>
      <c r="I555" t="s">
        <v>638</v>
      </c>
      <c r="J555" t="s">
        <v>21</v>
      </c>
      <c r="K555" t="s">
        <v>22</v>
      </c>
      <c r="L555" t="s">
        <v>121</v>
      </c>
    </row>
    <row r="556" spans="1:12" x14ac:dyDescent="0.25">
      <c r="A556" t="s">
        <v>635</v>
      </c>
      <c r="B556">
        <v>5152</v>
      </c>
      <c r="C556">
        <v>2045</v>
      </c>
      <c r="D556">
        <v>14</v>
      </c>
      <c r="E556" t="s">
        <v>13</v>
      </c>
      <c r="F556" t="s">
        <v>82</v>
      </c>
      <c r="G556" t="s">
        <v>15</v>
      </c>
      <c r="H556" s="1">
        <v>45210</v>
      </c>
      <c r="I556" t="s">
        <v>639</v>
      </c>
      <c r="J556" t="s">
        <v>25</v>
      </c>
      <c r="K556" t="s">
        <v>68</v>
      </c>
      <c r="L556" t="s">
        <v>442</v>
      </c>
    </row>
    <row r="557" spans="1:12" x14ac:dyDescent="0.25">
      <c r="A557" t="s">
        <v>640</v>
      </c>
      <c r="B557">
        <v>2542</v>
      </c>
      <c r="C557">
        <v>190</v>
      </c>
      <c r="D557">
        <v>1</v>
      </c>
      <c r="E557" t="s">
        <v>30</v>
      </c>
      <c r="F557" t="s">
        <v>57</v>
      </c>
      <c r="G557" t="s">
        <v>47</v>
      </c>
      <c r="H557" s="1">
        <v>44672</v>
      </c>
      <c r="I557" t="s">
        <v>641</v>
      </c>
      <c r="J557" t="s">
        <v>71</v>
      </c>
      <c r="K557" t="s">
        <v>138</v>
      </c>
      <c r="L557" t="s">
        <v>187</v>
      </c>
    </row>
    <row r="558" spans="1:12" x14ac:dyDescent="0.25">
      <c r="A558" t="s">
        <v>642</v>
      </c>
      <c r="B558">
        <v>8102</v>
      </c>
      <c r="C558">
        <v>1800</v>
      </c>
      <c r="D558">
        <v>5</v>
      </c>
      <c r="E558" t="s">
        <v>30</v>
      </c>
      <c r="F558" t="s">
        <v>57</v>
      </c>
      <c r="G558" t="s">
        <v>15</v>
      </c>
      <c r="H558" s="1">
        <v>45183</v>
      </c>
      <c r="I558" t="s">
        <v>643</v>
      </c>
      <c r="J558" t="s">
        <v>42</v>
      </c>
      <c r="K558" t="s">
        <v>92</v>
      </c>
      <c r="L558" t="s">
        <v>273</v>
      </c>
    </row>
    <row r="559" spans="1:12" x14ac:dyDescent="0.25">
      <c r="A559" t="s">
        <v>642</v>
      </c>
      <c r="B559">
        <v>8102</v>
      </c>
      <c r="C559">
        <v>1800</v>
      </c>
      <c r="D559">
        <v>5</v>
      </c>
      <c r="E559" t="s">
        <v>30</v>
      </c>
      <c r="F559" t="s">
        <v>57</v>
      </c>
      <c r="G559" t="s">
        <v>15</v>
      </c>
      <c r="H559" s="1">
        <v>43950</v>
      </c>
      <c r="I559" t="s">
        <v>644</v>
      </c>
      <c r="J559" t="s">
        <v>25</v>
      </c>
      <c r="K559" t="s">
        <v>26</v>
      </c>
      <c r="L559" t="s">
        <v>162</v>
      </c>
    </row>
    <row r="560" spans="1:12" x14ac:dyDescent="0.25">
      <c r="A560" t="s">
        <v>642</v>
      </c>
      <c r="B560">
        <v>8102</v>
      </c>
      <c r="C560">
        <v>1800</v>
      </c>
      <c r="D560">
        <v>5</v>
      </c>
      <c r="E560" t="s">
        <v>30</v>
      </c>
      <c r="F560" t="s">
        <v>57</v>
      </c>
      <c r="G560" t="s">
        <v>15</v>
      </c>
      <c r="H560" s="1">
        <v>44180</v>
      </c>
      <c r="I560" t="s">
        <v>645</v>
      </c>
      <c r="J560" t="s">
        <v>98</v>
      </c>
      <c r="K560" t="s">
        <v>117</v>
      </c>
      <c r="L560" t="s">
        <v>287</v>
      </c>
    </row>
    <row r="561" spans="1:12" x14ac:dyDescent="0.25">
      <c r="A561" t="s">
        <v>642</v>
      </c>
      <c r="B561">
        <v>3234</v>
      </c>
      <c r="C561">
        <v>1274</v>
      </c>
      <c r="D561">
        <v>10</v>
      </c>
      <c r="E561" t="s">
        <v>45</v>
      </c>
      <c r="F561" t="s">
        <v>46</v>
      </c>
      <c r="G561" t="s">
        <v>40</v>
      </c>
      <c r="H561" s="1">
        <v>45183</v>
      </c>
      <c r="I561" t="s">
        <v>643</v>
      </c>
      <c r="J561" t="s">
        <v>42</v>
      </c>
      <c r="K561" t="s">
        <v>92</v>
      </c>
      <c r="L561" t="s">
        <v>273</v>
      </c>
    </row>
    <row r="562" spans="1:12" x14ac:dyDescent="0.25">
      <c r="A562" t="s">
        <v>642</v>
      </c>
      <c r="B562">
        <v>3234</v>
      </c>
      <c r="C562">
        <v>1274</v>
      </c>
      <c r="D562">
        <v>10</v>
      </c>
      <c r="E562" t="s">
        <v>45</v>
      </c>
      <c r="F562" t="s">
        <v>46</v>
      </c>
      <c r="G562" t="s">
        <v>40</v>
      </c>
      <c r="H562" s="1">
        <v>43950</v>
      </c>
      <c r="I562" t="s">
        <v>644</v>
      </c>
      <c r="J562" t="s">
        <v>25</v>
      </c>
      <c r="K562" t="s">
        <v>26</v>
      </c>
      <c r="L562" t="s">
        <v>162</v>
      </c>
    </row>
    <row r="563" spans="1:12" x14ac:dyDescent="0.25">
      <c r="A563" t="s">
        <v>642</v>
      </c>
      <c r="B563">
        <v>3234</v>
      </c>
      <c r="C563">
        <v>1274</v>
      </c>
      <c r="D563">
        <v>10</v>
      </c>
      <c r="E563" t="s">
        <v>45</v>
      </c>
      <c r="F563" t="s">
        <v>46</v>
      </c>
      <c r="G563" t="s">
        <v>40</v>
      </c>
      <c r="H563" s="1">
        <v>44180</v>
      </c>
      <c r="I563" t="s">
        <v>645</v>
      </c>
      <c r="J563" t="s">
        <v>98</v>
      </c>
      <c r="K563" t="s">
        <v>117</v>
      </c>
      <c r="L563" t="s">
        <v>287</v>
      </c>
    </row>
    <row r="564" spans="1:12" x14ac:dyDescent="0.25">
      <c r="A564" t="s">
        <v>646</v>
      </c>
      <c r="B564">
        <v>6200</v>
      </c>
      <c r="C564">
        <v>2321</v>
      </c>
      <c r="D564">
        <v>18</v>
      </c>
      <c r="E564" t="s">
        <v>45</v>
      </c>
      <c r="F564" t="s">
        <v>46</v>
      </c>
      <c r="G564" t="s">
        <v>47</v>
      </c>
      <c r="H564" s="1">
        <v>45484</v>
      </c>
      <c r="I564" t="s">
        <v>647</v>
      </c>
      <c r="J564" t="s">
        <v>42</v>
      </c>
      <c r="K564" t="s">
        <v>43</v>
      </c>
      <c r="L564" t="s">
        <v>215</v>
      </c>
    </row>
    <row r="565" spans="1:12" x14ac:dyDescent="0.25">
      <c r="A565" t="s">
        <v>646</v>
      </c>
      <c r="B565">
        <v>6200</v>
      </c>
      <c r="C565">
        <v>2321</v>
      </c>
      <c r="D565">
        <v>18</v>
      </c>
      <c r="E565" t="s">
        <v>45</v>
      </c>
      <c r="F565" t="s">
        <v>46</v>
      </c>
      <c r="G565" t="s">
        <v>47</v>
      </c>
      <c r="H565" s="1">
        <v>45556</v>
      </c>
      <c r="I565" t="s">
        <v>648</v>
      </c>
      <c r="J565" t="s">
        <v>17</v>
      </c>
      <c r="K565" t="s">
        <v>18</v>
      </c>
      <c r="L565" t="s">
        <v>159</v>
      </c>
    </row>
    <row r="566" spans="1:12" x14ac:dyDescent="0.25">
      <c r="A566" t="s">
        <v>649</v>
      </c>
      <c r="B566">
        <v>4470</v>
      </c>
      <c r="C566">
        <v>413</v>
      </c>
      <c r="D566">
        <v>13</v>
      </c>
      <c r="E566" t="s">
        <v>13</v>
      </c>
      <c r="F566" t="s">
        <v>39</v>
      </c>
      <c r="G566" t="s">
        <v>15</v>
      </c>
      <c r="H566" s="1">
        <v>45690</v>
      </c>
      <c r="I566" t="s">
        <v>650</v>
      </c>
      <c r="J566" t="s">
        <v>42</v>
      </c>
      <c r="K566" t="s">
        <v>43</v>
      </c>
      <c r="L566" t="s">
        <v>73</v>
      </c>
    </row>
    <row r="567" spans="1:12" x14ac:dyDescent="0.25">
      <c r="A567" t="s">
        <v>651</v>
      </c>
      <c r="B567">
        <v>916</v>
      </c>
      <c r="C567">
        <v>362</v>
      </c>
      <c r="D567">
        <v>7</v>
      </c>
      <c r="E567" t="s">
        <v>30</v>
      </c>
      <c r="F567" t="s">
        <v>31</v>
      </c>
      <c r="G567" t="s">
        <v>15</v>
      </c>
      <c r="H567" s="1">
        <v>44855</v>
      </c>
      <c r="I567" t="s">
        <v>652</v>
      </c>
      <c r="J567" t="s">
        <v>21</v>
      </c>
      <c r="K567" t="s">
        <v>63</v>
      </c>
      <c r="L567" t="s">
        <v>96</v>
      </c>
    </row>
    <row r="568" spans="1:12" x14ac:dyDescent="0.25">
      <c r="A568" t="s">
        <v>651</v>
      </c>
      <c r="B568">
        <v>916</v>
      </c>
      <c r="C568">
        <v>362</v>
      </c>
      <c r="D568">
        <v>7</v>
      </c>
      <c r="E568" t="s">
        <v>30</v>
      </c>
      <c r="F568" t="s">
        <v>31</v>
      </c>
      <c r="G568" t="s">
        <v>15</v>
      </c>
      <c r="H568" s="1">
        <v>44125</v>
      </c>
      <c r="I568" t="s">
        <v>653</v>
      </c>
      <c r="J568" t="s">
        <v>42</v>
      </c>
      <c r="K568" t="s">
        <v>92</v>
      </c>
      <c r="L568" t="s">
        <v>119</v>
      </c>
    </row>
    <row r="569" spans="1:12" x14ac:dyDescent="0.25">
      <c r="A569" t="s">
        <v>651</v>
      </c>
      <c r="B569">
        <v>1165</v>
      </c>
      <c r="C569">
        <v>302</v>
      </c>
      <c r="D569">
        <v>20</v>
      </c>
      <c r="E569" t="s">
        <v>45</v>
      </c>
      <c r="F569" t="s">
        <v>60</v>
      </c>
      <c r="G569" t="s">
        <v>15</v>
      </c>
      <c r="H569" s="1">
        <v>44855</v>
      </c>
      <c r="I569" t="s">
        <v>652</v>
      </c>
      <c r="J569" t="s">
        <v>21</v>
      </c>
      <c r="K569" t="s">
        <v>63</v>
      </c>
      <c r="L569" t="s">
        <v>96</v>
      </c>
    </row>
    <row r="570" spans="1:12" x14ac:dyDescent="0.25">
      <c r="A570" t="s">
        <v>651</v>
      </c>
      <c r="B570">
        <v>1165</v>
      </c>
      <c r="C570">
        <v>302</v>
      </c>
      <c r="D570">
        <v>20</v>
      </c>
      <c r="E570" t="s">
        <v>45</v>
      </c>
      <c r="F570" t="s">
        <v>60</v>
      </c>
      <c r="G570" t="s">
        <v>15</v>
      </c>
      <c r="H570" s="1">
        <v>44125</v>
      </c>
      <c r="I570" t="s">
        <v>653</v>
      </c>
      <c r="J570" t="s">
        <v>42</v>
      </c>
      <c r="K570" t="s">
        <v>92</v>
      </c>
      <c r="L570" t="s">
        <v>119</v>
      </c>
    </row>
    <row r="571" spans="1:12" x14ac:dyDescent="0.25">
      <c r="A571" t="s">
        <v>651</v>
      </c>
      <c r="B571">
        <v>7846</v>
      </c>
      <c r="C571">
        <v>677</v>
      </c>
      <c r="D571">
        <v>12</v>
      </c>
      <c r="E571" t="s">
        <v>45</v>
      </c>
      <c r="F571" t="s">
        <v>49</v>
      </c>
      <c r="G571" t="s">
        <v>15</v>
      </c>
      <c r="H571" s="1">
        <v>44855</v>
      </c>
      <c r="I571" t="s">
        <v>652</v>
      </c>
      <c r="J571" t="s">
        <v>21</v>
      </c>
      <c r="K571" t="s">
        <v>63</v>
      </c>
      <c r="L571" t="s">
        <v>96</v>
      </c>
    </row>
    <row r="572" spans="1:12" x14ac:dyDescent="0.25">
      <c r="A572" t="s">
        <v>651</v>
      </c>
      <c r="B572">
        <v>7846</v>
      </c>
      <c r="C572">
        <v>677</v>
      </c>
      <c r="D572">
        <v>12</v>
      </c>
      <c r="E572" t="s">
        <v>45</v>
      </c>
      <c r="F572" t="s">
        <v>49</v>
      </c>
      <c r="G572" t="s">
        <v>15</v>
      </c>
      <c r="H572" s="1">
        <v>44125</v>
      </c>
      <c r="I572" t="s">
        <v>653</v>
      </c>
      <c r="J572" t="s">
        <v>42</v>
      </c>
      <c r="K572" t="s">
        <v>92</v>
      </c>
      <c r="L572" t="s">
        <v>119</v>
      </c>
    </row>
    <row r="573" spans="1:12" x14ac:dyDescent="0.25">
      <c r="A573" t="s">
        <v>654</v>
      </c>
      <c r="B573">
        <v>3022</v>
      </c>
      <c r="C573">
        <v>384</v>
      </c>
      <c r="D573">
        <v>1</v>
      </c>
      <c r="E573" t="s">
        <v>30</v>
      </c>
      <c r="F573" t="s">
        <v>31</v>
      </c>
      <c r="G573" t="s">
        <v>47</v>
      </c>
      <c r="H573" s="1">
        <v>44572</v>
      </c>
      <c r="I573" t="s">
        <v>655</v>
      </c>
      <c r="J573" t="s">
        <v>71</v>
      </c>
      <c r="K573" t="s">
        <v>86</v>
      </c>
      <c r="L573" t="s">
        <v>87</v>
      </c>
    </row>
    <row r="574" spans="1:12" x14ac:dyDescent="0.25">
      <c r="A574" t="s">
        <v>654</v>
      </c>
      <c r="B574">
        <v>3022</v>
      </c>
      <c r="C574">
        <v>384</v>
      </c>
      <c r="D574">
        <v>1</v>
      </c>
      <c r="E574" t="s">
        <v>30</v>
      </c>
      <c r="F574" t="s">
        <v>31</v>
      </c>
      <c r="G574" t="s">
        <v>47</v>
      </c>
      <c r="H574" s="1">
        <v>44244</v>
      </c>
      <c r="I574" t="s">
        <v>656</v>
      </c>
      <c r="J574" t="s">
        <v>21</v>
      </c>
      <c r="K574" t="s">
        <v>22</v>
      </c>
      <c r="L574" t="s">
        <v>292</v>
      </c>
    </row>
    <row r="575" spans="1:12" x14ac:dyDescent="0.25">
      <c r="A575" t="s">
        <v>654</v>
      </c>
      <c r="B575">
        <v>5266</v>
      </c>
      <c r="C575">
        <v>1111</v>
      </c>
      <c r="D575">
        <v>13</v>
      </c>
      <c r="E575" t="s">
        <v>13</v>
      </c>
      <c r="F575" t="s">
        <v>14</v>
      </c>
      <c r="G575" t="s">
        <v>32</v>
      </c>
      <c r="H575" s="1">
        <v>44572</v>
      </c>
      <c r="I575" t="s">
        <v>655</v>
      </c>
      <c r="J575" t="s">
        <v>71</v>
      </c>
      <c r="K575" t="s">
        <v>86</v>
      </c>
      <c r="L575" t="s">
        <v>87</v>
      </c>
    </row>
    <row r="576" spans="1:12" x14ac:dyDescent="0.25">
      <c r="A576" t="s">
        <v>654</v>
      </c>
      <c r="B576">
        <v>5266</v>
      </c>
      <c r="C576">
        <v>1111</v>
      </c>
      <c r="D576">
        <v>13</v>
      </c>
      <c r="E576" t="s">
        <v>13</v>
      </c>
      <c r="F576" t="s">
        <v>14</v>
      </c>
      <c r="G576" t="s">
        <v>32</v>
      </c>
      <c r="H576" s="1">
        <v>44244</v>
      </c>
      <c r="I576" t="s">
        <v>656</v>
      </c>
      <c r="J576" t="s">
        <v>21</v>
      </c>
      <c r="K576" t="s">
        <v>22</v>
      </c>
      <c r="L576" t="s">
        <v>292</v>
      </c>
    </row>
    <row r="577" spans="1:12" x14ac:dyDescent="0.25">
      <c r="A577" t="s">
        <v>657</v>
      </c>
      <c r="B577">
        <v>4853</v>
      </c>
      <c r="C577">
        <v>1764</v>
      </c>
      <c r="D577">
        <v>9</v>
      </c>
      <c r="E577" t="s">
        <v>30</v>
      </c>
      <c r="F577" t="s">
        <v>31</v>
      </c>
      <c r="G577" t="s">
        <v>32</v>
      </c>
      <c r="H577" s="1">
        <v>44506</v>
      </c>
      <c r="I577" t="s">
        <v>658</v>
      </c>
      <c r="J577" t="s">
        <v>17</v>
      </c>
      <c r="K577" t="s">
        <v>34</v>
      </c>
      <c r="L577" t="s">
        <v>175</v>
      </c>
    </row>
    <row r="578" spans="1:12" x14ac:dyDescent="0.25">
      <c r="A578" t="s">
        <v>657</v>
      </c>
      <c r="B578">
        <v>4853</v>
      </c>
      <c r="C578">
        <v>1764</v>
      </c>
      <c r="D578">
        <v>9</v>
      </c>
      <c r="E578" t="s">
        <v>30</v>
      </c>
      <c r="F578" t="s">
        <v>31</v>
      </c>
      <c r="G578" t="s">
        <v>32</v>
      </c>
      <c r="H578" s="1">
        <v>44803</v>
      </c>
      <c r="I578" t="s">
        <v>659</v>
      </c>
      <c r="J578" t="s">
        <v>71</v>
      </c>
      <c r="K578" t="s">
        <v>138</v>
      </c>
      <c r="L578" t="s">
        <v>209</v>
      </c>
    </row>
    <row r="579" spans="1:12" x14ac:dyDescent="0.25">
      <c r="A579" t="s">
        <v>660</v>
      </c>
      <c r="B579">
        <v>9832</v>
      </c>
      <c r="C579">
        <v>1270</v>
      </c>
      <c r="D579">
        <v>1</v>
      </c>
      <c r="E579" t="s">
        <v>30</v>
      </c>
      <c r="F579" t="s">
        <v>31</v>
      </c>
      <c r="G579" t="s">
        <v>65</v>
      </c>
      <c r="H579" s="1">
        <v>44841</v>
      </c>
      <c r="I579" t="s">
        <v>661</v>
      </c>
      <c r="J579" t="s">
        <v>42</v>
      </c>
      <c r="K579" t="s">
        <v>92</v>
      </c>
      <c r="L579" t="s">
        <v>96</v>
      </c>
    </row>
    <row r="580" spans="1:12" x14ac:dyDescent="0.25">
      <c r="A580" t="s">
        <v>660</v>
      </c>
      <c r="B580">
        <v>796</v>
      </c>
      <c r="C580">
        <v>153</v>
      </c>
      <c r="D580">
        <v>15</v>
      </c>
      <c r="E580" t="s">
        <v>30</v>
      </c>
      <c r="F580" t="s">
        <v>31</v>
      </c>
      <c r="G580" t="s">
        <v>47</v>
      </c>
      <c r="H580" s="1">
        <v>44841</v>
      </c>
      <c r="I580" t="s">
        <v>661</v>
      </c>
      <c r="J580" t="s">
        <v>42</v>
      </c>
      <c r="K580" t="s">
        <v>92</v>
      </c>
      <c r="L580" t="s">
        <v>96</v>
      </c>
    </row>
    <row r="581" spans="1:12" x14ac:dyDescent="0.25">
      <c r="A581" t="s">
        <v>662</v>
      </c>
      <c r="B581">
        <v>883</v>
      </c>
      <c r="C581">
        <v>127</v>
      </c>
      <c r="D581">
        <v>7</v>
      </c>
      <c r="E581" t="s">
        <v>45</v>
      </c>
      <c r="F581" t="s">
        <v>49</v>
      </c>
      <c r="G581" t="s">
        <v>65</v>
      </c>
      <c r="H581" s="1">
        <v>45081</v>
      </c>
      <c r="I581" t="s">
        <v>663</v>
      </c>
      <c r="J581" t="s">
        <v>42</v>
      </c>
      <c r="K581" t="s">
        <v>92</v>
      </c>
      <c r="L581" t="s">
        <v>19</v>
      </c>
    </row>
    <row r="582" spans="1:12" x14ac:dyDescent="0.25">
      <c r="A582" t="s">
        <v>662</v>
      </c>
      <c r="B582">
        <v>4539</v>
      </c>
      <c r="C582">
        <v>1155</v>
      </c>
      <c r="D582">
        <v>8</v>
      </c>
      <c r="E582" t="s">
        <v>45</v>
      </c>
      <c r="F582" t="s">
        <v>109</v>
      </c>
      <c r="G582" t="s">
        <v>32</v>
      </c>
      <c r="H582" s="1">
        <v>45081</v>
      </c>
      <c r="I582" t="s">
        <v>663</v>
      </c>
      <c r="J582" t="s">
        <v>42</v>
      </c>
      <c r="K582" t="s">
        <v>92</v>
      </c>
      <c r="L582" t="s">
        <v>19</v>
      </c>
    </row>
    <row r="583" spans="1:12" x14ac:dyDescent="0.25">
      <c r="A583" t="s">
        <v>662</v>
      </c>
      <c r="B583">
        <v>9659</v>
      </c>
      <c r="C583">
        <v>2226</v>
      </c>
      <c r="D583">
        <v>16</v>
      </c>
      <c r="E583" t="s">
        <v>30</v>
      </c>
      <c r="F583" t="s">
        <v>78</v>
      </c>
      <c r="G583" t="s">
        <v>32</v>
      </c>
      <c r="H583" s="1">
        <v>45081</v>
      </c>
      <c r="I583" t="s">
        <v>663</v>
      </c>
      <c r="J583" t="s">
        <v>42</v>
      </c>
      <c r="K583" t="s">
        <v>92</v>
      </c>
      <c r="L583" t="s">
        <v>19</v>
      </c>
    </row>
    <row r="584" spans="1:12" x14ac:dyDescent="0.25">
      <c r="A584" t="s">
        <v>664</v>
      </c>
      <c r="B584">
        <v>9562</v>
      </c>
      <c r="C584">
        <v>325</v>
      </c>
      <c r="D584">
        <v>2</v>
      </c>
      <c r="E584" t="s">
        <v>13</v>
      </c>
      <c r="F584" t="s">
        <v>28</v>
      </c>
      <c r="G584" t="s">
        <v>32</v>
      </c>
      <c r="H584" s="1">
        <v>44694</v>
      </c>
      <c r="I584" t="s">
        <v>665</v>
      </c>
      <c r="J584" t="s">
        <v>42</v>
      </c>
      <c r="K584" t="s">
        <v>75</v>
      </c>
      <c r="L584" t="s">
        <v>180</v>
      </c>
    </row>
    <row r="585" spans="1:12" x14ac:dyDescent="0.25">
      <c r="A585" t="s">
        <v>666</v>
      </c>
      <c r="B585">
        <v>4688</v>
      </c>
      <c r="C585">
        <v>1841</v>
      </c>
      <c r="D585">
        <v>3</v>
      </c>
      <c r="E585" t="s">
        <v>13</v>
      </c>
      <c r="F585" t="s">
        <v>39</v>
      </c>
      <c r="G585" t="s">
        <v>47</v>
      </c>
      <c r="H585" s="1">
        <v>44949</v>
      </c>
      <c r="I585" t="s">
        <v>667</v>
      </c>
      <c r="J585" t="s">
        <v>42</v>
      </c>
      <c r="K585" t="s">
        <v>92</v>
      </c>
      <c r="L585" t="s">
        <v>333</v>
      </c>
    </row>
    <row r="586" spans="1:12" x14ac:dyDescent="0.25">
      <c r="A586" t="s">
        <v>666</v>
      </c>
      <c r="B586">
        <v>4688</v>
      </c>
      <c r="C586">
        <v>1841</v>
      </c>
      <c r="D586">
        <v>3</v>
      </c>
      <c r="E586" t="s">
        <v>13</v>
      </c>
      <c r="F586" t="s">
        <v>39</v>
      </c>
      <c r="G586" t="s">
        <v>47</v>
      </c>
      <c r="H586" s="1">
        <v>44402</v>
      </c>
      <c r="I586" t="s">
        <v>668</v>
      </c>
      <c r="J586" t="s">
        <v>42</v>
      </c>
      <c r="K586" t="s">
        <v>75</v>
      </c>
      <c r="L586" t="s">
        <v>27</v>
      </c>
    </row>
    <row r="587" spans="1:12" x14ac:dyDescent="0.25">
      <c r="A587" t="s">
        <v>669</v>
      </c>
      <c r="B587">
        <v>7900</v>
      </c>
      <c r="C587">
        <v>482</v>
      </c>
      <c r="D587">
        <v>4</v>
      </c>
      <c r="E587" t="s">
        <v>13</v>
      </c>
      <c r="F587" t="s">
        <v>82</v>
      </c>
      <c r="G587" t="s">
        <v>65</v>
      </c>
      <c r="H587" s="1">
        <v>45724</v>
      </c>
      <c r="I587" t="s">
        <v>670</v>
      </c>
      <c r="J587" t="s">
        <v>98</v>
      </c>
      <c r="K587" t="s">
        <v>99</v>
      </c>
      <c r="L587" t="s">
        <v>157</v>
      </c>
    </row>
    <row r="588" spans="1:12" x14ac:dyDescent="0.25">
      <c r="A588" t="s">
        <v>671</v>
      </c>
      <c r="B588">
        <v>6967</v>
      </c>
      <c r="C588">
        <v>3257</v>
      </c>
      <c r="D588">
        <v>17</v>
      </c>
      <c r="E588" t="s">
        <v>45</v>
      </c>
      <c r="F588" t="s">
        <v>109</v>
      </c>
      <c r="G588" t="s">
        <v>65</v>
      </c>
      <c r="H588" s="1">
        <v>44920</v>
      </c>
      <c r="I588" t="s">
        <v>672</v>
      </c>
      <c r="J588" t="s">
        <v>98</v>
      </c>
      <c r="K588" t="s">
        <v>107</v>
      </c>
      <c r="L588" t="s">
        <v>152</v>
      </c>
    </row>
    <row r="589" spans="1:12" x14ac:dyDescent="0.25">
      <c r="A589" t="s">
        <v>671</v>
      </c>
      <c r="B589">
        <v>1091</v>
      </c>
      <c r="C589">
        <v>277</v>
      </c>
      <c r="D589">
        <v>6</v>
      </c>
      <c r="E589" t="s">
        <v>30</v>
      </c>
      <c r="F589" t="s">
        <v>64</v>
      </c>
      <c r="G589" t="s">
        <v>65</v>
      </c>
      <c r="H589" s="1">
        <v>44920</v>
      </c>
      <c r="I589" t="s">
        <v>672</v>
      </c>
      <c r="J589" t="s">
        <v>98</v>
      </c>
      <c r="K589" t="s">
        <v>107</v>
      </c>
      <c r="L589" t="s">
        <v>152</v>
      </c>
    </row>
    <row r="590" spans="1:12" x14ac:dyDescent="0.25">
      <c r="A590" t="s">
        <v>671</v>
      </c>
      <c r="B590">
        <v>6027</v>
      </c>
      <c r="C590">
        <v>1530</v>
      </c>
      <c r="D590">
        <v>2</v>
      </c>
      <c r="E590" t="s">
        <v>30</v>
      </c>
      <c r="F590" t="s">
        <v>78</v>
      </c>
      <c r="G590" t="s">
        <v>47</v>
      </c>
      <c r="H590" s="1">
        <v>44920</v>
      </c>
      <c r="I590" t="s">
        <v>672</v>
      </c>
      <c r="J590" t="s">
        <v>98</v>
      </c>
      <c r="K590" t="s">
        <v>107</v>
      </c>
      <c r="L590" t="s">
        <v>152</v>
      </c>
    </row>
    <row r="591" spans="1:12" x14ac:dyDescent="0.25">
      <c r="A591" t="s">
        <v>673</v>
      </c>
      <c r="B591">
        <v>4852</v>
      </c>
      <c r="C591">
        <v>218</v>
      </c>
      <c r="D591">
        <v>2</v>
      </c>
      <c r="E591" t="s">
        <v>45</v>
      </c>
      <c r="F591" t="s">
        <v>46</v>
      </c>
      <c r="G591" t="s">
        <v>40</v>
      </c>
      <c r="H591" s="1">
        <v>45406</v>
      </c>
      <c r="I591" t="s">
        <v>674</v>
      </c>
      <c r="J591" t="s">
        <v>71</v>
      </c>
      <c r="K591" t="s">
        <v>72</v>
      </c>
      <c r="L591" t="s">
        <v>235</v>
      </c>
    </row>
    <row r="592" spans="1:12" x14ac:dyDescent="0.25">
      <c r="A592" t="s">
        <v>673</v>
      </c>
      <c r="B592">
        <v>4852</v>
      </c>
      <c r="C592">
        <v>218</v>
      </c>
      <c r="D592">
        <v>2</v>
      </c>
      <c r="E592" t="s">
        <v>45</v>
      </c>
      <c r="F592" t="s">
        <v>46</v>
      </c>
      <c r="G592" t="s">
        <v>40</v>
      </c>
      <c r="H592" s="1">
        <v>44554</v>
      </c>
      <c r="I592" t="s">
        <v>675</v>
      </c>
      <c r="J592" t="s">
        <v>17</v>
      </c>
      <c r="K592" t="s">
        <v>150</v>
      </c>
      <c r="L592" t="s">
        <v>90</v>
      </c>
    </row>
    <row r="593" spans="1:12" x14ac:dyDescent="0.25">
      <c r="A593" t="s">
        <v>673</v>
      </c>
      <c r="B593">
        <v>4852</v>
      </c>
      <c r="C593">
        <v>218</v>
      </c>
      <c r="D593">
        <v>2</v>
      </c>
      <c r="E593" t="s">
        <v>45</v>
      </c>
      <c r="F593" t="s">
        <v>46</v>
      </c>
      <c r="G593" t="s">
        <v>40</v>
      </c>
      <c r="H593" s="1">
        <v>45176</v>
      </c>
      <c r="I593" t="s">
        <v>676</v>
      </c>
      <c r="J593" t="s">
        <v>21</v>
      </c>
      <c r="K593" t="s">
        <v>63</v>
      </c>
      <c r="L593" t="s">
        <v>273</v>
      </c>
    </row>
    <row r="594" spans="1:12" x14ac:dyDescent="0.25">
      <c r="A594" t="s">
        <v>677</v>
      </c>
      <c r="B594">
        <v>4314</v>
      </c>
      <c r="C594">
        <v>1453</v>
      </c>
      <c r="D594">
        <v>6</v>
      </c>
      <c r="E594" t="s">
        <v>45</v>
      </c>
      <c r="F594" t="s">
        <v>60</v>
      </c>
      <c r="G594" t="s">
        <v>65</v>
      </c>
      <c r="H594" s="1">
        <v>44418</v>
      </c>
      <c r="I594" t="s">
        <v>678</v>
      </c>
      <c r="J594" t="s">
        <v>17</v>
      </c>
      <c r="K594" t="s">
        <v>150</v>
      </c>
      <c r="L594" t="s">
        <v>178</v>
      </c>
    </row>
    <row r="595" spans="1:12" x14ac:dyDescent="0.25">
      <c r="A595" t="s">
        <v>679</v>
      </c>
      <c r="B595">
        <v>3288</v>
      </c>
      <c r="C595">
        <v>1477</v>
      </c>
      <c r="D595">
        <v>3</v>
      </c>
      <c r="E595" t="s">
        <v>30</v>
      </c>
      <c r="F595" t="s">
        <v>31</v>
      </c>
      <c r="G595" t="s">
        <v>40</v>
      </c>
      <c r="H595" s="1">
        <v>45438</v>
      </c>
      <c r="I595" t="s">
        <v>680</v>
      </c>
      <c r="J595" t="s">
        <v>71</v>
      </c>
      <c r="K595" t="s">
        <v>86</v>
      </c>
      <c r="L595" t="s">
        <v>35</v>
      </c>
    </row>
    <row r="596" spans="1:12" x14ac:dyDescent="0.25">
      <c r="A596" t="s">
        <v>679</v>
      </c>
      <c r="B596">
        <v>3288</v>
      </c>
      <c r="C596">
        <v>1477</v>
      </c>
      <c r="D596">
        <v>3</v>
      </c>
      <c r="E596" t="s">
        <v>30</v>
      </c>
      <c r="F596" t="s">
        <v>31</v>
      </c>
      <c r="G596" t="s">
        <v>40</v>
      </c>
      <c r="H596" s="1">
        <v>44611</v>
      </c>
      <c r="I596" t="s">
        <v>681</v>
      </c>
      <c r="J596" t="s">
        <v>21</v>
      </c>
      <c r="K596" t="s">
        <v>63</v>
      </c>
      <c r="L596" t="s">
        <v>137</v>
      </c>
    </row>
    <row r="597" spans="1:12" x14ac:dyDescent="0.25">
      <c r="A597" t="s">
        <v>682</v>
      </c>
      <c r="B597">
        <v>3977</v>
      </c>
      <c r="C597">
        <v>813</v>
      </c>
      <c r="D597">
        <v>5</v>
      </c>
      <c r="E597" t="s">
        <v>30</v>
      </c>
      <c r="F597" t="s">
        <v>78</v>
      </c>
      <c r="G597" t="s">
        <v>47</v>
      </c>
      <c r="H597" s="1">
        <v>45635</v>
      </c>
      <c r="I597" t="s">
        <v>683</v>
      </c>
      <c r="J597" t="s">
        <v>25</v>
      </c>
      <c r="K597" t="s">
        <v>51</v>
      </c>
      <c r="L597" t="s">
        <v>23</v>
      </c>
    </row>
    <row r="598" spans="1:12" x14ac:dyDescent="0.25">
      <c r="A598" t="s">
        <v>684</v>
      </c>
      <c r="B598">
        <v>6252</v>
      </c>
      <c r="C598">
        <v>1377</v>
      </c>
      <c r="D598">
        <v>2</v>
      </c>
      <c r="E598" t="s">
        <v>13</v>
      </c>
      <c r="F598" t="s">
        <v>28</v>
      </c>
      <c r="G598" t="s">
        <v>40</v>
      </c>
      <c r="H598" s="1">
        <v>45078</v>
      </c>
      <c r="I598" t="s">
        <v>685</v>
      </c>
      <c r="J598" t="s">
        <v>21</v>
      </c>
      <c r="K598" t="s">
        <v>22</v>
      </c>
      <c r="L598" t="s">
        <v>19</v>
      </c>
    </row>
    <row r="599" spans="1:12" x14ac:dyDescent="0.25">
      <c r="A599" t="s">
        <v>686</v>
      </c>
      <c r="B599">
        <v>9084</v>
      </c>
      <c r="C599">
        <v>3253</v>
      </c>
      <c r="D599">
        <v>12</v>
      </c>
      <c r="E599" t="s">
        <v>30</v>
      </c>
      <c r="F599" t="s">
        <v>31</v>
      </c>
      <c r="G599" t="s">
        <v>32</v>
      </c>
      <c r="H599" s="1">
        <v>45235</v>
      </c>
      <c r="I599" t="s">
        <v>687</v>
      </c>
      <c r="J599" t="s">
        <v>25</v>
      </c>
      <c r="K599" t="s">
        <v>26</v>
      </c>
      <c r="L599" t="s">
        <v>52</v>
      </c>
    </row>
    <row r="600" spans="1:12" x14ac:dyDescent="0.25">
      <c r="A600" t="s">
        <v>688</v>
      </c>
      <c r="B600">
        <v>8994</v>
      </c>
      <c r="C600">
        <v>1481</v>
      </c>
      <c r="D600">
        <v>15</v>
      </c>
      <c r="E600" t="s">
        <v>13</v>
      </c>
      <c r="F600" t="s">
        <v>82</v>
      </c>
      <c r="G600" t="s">
        <v>47</v>
      </c>
      <c r="H600" s="1">
        <v>44003</v>
      </c>
      <c r="I600" t="s">
        <v>689</v>
      </c>
      <c r="J600" t="s">
        <v>42</v>
      </c>
      <c r="K600" t="s">
        <v>75</v>
      </c>
      <c r="L600" t="s">
        <v>313</v>
      </c>
    </row>
    <row r="601" spans="1:12" x14ac:dyDescent="0.25">
      <c r="A601" t="s">
        <v>690</v>
      </c>
      <c r="B601">
        <v>1089</v>
      </c>
      <c r="C601">
        <v>176</v>
      </c>
      <c r="D601">
        <v>16</v>
      </c>
      <c r="E601" t="s">
        <v>30</v>
      </c>
      <c r="F601" t="s">
        <v>57</v>
      </c>
      <c r="G601" t="s">
        <v>40</v>
      </c>
      <c r="H601" s="1">
        <v>44130</v>
      </c>
      <c r="I601" t="s">
        <v>691</v>
      </c>
      <c r="J601" t="s">
        <v>71</v>
      </c>
      <c r="K601" t="s">
        <v>72</v>
      </c>
      <c r="L601" t="s">
        <v>119</v>
      </c>
    </row>
    <row r="602" spans="1:12" x14ac:dyDescent="0.25">
      <c r="A602" t="s">
        <v>692</v>
      </c>
      <c r="B602">
        <v>6690</v>
      </c>
      <c r="C602">
        <v>1001</v>
      </c>
      <c r="D602">
        <v>19</v>
      </c>
      <c r="E602" t="s">
        <v>30</v>
      </c>
      <c r="F602" t="s">
        <v>78</v>
      </c>
      <c r="G602" t="s">
        <v>15</v>
      </c>
      <c r="H602" s="1">
        <v>44718</v>
      </c>
      <c r="I602" t="s">
        <v>693</v>
      </c>
      <c r="J602" t="s">
        <v>21</v>
      </c>
      <c r="K602" t="s">
        <v>63</v>
      </c>
      <c r="L602" t="s">
        <v>165</v>
      </c>
    </row>
    <row r="603" spans="1:12" x14ac:dyDescent="0.25">
      <c r="A603" t="s">
        <v>692</v>
      </c>
      <c r="B603">
        <v>6690</v>
      </c>
      <c r="C603">
        <v>1001</v>
      </c>
      <c r="D603">
        <v>19</v>
      </c>
      <c r="E603" t="s">
        <v>30</v>
      </c>
      <c r="F603" t="s">
        <v>78</v>
      </c>
      <c r="G603" t="s">
        <v>15</v>
      </c>
      <c r="H603" s="1">
        <v>44513</v>
      </c>
      <c r="I603" t="s">
        <v>694</v>
      </c>
      <c r="J603" t="s">
        <v>21</v>
      </c>
      <c r="K603" t="s">
        <v>22</v>
      </c>
      <c r="L603" t="s">
        <v>175</v>
      </c>
    </row>
    <row r="604" spans="1:12" x14ac:dyDescent="0.25">
      <c r="A604" t="s">
        <v>692</v>
      </c>
      <c r="B604">
        <v>4985</v>
      </c>
      <c r="C604">
        <v>1920</v>
      </c>
      <c r="D604">
        <v>10</v>
      </c>
      <c r="E604" t="s">
        <v>45</v>
      </c>
      <c r="F604" t="s">
        <v>109</v>
      </c>
      <c r="G604" t="s">
        <v>47</v>
      </c>
      <c r="H604" s="1">
        <v>44718</v>
      </c>
      <c r="I604" t="s">
        <v>693</v>
      </c>
      <c r="J604" t="s">
        <v>21</v>
      </c>
      <c r="K604" t="s">
        <v>63</v>
      </c>
      <c r="L604" t="s">
        <v>165</v>
      </c>
    </row>
    <row r="605" spans="1:12" x14ac:dyDescent="0.25">
      <c r="A605" t="s">
        <v>692</v>
      </c>
      <c r="B605">
        <v>4985</v>
      </c>
      <c r="C605">
        <v>1920</v>
      </c>
      <c r="D605">
        <v>10</v>
      </c>
      <c r="E605" t="s">
        <v>45</v>
      </c>
      <c r="F605" t="s">
        <v>109</v>
      </c>
      <c r="G605" t="s">
        <v>47</v>
      </c>
      <c r="H605" s="1">
        <v>44513</v>
      </c>
      <c r="I605" t="s">
        <v>694</v>
      </c>
      <c r="J605" t="s">
        <v>21</v>
      </c>
      <c r="K605" t="s">
        <v>22</v>
      </c>
      <c r="L605" t="s">
        <v>175</v>
      </c>
    </row>
    <row r="606" spans="1:12" x14ac:dyDescent="0.25">
      <c r="A606" t="s">
        <v>695</v>
      </c>
      <c r="B606">
        <v>8590</v>
      </c>
      <c r="C606">
        <v>3565</v>
      </c>
      <c r="D606">
        <v>15</v>
      </c>
      <c r="E606" t="s">
        <v>13</v>
      </c>
      <c r="F606" t="s">
        <v>14</v>
      </c>
      <c r="G606" t="s">
        <v>40</v>
      </c>
      <c r="H606" s="1">
        <v>44511</v>
      </c>
      <c r="I606" t="s">
        <v>696</v>
      </c>
      <c r="J606" t="s">
        <v>17</v>
      </c>
      <c r="K606" t="s">
        <v>18</v>
      </c>
      <c r="L606" t="s">
        <v>175</v>
      </c>
    </row>
    <row r="607" spans="1:12" x14ac:dyDescent="0.25">
      <c r="A607" t="s">
        <v>695</v>
      </c>
      <c r="B607">
        <v>6973</v>
      </c>
      <c r="C607">
        <v>3038</v>
      </c>
      <c r="D607">
        <v>10</v>
      </c>
      <c r="E607" t="s">
        <v>45</v>
      </c>
      <c r="F607" t="s">
        <v>46</v>
      </c>
      <c r="G607" t="s">
        <v>65</v>
      </c>
      <c r="H607" s="1">
        <v>44511</v>
      </c>
      <c r="I607" t="s">
        <v>696</v>
      </c>
      <c r="J607" t="s">
        <v>17</v>
      </c>
      <c r="K607" t="s">
        <v>18</v>
      </c>
      <c r="L607" t="s">
        <v>175</v>
      </c>
    </row>
    <row r="608" spans="1:12" x14ac:dyDescent="0.25">
      <c r="A608" t="s">
        <v>697</v>
      </c>
      <c r="B608">
        <v>4591</v>
      </c>
      <c r="C608">
        <v>1941</v>
      </c>
      <c r="D608">
        <v>19</v>
      </c>
      <c r="E608" t="s">
        <v>13</v>
      </c>
      <c r="F608" t="s">
        <v>28</v>
      </c>
      <c r="G608" t="s">
        <v>40</v>
      </c>
      <c r="H608" s="1">
        <v>44408</v>
      </c>
      <c r="I608" t="s">
        <v>476</v>
      </c>
      <c r="J608" t="s">
        <v>71</v>
      </c>
      <c r="K608" t="s">
        <v>72</v>
      </c>
      <c r="L608" t="s">
        <v>27</v>
      </c>
    </row>
    <row r="609" spans="1:12" x14ac:dyDescent="0.25">
      <c r="A609" t="s">
        <v>697</v>
      </c>
      <c r="B609">
        <v>9612</v>
      </c>
      <c r="C609">
        <v>2572</v>
      </c>
      <c r="D609">
        <v>17</v>
      </c>
      <c r="E609" t="s">
        <v>30</v>
      </c>
      <c r="F609" t="s">
        <v>31</v>
      </c>
      <c r="G609" t="s">
        <v>47</v>
      </c>
      <c r="H609" s="1">
        <v>44408</v>
      </c>
      <c r="I609" t="s">
        <v>476</v>
      </c>
      <c r="J609" t="s">
        <v>71</v>
      </c>
      <c r="K609" t="s">
        <v>72</v>
      </c>
      <c r="L609" t="s">
        <v>27</v>
      </c>
    </row>
    <row r="610" spans="1:12" x14ac:dyDescent="0.25">
      <c r="A610" t="s">
        <v>698</v>
      </c>
      <c r="B610">
        <v>5343</v>
      </c>
      <c r="C610">
        <v>655</v>
      </c>
      <c r="D610">
        <v>1</v>
      </c>
      <c r="E610" t="s">
        <v>45</v>
      </c>
      <c r="F610" t="s">
        <v>49</v>
      </c>
      <c r="G610" t="s">
        <v>40</v>
      </c>
      <c r="H610" s="1">
        <v>45395</v>
      </c>
      <c r="I610" t="s">
        <v>699</v>
      </c>
      <c r="J610" t="s">
        <v>42</v>
      </c>
      <c r="K610" t="s">
        <v>75</v>
      </c>
      <c r="L610" t="s">
        <v>235</v>
      </c>
    </row>
    <row r="611" spans="1:12" x14ac:dyDescent="0.25">
      <c r="A611" t="s">
        <v>700</v>
      </c>
      <c r="B611">
        <v>6956</v>
      </c>
      <c r="C611">
        <v>318</v>
      </c>
      <c r="D611">
        <v>20</v>
      </c>
      <c r="E611" t="s">
        <v>30</v>
      </c>
      <c r="F611" t="s">
        <v>57</v>
      </c>
      <c r="G611" t="s">
        <v>32</v>
      </c>
      <c r="H611" s="1">
        <v>44670</v>
      </c>
      <c r="I611" t="s">
        <v>701</v>
      </c>
      <c r="J611" t="s">
        <v>21</v>
      </c>
      <c r="K611" t="s">
        <v>63</v>
      </c>
      <c r="L611" t="s">
        <v>187</v>
      </c>
    </row>
    <row r="612" spans="1:12" x14ac:dyDescent="0.25">
      <c r="A612" t="s">
        <v>702</v>
      </c>
      <c r="B612">
        <v>5306</v>
      </c>
      <c r="C612">
        <v>2405</v>
      </c>
      <c r="D612">
        <v>17</v>
      </c>
      <c r="E612" t="s">
        <v>45</v>
      </c>
      <c r="F612" t="s">
        <v>46</v>
      </c>
      <c r="G612" t="s">
        <v>40</v>
      </c>
      <c r="H612" s="1">
        <v>45374</v>
      </c>
      <c r="I612" t="s">
        <v>703</v>
      </c>
      <c r="J612" t="s">
        <v>25</v>
      </c>
      <c r="K612" t="s">
        <v>26</v>
      </c>
      <c r="L612" t="s">
        <v>338</v>
      </c>
    </row>
    <row r="613" spans="1:12" x14ac:dyDescent="0.25">
      <c r="A613" t="s">
        <v>704</v>
      </c>
      <c r="B613">
        <v>8982</v>
      </c>
      <c r="C613">
        <v>448</v>
      </c>
      <c r="D613">
        <v>17</v>
      </c>
      <c r="E613" t="s">
        <v>45</v>
      </c>
      <c r="F613" t="s">
        <v>60</v>
      </c>
      <c r="G613" t="s">
        <v>15</v>
      </c>
      <c r="H613" s="1">
        <v>44323</v>
      </c>
      <c r="I613" t="s">
        <v>705</v>
      </c>
      <c r="J613" t="s">
        <v>25</v>
      </c>
      <c r="K613" t="s">
        <v>51</v>
      </c>
      <c r="L613" t="s">
        <v>108</v>
      </c>
    </row>
    <row r="614" spans="1:12" x14ac:dyDescent="0.25">
      <c r="A614" t="s">
        <v>704</v>
      </c>
      <c r="B614">
        <v>4826</v>
      </c>
      <c r="C614">
        <v>562</v>
      </c>
      <c r="D614">
        <v>5</v>
      </c>
      <c r="E614" t="s">
        <v>30</v>
      </c>
      <c r="F614" t="s">
        <v>64</v>
      </c>
      <c r="G614" t="s">
        <v>32</v>
      </c>
      <c r="H614" s="1">
        <v>44323</v>
      </c>
      <c r="I614" t="s">
        <v>705</v>
      </c>
      <c r="J614" t="s">
        <v>25</v>
      </c>
      <c r="K614" t="s">
        <v>51</v>
      </c>
      <c r="L614" t="s">
        <v>108</v>
      </c>
    </row>
    <row r="615" spans="1:12" x14ac:dyDescent="0.25">
      <c r="A615" t="s">
        <v>706</v>
      </c>
      <c r="B615">
        <v>972</v>
      </c>
      <c r="C615">
        <v>106</v>
      </c>
      <c r="D615">
        <v>15</v>
      </c>
      <c r="E615" t="s">
        <v>30</v>
      </c>
      <c r="F615" t="s">
        <v>31</v>
      </c>
      <c r="G615" t="s">
        <v>40</v>
      </c>
      <c r="H615" s="1">
        <v>44687</v>
      </c>
      <c r="I615" t="s">
        <v>707</v>
      </c>
      <c r="J615" t="s">
        <v>98</v>
      </c>
      <c r="K615" t="s">
        <v>107</v>
      </c>
      <c r="L615" t="s">
        <v>180</v>
      </c>
    </row>
    <row r="616" spans="1:12" x14ac:dyDescent="0.25">
      <c r="A616" t="s">
        <v>708</v>
      </c>
      <c r="B616">
        <v>3665</v>
      </c>
      <c r="C616">
        <v>802</v>
      </c>
      <c r="D616">
        <v>4</v>
      </c>
      <c r="E616" t="s">
        <v>30</v>
      </c>
      <c r="F616" t="s">
        <v>57</v>
      </c>
      <c r="G616" t="s">
        <v>47</v>
      </c>
      <c r="H616" s="1">
        <v>44417</v>
      </c>
      <c r="I616" t="s">
        <v>709</v>
      </c>
      <c r="J616" t="s">
        <v>17</v>
      </c>
      <c r="K616" t="s">
        <v>18</v>
      </c>
      <c r="L616" t="s">
        <v>178</v>
      </c>
    </row>
    <row r="617" spans="1:12" x14ac:dyDescent="0.25">
      <c r="A617" t="s">
        <v>708</v>
      </c>
      <c r="B617">
        <v>3665</v>
      </c>
      <c r="C617">
        <v>802</v>
      </c>
      <c r="D617">
        <v>4</v>
      </c>
      <c r="E617" t="s">
        <v>30</v>
      </c>
      <c r="F617" t="s">
        <v>57</v>
      </c>
      <c r="G617" t="s">
        <v>47</v>
      </c>
      <c r="H617" s="1">
        <v>45697</v>
      </c>
      <c r="I617" t="s">
        <v>710</v>
      </c>
      <c r="J617" t="s">
        <v>17</v>
      </c>
      <c r="K617" t="s">
        <v>150</v>
      </c>
      <c r="L617" t="s">
        <v>73</v>
      </c>
    </row>
    <row r="618" spans="1:12" x14ac:dyDescent="0.25">
      <c r="A618" t="s">
        <v>711</v>
      </c>
      <c r="B618">
        <v>9808</v>
      </c>
      <c r="C618">
        <v>2117</v>
      </c>
      <c r="D618">
        <v>2</v>
      </c>
      <c r="E618" t="s">
        <v>30</v>
      </c>
      <c r="F618" t="s">
        <v>31</v>
      </c>
      <c r="G618" t="s">
        <v>15</v>
      </c>
      <c r="H618" s="1">
        <v>45405</v>
      </c>
      <c r="I618" t="s">
        <v>712</v>
      </c>
      <c r="J618" t="s">
        <v>42</v>
      </c>
      <c r="K618" t="s">
        <v>43</v>
      </c>
      <c r="L618" t="s">
        <v>235</v>
      </c>
    </row>
    <row r="619" spans="1:12" x14ac:dyDescent="0.25">
      <c r="A619" t="s">
        <v>713</v>
      </c>
      <c r="B619">
        <v>1133</v>
      </c>
      <c r="C619">
        <v>73</v>
      </c>
      <c r="D619">
        <v>17</v>
      </c>
      <c r="E619" t="s">
        <v>45</v>
      </c>
      <c r="F619" t="s">
        <v>49</v>
      </c>
      <c r="G619" t="s">
        <v>15</v>
      </c>
      <c r="H619" s="1">
        <v>44980</v>
      </c>
      <c r="I619" t="s">
        <v>714</v>
      </c>
      <c r="J619" t="s">
        <v>98</v>
      </c>
      <c r="K619" t="s">
        <v>117</v>
      </c>
      <c r="L619" t="s">
        <v>93</v>
      </c>
    </row>
    <row r="620" spans="1:12" x14ac:dyDescent="0.25">
      <c r="A620" t="s">
        <v>713</v>
      </c>
      <c r="B620">
        <v>1133</v>
      </c>
      <c r="C620">
        <v>73</v>
      </c>
      <c r="D620">
        <v>17</v>
      </c>
      <c r="E620" t="s">
        <v>45</v>
      </c>
      <c r="F620" t="s">
        <v>49</v>
      </c>
      <c r="G620" t="s">
        <v>15</v>
      </c>
      <c r="H620" s="1">
        <v>45449</v>
      </c>
      <c r="I620" t="s">
        <v>715</v>
      </c>
      <c r="J620" t="s">
        <v>42</v>
      </c>
      <c r="K620" t="s">
        <v>75</v>
      </c>
      <c r="L620" t="s">
        <v>262</v>
      </c>
    </row>
    <row r="621" spans="1:12" x14ac:dyDescent="0.25">
      <c r="A621" t="s">
        <v>713</v>
      </c>
      <c r="B621">
        <v>6248</v>
      </c>
      <c r="C621">
        <v>1168</v>
      </c>
      <c r="D621">
        <v>19</v>
      </c>
      <c r="E621" t="s">
        <v>45</v>
      </c>
      <c r="F621" t="s">
        <v>109</v>
      </c>
      <c r="G621" t="s">
        <v>65</v>
      </c>
      <c r="H621" s="1">
        <v>44980</v>
      </c>
      <c r="I621" t="s">
        <v>714</v>
      </c>
      <c r="J621" t="s">
        <v>98</v>
      </c>
      <c r="K621" t="s">
        <v>117</v>
      </c>
      <c r="L621" t="s">
        <v>93</v>
      </c>
    </row>
    <row r="622" spans="1:12" x14ac:dyDescent="0.25">
      <c r="A622" t="s">
        <v>713</v>
      </c>
      <c r="B622">
        <v>6248</v>
      </c>
      <c r="C622">
        <v>1168</v>
      </c>
      <c r="D622">
        <v>19</v>
      </c>
      <c r="E622" t="s">
        <v>45</v>
      </c>
      <c r="F622" t="s">
        <v>109</v>
      </c>
      <c r="G622" t="s">
        <v>65</v>
      </c>
      <c r="H622" s="1">
        <v>45449</v>
      </c>
      <c r="I622" t="s">
        <v>715</v>
      </c>
      <c r="J622" t="s">
        <v>42</v>
      </c>
      <c r="K622" t="s">
        <v>75</v>
      </c>
      <c r="L622" t="s">
        <v>262</v>
      </c>
    </row>
    <row r="623" spans="1:12" x14ac:dyDescent="0.25">
      <c r="A623" t="s">
        <v>716</v>
      </c>
      <c r="B623">
        <v>5666</v>
      </c>
      <c r="C623">
        <v>2733</v>
      </c>
      <c r="D623">
        <v>17</v>
      </c>
      <c r="E623" t="s">
        <v>13</v>
      </c>
      <c r="F623" t="s">
        <v>14</v>
      </c>
      <c r="G623" t="s">
        <v>47</v>
      </c>
      <c r="H623" s="1">
        <v>45684</v>
      </c>
      <c r="I623" t="s">
        <v>717</v>
      </c>
      <c r="J623" t="s">
        <v>17</v>
      </c>
      <c r="K623" t="s">
        <v>150</v>
      </c>
      <c r="L623" t="s">
        <v>308</v>
      </c>
    </row>
    <row r="624" spans="1:12" x14ac:dyDescent="0.25">
      <c r="A624" t="s">
        <v>718</v>
      </c>
      <c r="B624">
        <v>4171</v>
      </c>
      <c r="C624">
        <v>1450</v>
      </c>
      <c r="D624">
        <v>18</v>
      </c>
      <c r="E624" t="s">
        <v>30</v>
      </c>
      <c r="F624" t="s">
        <v>57</v>
      </c>
      <c r="G624" t="s">
        <v>65</v>
      </c>
      <c r="H624" s="1">
        <v>45023</v>
      </c>
      <c r="I624" t="s">
        <v>719</v>
      </c>
      <c r="J624" t="s">
        <v>71</v>
      </c>
      <c r="K624" t="s">
        <v>72</v>
      </c>
      <c r="L624" t="s">
        <v>145</v>
      </c>
    </row>
    <row r="625" spans="1:12" x14ac:dyDescent="0.25">
      <c r="A625" t="s">
        <v>720</v>
      </c>
      <c r="B625">
        <v>6236</v>
      </c>
      <c r="C625">
        <v>2839</v>
      </c>
      <c r="D625">
        <v>7</v>
      </c>
      <c r="E625" t="s">
        <v>13</v>
      </c>
      <c r="F625" t="s">
        <v>28</v>
      </c>
      <c r="G625" t="s">
        <v>47</v>
      </c>
      <c r="H625" s="1">
        <v>44581</v>
      </c>
      <c r="I625" t="s">
        <v>721</v>
      </c>
      <c r="J625" t="s">
        <v>21</v>
      </c>
      <c r="K625" t="s">
        <v>63</v>
      </c>
      <c r="L625" t="s">
        <v>87</v>
      </c>
    </row>
    <row r="626" spans="1:12" x14ac:dyDescent="0.25">
      <c r="A626" t="s">
        <v>720</v>
      </c>
      <c r="B626">
        <v>6236</v>
      </c>
      <c r="C626">
        <v>2839</v>
      </c>
      <c r="D626">
        <v>7</v>
      </c>
      <c r="E626" t="s">
        <v>13</v>
      </c>
      <c r="F626" t="s">
        <v>28</v>
      </c>
      <c r="G626" t="s">
        <v>47</v>
      </c>
      <c r="H626" s="1">
        <v>44691</v>
      </c>
      <c r="I626" t="s">
        <v>722</v>
      </c>
      <c r="J626" t="s">
        <v>17</v>
      </c>
      <c r="K626" t="s">
        <v>34</v>
      </c>
      <c r="L626" t="s">
        <v>180</v>
      </c>
    </row>
    <row r="627" spans="1:12" x14ac:dyDescent="0.25">
      <c r="A627" t="s">
        <v>723</v>
      </c>
      <c r="B627">
        <v>5410</v>
      </c>
      <c r="C627">
        <v>2456</v>
      </c>
      <c r="D627">
        <v>8</v>
      </c>
      <c r="E627" t="s">
        <v>45</v>
      </c>
      <c r="F627" t="s">
        <v>49</v>
      </c>
      <c r="G627" t="s">
        <v>47</v>
      </c>
      <c r="H627" s="1">
        <v>45441</v>
      </c>
      <c r="I627" t="s">
        <v>724</v>
      </c>
      <c r="J627" t="s">
        <v>42</v>
      </c>
      <c r="K627" t="s">
        <v>43</v>
      </c>
      <c r="L627" t="s">
        <v>35</v>
      </c>
    </row>
    <row r="628" spans="1:12" x14ac:dyDescent="0.25">
      <c r="A628" t="s">
        <v>723</v>
      </c>
      <c r="B628">
        <v>5410</v>
      </c>
      <c r="C628">
        <v>2456</v>
      </c>
      <c r="D628">
        <v>8</v>
      </c>
      <c r="E628" t="s">
        <v>45</v>
      </c>
      <c r="F628" t="s">
        <v>49</v>
      </c>
      <c r="G628" t="s">
        <v>47</v>
      </c>
      <c r="H628" s="1">
        <v>44565</v>
      </c>
      <c r="I628" t="s">
        <v>725</v>
      </c>
      <c r="J628" t="s">
        <v>17</v>
      </c>
      <c r="K628" t="s">
        <v>150</v>
      </c>
      <c r="L628" t="s">
        <v>87</v>
      </c>
    </row>
    <row r="629" spans="1:12" x14ac:dyDescent="0.25">
      <c r="A629" t="s">
        <v>726</v>
      </c>
      <c r="B629">
        <v>3024</v>
      </c>
      <c r="C629">
        <v>1353</v>
      </c>
      <c r="D629">
        <v>1</v>
      </c>
      <c r="E629" t="s">
        <v>45</v>
      </c>
      <c r="F629" t="s">
        <v>60</v>
      </c>
      <c r="G629" t="s">
        <v>47</v>
      </c>
      <c r="H629" s="1">
        <v>45414</v>
      </c>
      <c r="I629" t="s">
        <v>727</v>
      </c>
      <c r="J629" t="s">
        <v>42</v>
      </c>
      <c r="K629" t="s">
        <v>43</v>
      </c>
      <c r="L629" t="s">
        <v>35</v>
      </c>
    </row>
    <row r="630" spans="1:12" x14ac:dyDescent="0.25">
      <c r="A630" t="s">
        <v>726</v>
      </c>
      <c r="B630">
        <v>3024</v>
      </c>
      <c r="C630">
        <v>1353</v>
      </c>
      <c r="D630">
        <v>1</v>
      </c>
      <c r="E630" t="s">
        <v>45</v>
      </c>
      <c r="F630" t="s">
        <v>60</v>
      </c>
      <c r="G630" t="s">
        <v>47</v>
      </c>
      <c r="H630" s="1">
        <v>44558</v>
      </c>
      <c r="I630" t="s">
        <v>728</v>
      </c>
      <c r="J630" t="s">
        <v>98</v>
      </c>
      <c r="K630" t="s">
        <v>99</v>
      </c>
      <c r="L630" t="s">
        <v>90</v>
      </c>
    </row>
    <row r="631" spans="1:12" x14ac:dyDescent="0.25">
      <c r="A631" t="s">
        <v>729</v>
      </c>
      <c r="B631">
        <v>7434</v>
      </c>
      <c r="C631">
        <v>2851</v>
      </c>
      <c r="D631">
        <v>5</v>
      </c>
      <c r="E631" t="s">
        <v>30</v>
      </c>
      <c r="F631" t="s">
        <v>57</v>
      </c>
      <c r="G631" t="s">
        <v>15</v>
      </c>
      <c r="H631" s="1">
        <v>44907</v>
      </c>
      <c r="I631" t="s">
        <v>730</v>
      </c>
      <c r="J631" t="s">
        <v>21</v>
      </c>
      <c r="K631" t="s">
        <v>63</v>
      </c>
      <c r="L631" t="s">
        <v>152</v>
      </c>
    </row>
    <row r="632" spans="1:12" x14ac:dyDescent="0.25">
      <c r="A632" t="s">
        <v>731</v>
      </c>
      <c r="B632">
        <v>7213</v>
      </c>
      <c r="C632">
        <v>508</v>
      </c>
      <c r="D632">
        <v>19</v>
      </c>
      <c r="E632" t="s">
        <v>13</v>
      </c>
      <c r="F632" t="s">
        <v>14</v>
      </c>
      <c r="G632" t="s">
        <v>32</v>
      </c>
      <c r="H632" s="1">
        <v>45155</v>
      </c>
      <c r="I632" t="s">
        <v>732</v>
      </c>
      <c r="J632" t="s">
        <v>71</v>
      </c>
      <c r="K632" t="s">
        <v>72</v>
      </c>
      <c r="L632" t="s">
        <v>121</v>
      </c>
    </row>
    <row r="633" spans="1:12" x14ac:dyDescent="0.25">
      <c r="A633" t="s">
        <v>731</v>
      </c>
      <c r="B633">
        <v>7213</v>
      </c>
      <c r="C633">
        <v>508</v>
      </c>
      <c r="D633">
        <v>19</v>
      </c>
      <c r="E633" t="s">
        <v>13</v>
      </c>
      <c r="F633" t="s">
        <v>14</v>
      </c>
      <c r="G633" t="s">
        <v>32</v>
      </c>
      <c r="H633" s="1">
        <v>44529</v>
      </c>
      <c r="I633" t="s">
        <v>733</v>
      </c>
      <c r="J633" t="s">
        <v>98</v>
      </c>
      <c r="K633" t="s">
        <v>107</v>
      </c>
      <c r="L633" t="s">
        <v>175</v>
      </c>
    </row>
    <row r="634" spans="1:12" x14ac:dyDescent="0.25">
      <c r="A634" t="s">
        <v>731</v>
      </c>
      <c r="B634">
        <v>3176</v>
      </c>
      <c r="C634">
        <v>586</v>
      </c>
      <c r="D634">
        <v>9</v>
      </c>
      <c r="E634" t="s">
        <v>45</v>
      </c>
      <c r="F634" t="s">
        <v>46</v>
      </c>
      <c r="G634" t="s">
        <v>40</v>
      </c>
      <c r="H634" s="1">
        <v>45155</v>
      </c>
      <c r="I634" t="s">
        <v>732</v>
      </c>
      <c r="J634" t="s">
        <v>71</v>
      </c>
      <c r="K634" t="s">
        <v>72</v>
      </c>
      <c r="L634" t="s">
        <v>121</v>
      </c>
    </row>
    <row r="635" spans="1:12" x14ac:dyDescent="0.25">
      <c r="A635" t="s">
        <v>731</v>
      </c>
      <c r="B635">
        <v>3176</v>
      </c>
      <c r="C635">
        <v>586</v>
      </c>
      <c r="D635">
        <v>9</v>
      </c>
      <c r="E635" t="s">
        <v>45</v>
      </c>
      <c r="F635" t="s">
        <v>46</v>
      </c>
      <c r="G635" t="s">
        <v>40</v>
      </c>
      <c r="H635" s="1">
        <v>44529</v>
      </c>
      <c r="I635" t="s">
        <v>733</v>
      </c>
      <c r="J635" t="s">
        <v>98</v>
      </c>
      <c r="K635" t="s">
        <v>107</v>
      </c>
      <c r="L635" t="s">
        <v>175</v>
      </c>
    </row>
    <row r="636" spans="1:12" x14ac:dyDescent="0.25">
      <c r="A636" t="s">
        <v>734</v>
      </c>
      <c r="B636">
        <v>9144</v>
      </c>
      <c r="C636">
        <v>2220</v>
      </c>
      <c r="D636">
        <v>18</v>
      </c>
      <c r="E636" t="s">
        <v>30</v>
      </c>
      <c r="F636" t="s">
        <v>78</v>
      </c>
      <c r="G636" t="s">
        <v>47</v>
      </c>
      <c r="H636" s="1">
        <v>44360</v>
      </c>
      <c r="I636" t="s">
        <v>735</v>
      </c>
      <c r="J636" t="s">
        <v>17</v>
      </c>
      <c r="K636" t="s">
        <v>18</v>
      </c>
      <c r="L636" t="s">
        <v>125</v>
      </c>
    </row>
    <row r="637" spans="1:12" x14ac:dyDescent="0.25">
      <c r="A637" t="s">
        <v>736</v>
      </c>
      <c r="B637">
        <v>4146</v>
      </c>
      <c r="C637">
        <v>865</v>
      </c>
      <c r="D637">
        <v>19</v>
      </c>
      <c r="E637" t="s">
        <v>45</v>
      </c>
      <c r="F637" t="s">
        <v>46</v>
      </c>
      <c r="G637" t="s">
        <v>40</v>
      </c>
      <c r="H637" s="1">
        <v>44746</v>
      </c>
      <c r="I637" t="s">
        <v>737</v>
      </c>
      <c r="J637" t="s">
        <v>71</v>
      </c>
      <c r="K637" t="s">
        <v>138</v>
      </c>
      <c r="L637" t="s">
        <v>418</v>
      </c>
    </row>
    <row r="638" spans="1:12" x14ac:dyDescent="0.25">
      <c r="A638" t="s">
        <v>736</v>
      </c>
      <c r="B638">
        <v>3793</v>
      </c>
      <c r="C638">
        <v>875</v>
      </c>
      <c r="D638">
        <v>7</v>
      </c>
      <c r="E638" t="s">
        <v>45</v>
      </c>
      <c r="F638" t="s">
        <v>46</v>
      </c>
      <c r="G638" t="s">
        <v>40</v>
      </c>
      <c r="H638" s="1">
        <v>44746</v>
      </c>
      <c r="I638" t="s">
        <v>737</v>
      </c>
      <c r="J638" t="s">
        <v>71</v>
      </c>
      <c r="K638" t="s">
        <v>138</v>
      </c>
      <c r="L638" t="s">
        <v>418</v>
      </c>
    </row>
    <row r="639" spans="1:12" x14ac:dyDescent="0.25">
      <c r="A639" t="s">
        <v>738</v>
      </c>
      <c r="B639">
        <v>7169</v>
      </c>
      <c r="C639">
        <v>2385</v>
      </c>
      <c r="D639">
        <v>11</v>
      </c>
      <c r="E639" t="s">
        <v>45</v>
      </c>
      <c r="F639" t="s">
        <v>60</v>
      </c>
      <c r="G639" t="s">
        <v>65</v>
      </c>
      <c r="H639" s="1">
        <v>44374</v>
      </c>
      <c r="I639" t="s">
        <v>739</v>
      </c>
      <c r="J639" t="s">
        <v>42</v>
      </c>
      <c r="K639" t="s">
        <v>43</v>
      </c>
      <c r="L639" t="s">
        <v>125</v>
      </c>
    </row>
    <row r="640" spans="1:12" x14ac:dyDescent="0.25">
      <c r="A640" t="s">
        <v>738</v>
      </c>
      <c r="B640">
        <v>4046</v>
      </c>
      <c r="C640">
        <v>417</v>
      </c>
      <c r="D640">
        <v>18</v>
      </c>
      <c r="E640" t="s">
        <v>45</v>
      </c>
      <c r="F640" t="s">
        <v>49</v>
      </c>
      <c r="G640" t="s">
        <v>47</v>
      </c>
      <c r="H640" s="1">
        <v>44374</v>
      </c>
      <c r="I640" t="s">
        <v>739</v>
      </c>
      <c r="J640" t="s">
        <v>42</v>
      </c>
      <c r="K640" t="s">
        <v>43</v>
      </c>
      <c r="L640" t="s">
        <v>125</v>
      </c>
    </row>
    <row r="641" spans="1:12" x14ac:dyDescent="0.25">
      <c r="A641" t="s">
        <v>740</v>
      </c>
      <c r="B641">
        <v>4164</v>
      </c>
      <c r="C641">
        <v>905</v>
      </c>
      <c r="D641">
        <v>11</v>
      </c>
      <c r="E641" t="s">
        <v>13</v>
      </c>
      <c r="F641" t="s">
        <v>82</v>
      </c>
      <c r="G641" t="s">
        <v>65</v>
      </c>
      <c r="H641" s="1">
        <v>45264</v>
      </c>
      <c r="I641" t="s">
        <v>741</v>
      </c>
      <c r="J641" t="s">
        <v>42</v>
      </c>
      <c r="K641" t="s">
        <v>75</v>
      </c>
      <c r="L641" t="s">
        <v>102</v>
      </c>
    </row>
    <row r="642" spans="1:12" x14ac:dyDescent="0.25">
      <c r="A642" t="s">
        <v>740</v>
      </c>
      <c r="B642">
        <v>5389</v>
      </c>
      <c r="C642">
        <v>2196</v>
      </c>
      <c r="D642">
        <v>5</v>
      </c>
      <c r="E642" t="s">
        <v>45</v>
      </c>
      <c r="F642" t="s">
        <v>46</v>
      </c>
      <c r="G642" t="s">
        <v>15</v>
      </c>
      <c r="H642" s="1">
        <v>45264</v>
      </c>
      <c r="I642" t="s">
        <v>741</v>
      </c>
      <c r="J642" t="s">
        <v>42</v>
      </c>
      <c r="K642" t="s">
        <v>75</v>
      </c>
      <c r="L642" t="s">
        <v>102</v>
      </c>
    </row>
    <row r="643" spans="1:12" x14ac:dyDescent="0.25">
      <c r="A643" t="s">
        <v>742</v>
      </c>
      <c r="B643">
        <v>5448</v>
      </c>
      <c r="C643">
        <v>2204</v>
      </c>
      <c r="D643">
        <v>5</v>
      </c>
      <c r="E643" t="s">
        <v>45</v>
      </c>
      <c r="F643" t="s">
        <v>60</v>
      </c>
      <c r="G643" t="s">
        <v>65</v>
      </c>
      <c r="H643" s="1">
        <v>44782</v>
      </c>
      <c r="I643" t="s">
        <v>743</v>
      </c>
      <c r="J643" t="s">
        <v>25</v>
      </c>
      <c r="K643" t="s">
        <v>51</v>
      </c>
      <c r="L643" t="s">
        <v>209</v>
      </c>
    </row>
    <row r="644" spans="1:12" x14ac:dyDescent="0.25">
      <c r="A644" t="s">
        <v>744</v>
      </c>
      <c r="B644">
        <v>4115</v>
      </c>
      <c r="C644">
        <v>1285</v>
      </c>
      <c r="D644">
        <v>1</v>
      </c>
      <c r="E644" t="s">
        <v>45</v>
      </c>
      <c r="F644" t="s">
        <v>60</v>
      </c>
      <c r="G644" t="s">
        <v>15</v>
      </c>
      <c r="H644" s="1">
        <v>43929</v>
      </c>
      <c r="I644" t="s">
        <v>745</v>
      </c>
      <c r="J644" t="s">
        <v>17</v>
      </c>
      <c r="K644" t="s">
        <v>34</v>
      </c>
      <c r="L644" t="s">
        <v>162</v>
      </c>
    </row>
    <row r="645" spans="1:12" x14ac:dyDescent="0.25">
      <c r="A645" t="s">
        <v>744</v>
      </c>
      <c r="B645">
        <v>4761</v>
      </c>
      <c r="C645">
        <v>2231</v>
      </c>
      <c r="D645">
        <v>12</v>
      </c>
      <c r="E645" t="s">
        <v>45</v>
      </c>
      <c r="F645" t="s">
        <v>46</v>
      </c>
      <c r="G645" t="s">
        <v>15</v>
      </c>
      <c r="H645" s="1">
        <v>43929</v>
      </c>
      <c r="I645" t="s">
        <v>745</v>
      </c>
      <c r="J645" t="s">
        <v>17</v>
      </c>
      <c r="K645" t="s">
        <v>34</v>
      </c>
      <c r="L645" t="s">
        <v>162</v>
      </c>
    </row>
    <row r="646" spans="1:12" x14ac:dyDescent="0.25">
      <c r="A646" t="s">
        <v>746</v>
      </c>
      <c r="B646">
        <v>5899</v>
      </c>
      <c r="C646">
        <v>2264</v>
      </c>
      <c r="D646">
        <v>6</v>
      </c>
      <c r="E646" t="s">
        <v>30</v>
      </c>
      <c r="F646" t="s">
        <v>78</v>
      </c>
      <c r="G646" t="s">
        <v>40</v>
      </c>
      <c r="H646" s="1">
        <v>45219</v>
      </c>
      <c r="I646" t="s">
        <v>747</v>
      </c>
      <c r="J646" t="s">
        <v>25</v>
      </c>
      <c r="K646" t="s">
        <v>26</v>
      </c>
      <c r="L646" t="s">
        <v>442</v>
      </c>
    </row>
    <row r="647" spans="1:12" x14ac:dyDescent="0.25">
      <c r="A647" t="s">
        <v>748</v>
      </c>
      <c r="B647">
        <v>6109</v>
      </c>
      <c r="C647">
        <v>3040</v>
      </c>
      <c r="D647">
        <v>9</v>
      </c>
      <c r="E647" t="s">
        <v>45</v>
      </c>
      <c r="F647" t="s">
        <v>49</v>
      </c>
      <c r="G647" t="s">
        <v>40</v>
      </c>
      <c r="H647" s="1">
        <v>44602</v>
      </c>
      <c r="I647" t="s">
        <v>749</v>
      </c>
      <c r="J647" t="s">
        <v>25</v>
      </c>
      <c r="K647" t="s">
        <v>26</v>
      </c>
      <c r="L647" t="s">
        <v>137</v>
      </c>
    </row>
    <row r="648" spans="1:12" x14ac:dyDescent="0.25">
      <c r="A648" t="s">
        <v>748</v>
      </c>
      <c r="B648">
        <v>6109</v>
      </c>
      <c r="C648">
        <v>3040</v>
      </c>
      <c r="D648">
        <v>9</v>
      </c>
      <c r="E648" t="s">
        <v>45</v>
      </c>
      <c r="F648" t="s">
        <v>49</v>
      </c>
      <c r="G648" t="s">
        <v>40</v>
      </c>
      <c r="H648" s="1">
        <v>45204</v>
      </c>
      <c r="I648" t="s">
        <v>750</v>
      </c>
      <c r="J648" t="s">
        <v>25</v>
      </c>
      <c r="K648" t="s">
        <v>68</v>
      </c>
      <c r="L648" t="s">
        <v>442</v>
      </c>
    </row>
    <row r="649" spans="1:12" x14ac:dyDescent="0.25">
      <c r="A649" t="s">
        <v>748</v>
      </c>
      <c r="B649">
        <v>4628</v>
      </c>
      <c r="C649">
        <v>1491</v>
      </c>
      <c r="D649">
        <v>17</v>
      </c>
      <c r="E649" t="s">
        <v>13</v>
      </c>
      <c r="F649" t="s">
        <v>14</v>
      </c>
      <c r="G649" t="s">
        <v>15</v>
      </c>
      <c r="H649" s="1">
        <v>44602</v>
      </c>
      <c r="I649" t="s">
        <v>749</v>
      </c>
      <c r="J649" t="s">
        <v>25</v>
      </c>
      <c r="K649" t="s">
        <v>26</v>
      </c>
      <c r="L649" t="s">
        <v>137</v>
      </c>
    </row>
    <row r="650" spans="1:12" x14ac:dyDescent="0.25">
      <c r="A650" t="s">
        <v>748</v>
      </c>
      <c r="B650">
        <v>4628</v>
      </c>
      <c r="C650">
        <v>1491</v>
      </c>
      <c r="D650">
        <v>17</v>
      </c>
      <c r="E650" t="s">
        <v>13</v>
      </c>
      <c r="F650" t="s">
        <v>14</v>
      </c>
      <c r="G650" t="s">
        <v>15</v>
      </c>
      <c r="H650" s="1">
        <v>45204</v>
      </c>
      <c r="I650" t="s">
        <v>750</v>
      </c>
      <c r="J650" t="s">
        <v>25</v>
      </c>
      <c r="K650" t="s">
        <v>68</v>
      </c>
      <c r="L650" t="s">
        <v>442</v>
      </c>
    </row>
    <row r="651" spans="1:12" x14ac:dyDescent="0.25">
      <c r="A651" t="s">
        <v>751</v>
      </c>
      <c r="B651">
        <v>4369</v>
      </c>
      <c r="C651">
        <v>584</v>
      </c>
      <c r="D651">
        <v>13</v>
      </c>
      <c r="E651" t="s">
        <v>30</v>
      </c>
      <c r="F651" t="s">
        <v>31</v>
      </c>
      <c r="G651" t="s">
        <v>47</v>
      </c>
      <c r="H651" s="1">
        <v>44826</v>
      </c>
      <c r="I651" t="s">
        <v>752</v>
      </c>
      <c r="J651" t="s">
        <v>21</v>
      </c>
      <c r="K651" t="s">
        <v>172</v>
      </c>
      <c r="L651" t="s">
        <v>131</v>
      </c>
    </row>
    <row r="652" spans="1:12" x14ac:dyDescent="0.25">
      <c r="A652" t="s">
        <v>751</v>
      </c>
      <c r="B652">
        <v>4369</v>
      </c>
      <c r="C652">
        <v>584</v>
      </c>
      <c r="D652">
        <v>13</v>
      </c>
      <c r="E652" t="s">
        <v>30</v>
      </c>
      <c r="F652" t="s">
        <v>31</v>
      </c>
      <c r="G652" t="s">
        <v>47</v>
      </c>
      <c r="H652" s="1">
        <v>44289</v>
      </c>
      <c r="I652" t="s">
        <v>753</v>
      </c>
      <c r="J652" t="s">
        <v>71</v>
      </c>
      <c r="K652" t="s">
        <v>86</v>
      </c>
      <c r="L652" t="s">
        <v>139</v>
      </c>
    </row>
    <row r="653" spans="1:12" x14ac:dyDescent="0.25">
      <c r="A653" t="s">
        <v>754</v>
      </c>
      <c r="B653">
        <v>5632</v>
      </c>
      <c r="C653">
        <v>2358</v>
      </c>
      <c r="D653">
        <v>20</v>
      </c>
      <c r="E653" t="s">
        <v>45</v>
      </c>
      <c r="F653" t="s">
        <v>60</v>
      </c>
      <c r="G653" t="s">
        <v>47</v>
      </c>
      <c r="H653" s="1">
        <v>44319</v>
      </c>
      <c r="I653" t="s">
        <v>755</v>
      </c>
      <c r="J653" t="s">
        <v>42</v>
      </c>
      <c r="K653" t="s">
        <v>43</v>
      </c>
      <c r="L653" t="s">
        <v>108</v>
      </c>
    </row>
    <row r="654" spans="1:12" x14ac:dyDescent="0.25">
      <c r="A654" t="s">
        <v>754</v>
      </c>
      <c r="B654">
        <v>5632</v>
      </c>
      <c r="C654">
        <v>2358</v>
      </c>
      <c r="D654">
        <v>20</v>
      </c>
      <c r="E654" t="s">
        <v>45</v>
      </c>
      <c r="F654" t="s">
        <v>60</v>
      </c>
      <c r="G654" t="s">
        <v>47</v>
      </c>
      <c r="H654" s="1">
        <v>45333</v>
      </c>
      <c r="I654" t="s">
        <v>756</v>
      </c>
      <c r="J654" t="s">
        <v>17</v>
      </c>
      <c r="K654" t="s">
        <v>18</v>
      </c>
      <c r="L654" t="s">
        <v>218</v>
      </c>
    </row>
    <row r="655" spans="1:12" x14ac:dyDescent="0.25">
      <c r="A655" t="s">
        <v>754</v>
      </c>
      <c r="B655">
        <v>5632</v>
      </c>
      <c r="C655">
        <v>2358</v>
      </c>
      <c r="D655">
        <v>20</v>
      </c>
      <c r="E655" t="s">
        <v>45</v>
      </c>
      <c r="F655" t="s">
        <v>60</v>
      </c>
      <c r="G655" t="s">
        <v>47</v>
      </c>
      <c r="H655" s="1">
        <v>45692</v>
      </c>
      <c r="I655" t="s">
        <v>757</v>
      </c>
      <c r="J655" t="s">
        <v>98</v>
      </c>
      <c r="K655" t="s">
        <v>117</v>
      </c>
      <c r="L655" t="s">
        <v>73</v>
      </c>
    </row>
    <row r="656" spans="1:12" x14ac:dyDescent="0.25">
      <c r="A656" t="s">
        <v>758</v>
      </c>
      <c r="B656">
        <v>7519</v>
      </c>
      <c r="C656">
        <v>402</v>
      </c>
      <c r="D656">
        <v>14</v>
      </c>
      <c r="E656" t="s">
        <v>30</v>
      </c>
      <c r="F656" t="s">
        <v>64</v>
      </c>
      <c r="G656" t="s">
        <v>15</v>
      </c>
      <c r="H656" s="1">
        <v>44846</v>
      </c>
      <c r="I656" t="s">
        <v>759</v>
      </c>
      <c r="J656" t="s">
        <v>42</v>
      </c>
      <c r="K656" t="s">
        <v>75</v>
      </c>
      <c r="L656" t="s">
        <v>96</v>
      </c>
    </row>
    <row r="657" spans="1:12" x14ac:dyDescent="0.25">
      <c r="A657" t="s">
        <v>758</v>
      </c>
      <c r="B657">
        <v>1564</v>
      </c>
      <c r="C657">
        <v>674</v>
      </c>
      <c r="D657">
        <v>13</v>
      </c>
      <c r="E657" t="s">
        <v>13</v>
      </c>
      <c r="F657" t="s">
        <v>14</v>
      </c>
      <c r="G657" t="s">
        <v>32</v>
      </c>
      <c r="H657" s="1">
        <v>44846</v>
      </c>
      <c r="I657" t="s">
        <v>759</v>
      </c>
      <c r="J657" t="s">
        <v>42</v>
      </c>
      <c r="K657" t="s">
        <v>75</v>
      </c>
      <c r="L657" t="s">
        <v>96</v>
      </c>
    </row>
    <row r="658" spans="1:12" x14ac:dyDescent="0.25">
      <c r="A658" t="s">
        <v>760</v>
      </c>
      <c r="B658">
        <v>2804</v>
      </c>
      <c r="C658">
        <v>936</v>
      </c>
      <c r="D658">
        <v>10</v>
      </c>
      <c r="E658" t="s">
        <v>13</v>
      </c>
      <c r="F658" t="s">
        <v>14</v>
      </c>
      <c r="G658" t="s">
        <v>47</v>
      </c>
      <c r="H658" s="1">
        <v>44598</v>
      </c>
      <c r="I658" t="s">
        <v>761</v>
      </c>
      <c r="J658" t="s">
        <v>71</v>
      </c>
      <c r="K658" t="s">
        <v>86</v>
      </c>
      <c r="L658" t="s">
        <v>137</v>
      </c>
    </row>
    <row r="659" spans="1:12" x14ac:dyDescent="0.25">
      <c r="A659" t="s">
        <v>760</v>
      </c>
      <c r="B659">
        <v>2804</v>
      </c>
      <c r="C659">
        <v>936</v>
      </c>
      <c r="D659">
        <v>10</v>
      </c>
      <c r="E659" t="s">
        <v>13</v>
      </c>
      <c r="F659" t="s">
        <v>14</v>
      </c>
      <c r="G659" t="s">
        <v>47</v>
      </c>
      <c r="H659" s="1">
        <v>44144</v>
      </c>
      <c r="I659" t="s">
        <v>762</v>
      </c>
      <c r="J659" t="s">
        <v>17</v>
      </c>
      <c r="K659" t="s">
        <v>150</v>
      </c>
      <c r="L659" t="s">
        <v>80</v>
      </c>
    </row>
    <row r="660" spans="1:12" x14ac:dyDescent="0.25">
      <c r="A660" t="s">
        <v>760</v>
      </c>
      <c r="B660">
        <v>2804</v>
      </c>
      <c r="C660">
        <v>936</v>
      </c>
      <c r="D660">
        <v>10</v>
      </c>
      <c r="E660" t="s">
        <v>13</v>
      </c>
      <c r="F660" t="s">
        <v>14</v>
      </c>
      <c r="G660" t="s">
        <v>47</v>
      </c>
      <c r="H660" s="1">
        <v>45049</v>
      </c>
      <c r="I660" t="s">
        <v>763</v>
      </c>
      <c r="J660" t="s">
        <v>17</v>
      </c>
      <c r="K660" t="s">
        <v>150</v>
      </c>
      <c r="L660" t="s">
        <v>127</v>
      </c>
    </row>
    <row r="661" spans="1:12" x14ac:dyDescent="0.25">
      <c r="A661" t="s">
        <v>764</v>
      </c>
      <c r="B661">
        <v>2321</v>
      </c>
      <c r="C661">
        <v>505</v>
      </c>
      <c r="D661">
        <v>6</v>
      </c>
      <c r="E661" t="s">
        <v>45</v>
      </c>
      <c r="F661" t="s">
        <v>49</v>
      </c>
      <c r="G661" t="s">
        <v>40</v>
      </c>
      <c r="H661" s="1">
        <v>44838</v>
      </c>
      <c r="I661" t="s">
        <v>765</v>
      </c>
      <c r="J661" t="s">
        <v>21</v>
      </c>
      <c r="K661" t="s">
        <v>63</v>
      </c>
      <c r="L661" t="s">
        <v>96</v>
      </c>
    </row>
    <row r="662" spans="1:12" x14ac:dyDescent="0.25">
      <c r="A662" t="s">
        <v>766</v>
      </c>
      <c r="B662">
        <v>5730</v>
      </c>
      <c r="C662">
        <v>482</v>
      </c>
      <c r="D662">
        <v>6</v>
      </c>
      <c r="E662" t="s">
        <v>13</v>
      </c>
      <c r="F662" t="s">
        <v>39</v>
      </c>
      <c r="G662" t="s">
        <v>65</v>
      </c>
      <c r="H662" s="1">
        <v>45525</v>
      </c>
      <c r="I662" t="s">
        <v>767</v>
      </c>
      <c r="J662" t="s">
        <v>17</v>
      </c>
      <c r="K662" t="s">
        <v>150</v>
      </c>
      <c r="L662" t="s">
        <v>114</v>
      </c>
    </row>
    <row r="663" spans="1:12" x14ac:dyDescent="0.25">
      <c r="A663" t="s">
        <v>768</v>
      </c>
      <c r="B663">
        <v>7441</v>
      </c>
      <c r="C663">
        <v>867</v>
      </c>
      <c r="D663">
        <v>12</v>
      </c>
      <c r="E663" t="s">
        <v>45</v>
      </c>
      <c r="F663" t="s">
        <v>60</v>
      </c>
      <c r="G663" t="s">
        <v>65</v>
      </c>
      <c r="H663" s="1">
        <v>44520</v>
      </c>
      <c r="I663" t="s">
        <v>769</v>
      </c>
      <c r="J663" t="s">
        <v>21</v>
      </c>
      <c r="K663" t="s">
        <v>22</v>
      </c>
      <c r="L663" t="s">
        <v>175</v>
      </c>
    </row>
    <row r="664" spans="1:12" x14ac:dyDescent="0.25">
      <c r="A664" t="s">
        <v>768</v>
      </c>
      <c r="B664">
        <v>7441</v>
      </c>
      <c r="C664">
        <v>867</v>
      </c>
      <c r="D664">
        <v>12</v>
      </c>
      <c r="E664" t="s">
        <v>45</v>
      </c>
      <c r="F664" t="s">
        <v>60</v>
      </c>
      <c r="G664" t="s">
        <v>65</v>
      </c>
      <c r="H664" s="1">
        <v>43964</v>
      </c>
      <c r="I664" t="s">
        <v>770</v>
      </c>
      <c r="J664" t="s">
        <v>71</v>
      </c>
      <c r="K664" t="s">
        <v>86</v>
      </c>
      <c r="L664" t="s">
        <v>59</v>
      </c>
    </row>
    <row r="665" spans="1:12" x14ac:dyDescent="0.25">
      <c r="A665" t="s">
        <v>771</v>
      </c>
      <c r="B665">
        <v>1732</v>
      </c>
      <c r="C665">
        <v>766</v>
      </c>
      <c r="D665">
        <v>7</v>
      </c>
      <c r="E665" t="s">
        <v>30</v>
      </c>
      <c r="F665" t="s">
        <v>78</v>
      </c>
      <c r="G665" t="s">
        <v>15</v>
      </c>
      <c r="H665" s="1">
        <v>44985</v>
      </c>
      <c r="I665" t="s">
        <v>772</v>
      </c>
      <c r="J665" t="s">
        <v>25</v>
      </c>
      <c r="K665" t="s">
        <v>51</v>
      </c>
      <c r="L665" t="s">
        <v>93</v>
      </c>
    </row>
    <row r="666" spans="1:12" x14ac:dyDescent="0.25">
      <c r="A666" t="s">
        <v>771</v>
      </c>
      <c r="B666">
        <v>8788</v>
      </c>
      <c r="C666">
        <v>3944</v>
      </c>
      <c r="D666">
        <v>19</v>
      </c>
      <c r="E666" t="s">
        <v>30</v>
      </c>
      <c r="F666" t="s">
        <v>64</v>
      </c>
      <c r="G666" t="s">
        <v>40</v>
      </c>
      <c r="H666" s="1">
        <v>44985</v>
      </c>
      <c r="I666" t="s">
        <v>772</v>
      </c>
      <c r="J666" t="s">
        <v>25</v>
      </c>
      <c r="K666" t="s">
        <v>51</v>
      </c>
      <c r="L666" t="s">
        <v>93</v>
      </c>
    </row>
    <row r="667" spans="1:12" x14ac:dyDescent="0.25">
      <c r="A667" t="s">
        <v>773</v>
      </c>
      <c r="B667">
        <v>838</v>
      </c>
      <c r="C667">
        <v>271</v>
      </c>
      <c r="D667">
        <v>11</v>
      </c>
      <c r="E667" t="s">
        <v>30</v>
      </c>
      <c r="F667" t="s">
        <v>57</v>
      </c>
      <c r="G667" t="s">
        <v>40</v>
      </c>
      <c r="H667" s="1">
        <v>44217</v>
      </c>
      <c r="I667" t="s">
        <v>774</v>
      </c>
      <c r="J667" t="s">
        <v>98</v>
      </c>
      <c r="K667" t="s">
        <v>99</v>
      </c>
      <c r="L667" t="s">
        <v>276</v>
      </c>
    </row>
    <row r="668" spans="1:12" x14ac:dyDescent="0.25">
      <c r="A668" t="s">
        <v>773</v>
      </c>
      <c r="B668">
        <v>838</v>
      </c>
      <c r="C668">
        <v>271</v>
      </c>
      <c r="D668">
        <v>11</v>
      </c>
      <c r="E668" t="s">
        <v>30</v>
      </c>
      <c r="F668" t="s">
        <v>57</v>
      </c>
      <c r="G668" t="s">
        <v>40</v>
      </c>
      <c r="H668" s="1">
        <v>44620</v>
      </c>
      <c r="I668" t="s">
        <v>775</v>
      </c>
      <c r="J668" t="s">
        <v>21</v>
      </c>
      <c r="K668" t="s">
        <v>172</v>
      </c>
      <c r="L668" t="s">
        <v>137</v>
      </c>
    </row>
    <row r="669" spans="1:12" x14ac:dyDescent="0.25">
      <c r="A669" t="s">
        <v>773</v>
      </c>
      <c r="B669">
        <v>3577</v>
      </c>
      <c r="C669">
        <v>699</v>
      </c>
      <c r="D669">
        <v>2</v>
      </c>
      <c r="E669" t="s">
        <v>45</v>
      </c>
      <c r="F669" t="s">
        <v>46</v>
      </c>
      <c r="G669" t="s">
        <v>15</v>
      </c>
      <c r="H669" s="1">
        <v>44217</v>
      </c>
      <c r="I669" t="s">
        <v>774</v>
      </c>
      <c r="J669" t="s">
        <v>98</v>
      </c>
      <c r="K669" t="s">
        <v>99</v>
      </c>
      <c r="L669" t="s">
        <v>276</v>
      </c>
    </row>
    <row r="670" spans="1:12" x14ac:dyDescent="0.25">
      <c r="A670" t="s">
        <v>773</v>
      </c>
      <c r="B670">
        <v>3577</v>
      </c>
      <c r="C670">
        <v>699</v>
      </c>
      <c r="D670">
        <v>2</v>
      </c>
      <c r="E670" t="s">
        <v>45</v>
      </c>
      <c r="F670" t="s">
        <v>46</v>
      </c>
      <c r="G670" t="s">
        <v>15</v>
      </c>
      <c r="H670" s="1">
        <v>44620</v>
      </c>
      <c r="I670" t="s">
        <v>775</v>
      </c>
      <c r="J670" t="s">
        <v>21</v>
      </c>
      <c r="K670" t="s">
        <v>172</v>
      </c>
      <c r="L670" t="s">
        <v>137</v>
      </c>
    </row>
    <row r="671" spans="1:12" x14ac:dyDescent="0.25">
      <c r="A671" t="s">
        <v>776</v>
      </c>
      <c r="B671">
        <v>7122</v>
      </c>
      <c r="C671">
        <v>1836</v>
      </c>
      <c r="D671">
        <v>6</v>
      </c>
      <c r="E671" t="s">
        <v>13</v>
      </c>
      <c r="F671" t="s">
        <v>82</v>
      </c>
      <c r="G671" t="s">
        <v>32</v>
      </c>
      <c r="H671" s="1">
        <v>45407</v>
      </c>
      <c r="I671" t="s">
        <v>777</v>
      </c>
      <c r="J671" t="s">
        <v>71</v>
      </c>
      <c r="K671" t="s">
        <v>72</v>
      </c>
      <c r="L671" t="s">
        <v>235</v>
      </c>
    </row>
    <row r="672" spans="1:12" x14ac:dyDescent="0.25">
      <c r="A672" t="s">
        <v>776</v>
      </c>
      <c r="B672">
        <v>7122</v>
      </c>
      <c r="C672">
        <v>1836</v>
      </c>
      <c r="D672">
        <v>6</v>
      </c>
      <c r="E672" t="s">
        <v>13</v>
      </c>
      <c r="F672" t="s">
        <v>82</v>
      </c>
      <c r="G672" t="s">
        <v>32</v>
      </c>
      <c r="H672" s="1">
        <v>44995</v>
      </c>
      <c r="I672" t="s">
        <v>778</v>
      </c>
      <c r="J672" t="s">
        <v>71</v>
      </c>
      <c r="K672" t="s">
        <v>138</v>
      </c>
      <c r="L672" t="s">
        <v>245</v>
      </c>
    </row>
    <row r="673" spans="1:12" x14ac:dyDescent="0.25">
      <c r="A673" t="s">
        <v>776</v>
      </c>
      <c r="B673">
        <v>7122</v>
      </c>
      <c r="C673">
        <v>1836</v>
      </c>
      <c r="D673">
        <v>6</v>
      </c>
      <c r="E673" t="s">
        <v>13</v>
      </c>
      <c r="F673" t="s">
        <v>82</v>
      </c>
      <c r="G673" t="s">
        <v>32</v>
      </c>
      <c r="H673" s="1">
        <v>45117</v>
      </c>
      <c r="I673" t="s">
        <v>779</v>
      </c>
      <c r="J673" t="s">
        <v>25</v>
      </c>
      <c r="K673" t="s">
        <v>51</v>
      </c>
      <c r="L673" t="s">
        <v>105</v>
      </c>
    </row>
    <row r="674" spans="1:12" x14ac:dyDescent="0.25">
      <c r="A674" t="s">
        <v>776</v>
      </c>
      <c r="B674">
        <v>7327</v>
      </c>
      <c r="C674">
        <v>2596</v>
      </c>
      <c r="D674">
        <v>15</v>
      </c>
      <c r="E674" t="s">
        <v>30</v>
      </c>
      <c r="F674" t="s">
        <v>57</v>
      </c>
      <c r="G674" t="s">
        <v>47</v>
      </c>
      <c r="H674" s="1">
        <v>45407</v>
      </c>
      <c r="I674" t="s">
        <v>777</v>
      </c>
      <c r="J674" t="s">
        <v>71</v>
      </c>
      <c r="K674" t="s">
        <v>72</v>
      </c>
      <c r="L674" t="s">
        <v>235</v>
      </c>
    </row>
    <row r="675" spans="1:12" x14ac:dyDescent="0.25">
      <c r="A675" t="s">
        <v>776</v>
      </c>
      <c r="B675">
        <v>7327</v>
      </c>
      <c r="C675">
        <v>2596</v>
      </c>
      <c r="D675">
        <v>15</v>
      </c>
      <c r="E675" t="s">
        <v>30</v>
      </c>
      <c r="F675" t="s">
        <v>57</v>
      </c>
      <c r="G675" t="s">
        <v>47</v>
      </c>
      <c r="H675" s="1">
        <v>44995</v>
      </c>
      <c r="I675" t="s">
        <v>778</v>
      </c>
      <c r="J675" t="s">
        <v>71</v>
      </c>
      <c r="K675" t="s">
        <v>138</v>
      </c>
      <c r="L675" t="s">
        <v>245</v>
      </c>
    </row>
    <row r="676" spans="1:12" x14ac:dyDescent="0.25">
      <c r="A676" t="s">
        <v>776</v>
      </c>
      <c r="B676">
        <v>7327</v>
      </c>
      <c r="C676">
        <v>2596</v>
      </c>
      <c r="D676">
        <v>15</v>
      </c>
      <c r="E676" t="s">
        <v>30</v>
      </c>
      <c r="F676" t="s">
        <v>57</v>
      </c>
      <c r="G676" t="s">
        <v>47</v>
      </c>
      <c r="H676" s="1">
        <v>45117</v>
      </c>
      <c r="I676" t="s">
        <v>779</v>
      </c>
      <c r="J676" t="s">
        <v>25</v>
      </c>
      <c r="K676" t="s">
        <v>51</v>
      </c>
      <c r="L676" t="s">
        <v>105</v>
      </c>
    </row>
    <row r="677" spans="1:12" x14ac:dyDescent="0.25">
      <c r="A677" t="s">
        <v>780</v>
      </c>
      <c r="B677">
        <v>2239</v>
      </c>
      <c r="C677">
        <v>1094</v>
      </c>
      <c r="D677">
        <v>18</v>
      </c>
      <c r="E677" t="s">
        <v>13</v>
      </c>
      <c r="F677" t="s">
        <v>28</v>
      </c>
      <c r="G677" t="s">
        <v>65</v>
      </c>
      <c r="H677" s="1">
        <v>45501</v>
      </c>
      <c r="I677" t="s">
        <v>781</v>
      </c>
      <c r="J677" t="s">
        <v>17</v>
      </c>
      <c r="K677" t="s">
        <v>150</v>
      </c>
      <c r="L677" t="s">
        <v>215</v>
      </c>
    </row>
    <row r="678" spans="1:12" x14ac:dyDescent="0.25">
      <c r="A678" t="s">
        <v>780</v>
      </c>
      <c r="B678">
        <v>4932</v>
      </c>
      <c r="C678">
        <v>1153</v>
      </c>
      <c r="D678">
        <v>1</v>
      </c>
      <c r="E678" t="s">
        <v>30</v>
      </c>
      <c r="F678" t="s">
        <v>57</v>
      </c>
      <c r="G678" t="s">
        <v>65</v>
      </c>
      <c r="H678" s="1">
        <v>45501</v>
      </c>
      <c r="I678" t="s">
        <v>781</v>
      </c>
      <c r="J678" t="s">
        <v>17</v>
      </c>
      <c r="K678" t="s">
        <v>150</v>
      </c>
      <c r="L678" t="s">
        <v>215</v>
      </c>
    </row>
    <row r="679" spans="1:12" x14ac:dyDescent="0.25">
      <c r="A679" t="s">
        <v>782</v>
      </c>
      <c r="B679">
        <v>4609</v>
      </c>
      <c r="C679">
        <v>1084</v>
      </c>
      <c r="D679">
        <v>8</v>
      </c>
      <c r="E679" t="s">
        <v>13</v>
      </c>
      <c r="F679" t="s">
        <v>28</v>
      </c>
      <c r="G679" t="s">
        <v>15</v>
      </c>
      <c r="H679" s="1">
        <v>45137</v>
      </c>
      <c r="I679" t="s">
        <v>783</v>
      </c>
      <c r="J679" t="s">
        <v>17</v>
      </c>
      <c r="K679" t="s">
        <v>34</v>
      </c>
      <c r="L679" t="s">
        <v>105</v>
      </c>
    </row>
    <row r="680" spans="1:12" x14ac:dyDescent="0.25">
      <c r="A680" t="s">
        <v>782</v>
      </c>
      <c r="B680">
        <v>2328</v>
      </c>
      <c r="C680">
        <v>788</v>
      </c>
      <c r="D680">
        <v>4</v>
      </c>
      <c r="E680" t="s">
        <v>30</v>
      </c>
      <c r="F680" t="s">
        <v>64</v>
      </c>
      <c r="G680" t="s">
        <v>15</v>
      </c>
      <c r="H680" s="1">
        <v>45137</v>
      </c>
      <c r="I680" t="s">
        <v>783</v>
      </c>
      <c r="J680" t="s">
        <v>17</v>
      </c>
      <c r="K680" t="s">
        <v>34</v>
      </c>
      <c r="L680" t="s">
        <v>105</v>
      </c>
    </row>
    <row r="681" spans="1:12" x14ac:dyDescent="0.25">
      <c r="A681" t="s">
        <v>782</v>
      </c>
      <c r="B681">
        <v>4734</v>
      </c>
      <c r="C681">
        <v>958</v>
      </c>
      <c r="D681">
        <v>7</v>
      </c>
      <c r="E681" t="s">
        <v>13</v>
      </c>
      <c r="F681" t="s">
        <v>28</v>
      </c>
      <c r="G681" t="s">
        <v>32</v>
      </c>
      <c r="H681" s="1">
        <v>45137</v>
      </c>
      <c r="I681" t="s">
        <v>783</v>
      </c>
      <c r="J681" t="s">
        <v>17</v>
      </c>
      <c r="K681" t="s">
        <v>34</v>
      </c>
      <c r="L681" t="s">
        <v>105</v>
      </c>
    </row>
    <row r="682" spans="1:12" x14ac:dyDescent="0.25">
      <c r="A682" t="s">
        <v>784</v>
      </c>
      <c r="B682">
        <v>1388</v>
      </c>
      <c r="C682">
        <v>345</v>
      </c>
      <c r="D682">
        <v>5</v>
      </c>
      <c r="E682" t="s">
        <v>45</v>
      </c>
      <c r="F682" t="s">
        <v>60</v>
      </c>
      <c r="G682" t="s">
        <v>15</v>
      </c>
      <c r="H682" s="1">
        <v>45570</v>
      </c>
      <c r="I682" t="s">
        <v>785</v>
      </c>
      <c r="J682" t="s">
        <v>25</v>
      </c>
      <c r="K682" t="s">
        <v>51</v>
      </c>
      <c r="L682" t="s">
        <v>360</v>
      </c>
    </row>
    <row r="683" spans="1:12" x14ac:dyDescent="0.25">
      <c r="A683" t="s">
        <v>784</v>
      </c>
      <c r="B683">
        <v>8555</v>
      </c>
      <c r="C683">
        <v>1638</v>
      </c>
      <c r="D683">
        <v>8</v>
      </c>
      <c r="E683" t="s">
        <v>13</v>
      </c>
      <c r="F683" t="s">
        <v>39</v>
      </c>
      <c r="G683" t="s">
        <v>47</v>
      </c>
      <c r="H683" s="1">
        <v>45570</v>
      </c>
      <c r="I683" t="s">
        <v>785</v>
      </c>
      <c r="J683" t="s">
        <v>25</v>
      </c>
      <c r="K683" t="s">
        <v>51</v>
      </c>
      <c r="L683" t="s">
        <v>360</v>
      </c>
    </row>
    <row r="684" spans="1:12" x14ac:dyDescent="0.25">
      <c r="A684" t="s">
        <v>786</v>
      </c>
      <c r="B684">
        <v>9024</v>
      </c>
      <c r="C684">
        <v>730</v>
      </c>
      <c r="D684">
        <v>4</v>
      </c>
      <c r="E684" t="s">
        <v>45</v>
      </c>
      <c r="F684" t="s">
        <v>46</v>
      </c>
      <c r="G684" t="s">
        <v>47</v>
      </c>
      <c r="H684" s="1">
        <v>45342</v>
      </c>
      <c r="I684" t="s">
        <v>787</v>
      </c>
      <c r="J684" t="s">
        <v>71</v>
      </c>
      <c r="K684" t="s">
        <v>72</v>
      </c>
      <c r="L684" t="s">
        <v>218</v>
      </c>
    </row>
    <row r="685" spans="1:12" x14ac:dyDescent="0.25">
      <c r="A685" t="s">
        <v>786</v>
      </c>
      <c r="B685">
        <v>2468</v>
      </c>
      <c r="C685">
        <v>418</v>
      </c>
      <c r="D685">
        <v>4</v>
      </c>
      <c r="E685" t="s">
        <v>13</v>
      </c>
      <c r="F685" t="s">
        <v>39</v>
      </c>
      <c r="G685" t="s">
        <v>47</v>
      </c>
      <c r="H685" s="1">
        <v>45342</v>
      </c>
      <c r="I685" t="s">
        <v>787</v>
      </c>
      <c r="J685" t="s">
        <v>71</v>
      </c>
      <c r="K685" t="s">
        <v>72</v>
      </c>
      <c r="L685" t="s">
        <v>218</v>
      </c>
    </row>
    <row r="686" spans="1:12" x14ac:dyDescent="0.25">
      <c r="A686" t="s">
        <v>788</v>
      </c>
      <c r="B686">
        <v>9438</v>
      </c>
      <c r="C686">
        <v>1801</v>
      </c>
      <c r="D686">
        <v>4</v>
      </c>
      <c r="E686" t="s">
        <v>13</v>
      </c>
      <c r="F686" t="s">
        <v>14</v>
      </c>
      <c r="G686" t="s">
        <v>65</v>
      </c>
      <c r="H686" s="1">
        <v>45035</v>
      </c>
      <c r="I686" t="s">
        <v>789</v>
      </c>
      <c r="J686" t="s">
        <v>17</v>
      </c>
      <c r="K686" t="s">
        <v>34</v>
      </c>
      <c r="L686" t="s">
        <v>145</v>
      </c>
    </row>
    <row r="687" spans="1:12" x14ac:dyDescent="0.25">
      <c r="A687" t="s">
        <v>788</v>
      </c>
      <c r="B687">
        <v>9438</v>
      </c>
      <c r="C687">
        <v>1801</v>
      </c>
      <c r="D687">
        <v>4</v>
      </c>
      <c r="E687" t="s">
        <v>13</v>
      </c>
      <c r="F687" t="s">
        <v>14</v>
      </c>
      <c r="G687" t="s">
        <v>65</v>
      </c>
      <c r="H687" s="1">
        <v>45228</v>
      </c>
      <c r="I687" t="s">
        <v>790</v>
      </c>
      <c r="J687" t="s">
        <v>71</v>
      </c>
      <c r="K687" t="s">
        <v>86</v>
      </c>
      <c r="L687" t="s">
        <v>442</v>
      </c>
    </row>
    <row r="688" spans="1:12" x14ac:dyDescent="0.25">
      <c r="A688" t="s">
        <v>791</v>
      </c>
      <c r="B688">
        <v>2685</v>
      </c>
      <c r="C688">
        <v>379</v>
      </c>
      <c r="D688">
        <v>18</v>
      </c>
      <c r="E688" t="s">
        <v>13</v>
      </c>
      <c r="F688" t="s">
        <v>82</v>
      </c>
      <c r="G688" t="s">
        <v>15</v>
      </c>
      <c r="H688" s="1">
        <v>44628</v>
      </c>
      <c r="I688" t="s">
        <v>792</v>
      </c>
      <c r="J688" t="s">
        <v>98</v>
      </c>
      <c r="K688" t="s">
        <v>117</v>
      </c>
      <c r="L688" t="s">
        <v>134</v>
      </c>
    </row>
    <row r="689" spans="1:12" x14ac:dyDescent="0.25">
      <c r="A689" t="s">
        <v>791</v>
      </c>
      <c r="B689">
        <v>2685</v>
      </c>
      <c r="C689">
        <v>379</v>
      </c>
      <c r="D689">
        <v>18</v>
      </c>
      <c r="E689" t="s">
        <v>13</v>
      </c>
      <c r="F689" t="s">
        <v>82</v>
      </c>
      <c r="G689" t="s">
        <v>15</v>
      </c>
      <c r="H689" s="1">
        <v>44903</v>
      </c>
      <c r="I689" t="s">
        <v>793</v>
      </c>
      <c r="J689" t="s">
        <v>17</v>
      </c>
      <c r="K689" t="s">
        <v>150</v>
      </c>
      <c r="L689" t="s">
        <v>152</v>
      </c>
    </row>
    <row r="690" spans="1:12" x14ac:dyDescent="0.25">
      <c r="A690" t="s">
        <v>791</v>
      </c>
      <c r="B690">
        <v>9916</v>
      </c>
      <c r="C690">
        <v>4602</v>
      </c>
      <c r="D690">
        <v>14</v>
      </c>
      <c r="E690" t="s">
        <v>45</v>
      </c>
      <c r="F690" t="s">
        <v>49</v>
      </c>
      <c r="G690" t="s">
        <v>15</v>
      </c>
      <c r="H690" s="1">
        <v>44628</v>
      </c>
      <c r="I690" t="s">
        <v>792</v>
      </c>
      <c r="J690" t="s">
        <v>98</v>
      </c>
      <c r="K690" t="s">
        <v>117</v>
      </c>
      <c r="L690" t="s">
        <v>134</v>
      </c>
    </row>
    <row r="691" spans="1:12" x14ac:dyDescent="0.25">
      <c r="A691" t="s">
        <v>791</v>
      </c>
      <c r="B691">
        <v>9916</v>
      </c>
      <c r="C691">
        <v>4602</v>
      </c>
      <c r="D691">
        <v>14</v>
      </c>
      <c r="E691" t="s">
        <v>45</v>
      </c>
      <c r="F691" t="s">
        <v>49</v>
      </c>
      <c r="G691" t="s">
        <v>15</v>
      </c>
      <c r="H691" s="1">
        <v>44903</v>
      </c>
      <c r="I691" t="s">
        <v>793</v>
      </c>
      <c r="J691" t="s">
        <v>17</v>
      </c>
      <c r="K691" t="s">
        <v>150</v>
      </c>
      <c r="L691" t="s">
        <v>152</v>
      </c>
    </row>
    <row r="692" spans="1:12" x14ac:dyDescent="0.25">
      <c r="A692" t="s">
        <v>791</v>
      </c>
      <c r="B692">
        <v>6184</v>
      </c>
      <c r="C692">
        <v>50</v>
      </c>
      <c r="D692">
        <v>14</v>
      </c>
      <c r="E692" t="s">
        <v>13</v>
      </c>
      <c r="F692" t="s">
        <v>14</v>
      </c>
      <c r="G692" t="s">
        <v>47</v>
      </c>
      <c r="H692" s="1">
        <v>44628</v>
      </c>
      <c r="I692" t="s">
        <v>792</v>
      </c>
      <c r="J692" t="s">
        <v>98</v>
      </c>
      <c r="K692" t="s">
        <v>117</v>
      </c>
      <c r="L692" t="s">
        <v>134</v>
      </c>
    </row>
    <row r="693" spans="1:12" x14ac:dyDescent="0.25">
      <c r="A693" t="s">
        <v>791</v>
      </c>
      <c r="B693">
        <v>6184</v>
      </c>
      <c r="C693">
        <v>50</v>
      </c>
      <c r="D693">
        <v>14</v>
      </c>
      <c r="E693" t="s">
        <v>13</v>
      </c>
      <c r="F693" t="s">
        <v>14</v>
      </c>
      <c r="G693" t="s">
        <v>47</v>
      </c>
      <c r="H693" s="1">
        <v>44903</v>
      </c>
      <c r="I693" t="s">
        <v>793</v>
      </c>
      <c r="J693" t="s">
        <v>17</v>
      </c>
      <c r="K693" t="s">
        <v>150</v>
      </c>
      <c r="L693" t="s">
        <v>152</v>
      </c>
    </row>
    <row r="694" spans="1:12" x14ac:dyDescent="0.25">
      <c r="A694" t="s">
        <v>791</v>
      </c>
      <c r="B694">
        <v>4548</v>
      </c>
      <c r="C694">
        <v>2135</v>
      </c>
      <c r="D694">
        <v>8</v>
      </c>
      <c r="E694" t="s">
        <v>30</v>
      </c>
      <c r="F694" t="s">
        <v>57</v>
      </c>
      <c r="G694" t="s">
        <v>32</v>
      </c>
      <c r="H694" s="1">
        <v>44628</v>
      </c>
      <c r="I694" t="s">
        <v>792</v>
      </c>
      <c r="J694" t="s">
        <v>98</v>
      </c>
      <c r="K694" t="s">
        <v>117</v>
      </c>
      <c r="L694" t="s">
        <v>134</v>
      </c>
    </row>
    <row r="695" spans="1:12" x14ac:dyDescent="0.25">
      <c r="A695" t="s">
        <v>791</v>
      </c>
      <c r="B695">
        <v>4548</v>
      </c>
      <c r="C695">
        <v>2135</v>
      </c>
      <c r="D695">
        <v>8</v>
      </c>
      <c r="E695" t="s">
        <v>30</v>
      </c>
      <c r="F695" t="s">
        <v>57</v>
      </c>
      <c r="G695" t="s">
        <v>32</v>
      </c>
      <c r="H695" s="1">
        <v>44903</v>
      </c>
      <c r="I695" t="s">
        <v>793</v>
      </c>
      <c r="J695" t="s">
        <v>17</v>
      </c>
      <c r="K695" t="s">
        <v>150</v>
      </c>
      <c r="L695" t="s">
        <v>152</v>
      </c>
    </row>
    <row r="696" spans="1:12" x14ac:dyDescent="0.25">
      <c r="A696" t="s">
        <v>794</v>
      </c>
      <c r="B696">
        <v>7195</v>
      </c>
      <c r="C696">
        <v>1665</v>
      </c>
      <c r="D696">
        <v>7</v>
      </c>
      <c r="E696" t="s">
        <v>30</v>
      </c>
      <c r="F696" t="s">
        <v>57</v>
      </c>
      <c r="G696" t="s">
        <v>65</v>
      </c>
      <c r="H696" s="1">
        <v>45500</v>
      </c>
      <c r="I696" t="s">
        <v>795</v>
      </c>
      <c r="J696" t="s">
        <v>25</v>
      </c>
      <c r="K696" t="s">
        <v>68</v>
      </c>
      <c r="L696" t="s">
        <v>215</v>
      </c>
    </row>
    <row r="697" spans="1:12" x14ac:dyDescent="0.25">
      <c r="A697" t="s">
        <v>794</v>
      </c>
      <c r="B697">
        <v>7195</v>
      </c>
      <c r="C697">
        <v>1665</v>
      </c>
      <c r="D697">
        <v>7</v>
      </c>
      <c r="E697" t="s">
        <v>30</v>
      </c>
      <c r="F697" t="s">
        <v>57</v>
      </c>
      <c r="G697" t="s">
        <v>65</v>
      </c>
      <c r="H697" s="1">
        <v>44747</v>
      </c>
      <c r="I697" t="s">
        <v>796</v>
      </c>
      <c r="J697" t="s">
        <v>25</v>
      </c>
      <c r="K697" t="s">
        <v>26</v>
      </c>
      <c r="L697" t="s">
        <v>418</v>
      </c>
    </row>
    <row r="698" spans="1:12" x14ac:dyDescent="0.25">
      <c r="A698" t="s">
        <v>797</v>
      </c>
      <c r="B698">
        <v>3098</v>
      </c>
      <c r="C698">
        <v>957</v>
      </c>
      <c r="D698">
        <v>18</v>
      </c>
      <c r="E698" t="s">
        <v>45</v>
      </c>
      <c r="F698" t="s">
        <v>109</v>
      </c>
      <c r="G698" t="s">
        <v>65</v>
      </c>
      <c r="H698" s="1">
        <v>45477</v>
      </c>
      <c r="I698" t="s">
        <v>798</v>
      </c>
      <c r="J698" t="s">
        <v>71</v>
      </c>
      <c r="K698" t="s">
        <v>86</v>
      </c>
      <c r="L698" t="s">
        <v>215</v>
      </c>
    </row>
    <row r="699" spans="1:12" x14ac:dyDescent="0.25">
      <c r="A699" t="s">
        <v>799</v>
      </c>
      <c r="B699">
        <v>5412</v>
      </c>
      <c r="C699">
        <v>1192</v>
      </c>
      <c r="D699">
        <v>18</v>
      </c>
      <c r="E699" t="s">
        <v>45</v>
      </c>
      <c r="F699" t="s">
        <v>46</v>
      </c>
      <c r="G699" t="s">
        <v>47</v>
      </c>
      <c r="H699" s="1">
        <v>45350</v>
      </c>
      <c r="I699" t="s">
        <v>800</v>
      </c>
      <c r="J699" t="s">
        <v>42</v>
      </c>
      <c r="K699" t="s">
        <v>75</v>
      </c>
      <c r="L699" t="s">
        <v>218</v>
      </c>
    </row>
    <row r="700" spans="1:12" x14ac:dyDescent="0.25">
      <c r="A700" t="s">
        <v>799</v>
      </c>
      <c r="B700">
        <v>5412</v>
      </c>
      <c r="C700">
        <v>1192</v>
      </c>
      <c r="D700">
        <v>18</v>
      </c>
      <c r="E700" t="s">
        <v>45</v>
      </c>
      <c r="F700" t="s">
        <v>46</v>
      </c>
      <c r="G700" t="s">
        <v>47</v>
      </c>
      <c r="H700" s="1">
        <v>45660</v>
      </c>
      <c r="I700" t="s">
        <v>801</v>
      </c>
      <c r="J700" t="s">
        <v>42</v>
      </c>
      <c r="K700" t="s">
        <v>43</v>
      </c>
      <c r="L700" t="s">
        <v>308</v>
      </c>
    </row>
    <row r="701" spans="1:12" x14ac:dyDescent="0.25">
      <c r="A701" t="s">
        <v>802</v>
      </c>
      <c r="B701">
        <v>1397</v>
      </c>
      <c r="C701">
        <v>686</v>
      </c>
      <c r="D701">
        <v>11</v>
      </c>
      <c r="E701" t="s">
        <v>45</v>
      </c>
      <c r="F701" t="s">
        <v>49</v>
      </c>
      <c r="G701" t="s">
        <v>47</v>
      </c>
      <c r="H701" s="1">
        <v>44537</v>
      </c>
      <c r="I701" t="s">
        <v>803</v>
      </c>
      <c r="J701" t="s">
        <v>25</v>
      </c>
      <c r="K701" t="s">
        <v>51</v>
      </c>
      <c r="L701" t="s">
        <v>90</v>
      </c>
    </row>
    <row r="702" spans="1:12" x14ac:dyDescent="0.25">
      <c r="A702" t="s">
        <v>804</v>
      </c>
      <c r="B702">
        <v>9279</v>
      </c>
      <c r="C702">
        <v>552</v>
      </c>
      <c r="D702">
        <v>14</v>
      </c>
      <c r="E702" t="s">
        <v>45</v>
      </c>
      <c r="F702" t="s">
        <v>49</v>
      </c>
      <c r="G702" t="s">
        <v>40</v>
      </c>
      <c r="H702" s="1">
        <v>44544</v>
      </c>
      <c r="I702" t="s">
        <v>805</v>
      </c>
      <c r="J702" t="s">
        <v>25</v>
      </c>
      <c r="K702" t="s">
        <v>26</v>
      </c>
      <c r="L702" t="s">
        <v>90</v>
      </c>
    </row>
    <row r="703" spans="1:12" x14ac:dyDescent="0.25">
      <c r="A703" t="s">
        <v>804</v>
      </c>
      <c r="B703">
        <v>9279</v>
      </c>
      <c r="C703">
        <v>552</v>
      </c>
      <c r="D703">
        <v>14</v>
      </c>
      <c r="E703" t="s">
        <v>45</v>
      </c>
      <c r="F703" t="s">
        <v>49</v>
      </c>
      <c r="G703" t="s">
        <v>40</v>
      </c>
      <c r="H703" s="1">
        <v>44165</v>
      </c>
      <c r="I703" t="s">
        <v>806</v>
      </c>
      <c r="J703" t="s">
        <v>42</v>
      </c>
      <c r="K703" t="s">
        <v>92</v>
      </c>
      <c r="L703" t="s">
        <v>80</v>
      </c>
    </row>
    <row r="704" spans="1:12" x14ac:dyDescent="0.25">
      <c r="A704" t="s">
        <v>804</v>
      </c>
      <c r="B704">
        <v>2596</v>
      </c>
      <c r="C704">
        <v>1003</v>
      </c>
      <c r="D704">
        <v>19</v>
      </c>
      <c r="E704" t="s">
        <v>30</v>
      </c>
      <c r="F704" t="s">
        <v>64</v>
      </c>
      <c r="G704" t="s">
        <v>47</v>
      </c>
      <c r="H704" s="1">
        <v>44544</v>
      </c>
      <c r="I704" t="s">
        <v>805</v>
      </c>
      <c r="J704" t="s">
        <v>25</v>
      </c>
      <c r="K704" t="s">
        <v>26</v>
      </c>
      <c r="L704" t="s">
        <v>90</v>
      </c>
    </row>
    <row r="705" spans="1:12" x14ac:dyDescent="0.25">
      <c r="A705" t="s">
        <v>804</v>
      </c>
      <c r="B705">
        <v>2596</v>
      </c>
      <c r="C705">
        <v>1003</v>
      </c>
      <c r="D705">
        <v>19</v>
      </c>
      <c r="E705" t="s">
        <v>30</v>
      </c>
      <c r="F705" t="s">
        <v>64</v>
      </c>
      <c r="G705" t="s">
        <v>47</v>
      </c>
      <c r="H705" s="1">
        <v>44165</v>
      </c>
      <c r="I705" t="s">
        <v>806</v>
      </c>
      <c r="J705" t="s">
        <v>42</v>
      </c>
      <c r="K705" t="s">
        <v>92</v>
      </c>
      <c r="L705" t="s">
        <v>80</v>
      </c>
    </row>
    <row r="706" spans="1:12" x14ac:dyDescent="0.25">
      <c r="A706" t="s">
        <v>807</v>
      </c>
      <c r="B706">
        <v>6732</v>
      </c>
      <c r="C706">
        <v>911</v>
      </c>
      <c r="D706">
        <v>19</v>
      </c>
      <c r="E706" t="s">
        <v>45</v>
      </c>
      <c r="F706" t="s">
        <v>109</v>
      </c>
      <c r="G706" t="s">
        <v>40</v>
      </c>
      <c r="H706" s="1">
        <v>44559</v>
      </c>
      <c r="I706" t="s">
        <v>808</v>
      </c>
      <c r="J706" t="s">
        <v>25</v>
      </c>
      <c r="K706" t="s">
        <v>26</v>
      </c>
      <c r="L706" t="s">
        <v>90</v>
      </c>
    </row>
    <row r="707" spans="1:12" x14ac:dyDescent="0.25">
      <c r="A707" t="s">
        <v>807</v>
      </c>
      <c r="B707">
        <v>4495</v>
      </c>
      <c r="C707">
        <v>1408</v>
      </c>
      <c r="D707">
        <v>14</v>
      </c>
      <c r="E707" t="s">
        <v>30</v>
      </c>
      <c r="F707" t="s">
        <v>31</v>
      </c>
      <c r="G707" t="s">
        <v>40</v>
      </c>
      <c r="H707" s="1">
        <v>44559</v>
      </c>
      <c r="I707" t="s">
        <v>808</v>
      </c>
      <c r="J707" t="s">
        <v>25</v>
      </c>
      <c r="K707" t="s">
        <v>26</v>
      </c>
      <c r="L707" t="s">
        <v>90</v>
      </c>
    </row>
    <row r="708" spans="1:12" x14ac:dyDescent="0.25">
      <c r="A708" t="s">
        <v>809</v>
      </c>
      <c r="B708">
        <v>9653</v>
      </c>
      <c r="C708">
        <v>2471</v>
      </c>
      <c r="D708">
        <v>6</v>
      </c>
      <c r="E708" t="s">
        <v>30</v>
      </c>
      <c r="F708" t="s">
        <v>64</v>
      </c>
      <c r="G708" t="s">
        <v>15</v>
      </c>
      <c r="H708" s="1">
        <v>45481</v>
      </c>
      <c r="I708" t="s">
        <v>810</v>
      </c>
      <c r="J708" t="s">
        <v>25</v>
      </c>
      <c r="K708" t="s">
        <v>26</v>
      </c>
      <c r="L708" t="s">
        <v>215</v>
      </c>
    </row>
    <row r="709" spans="1:12" x14ac:dyDescent="0.25">
      <c r="A709" t="s">
        <v>811</v>
      </c>
      <c r="B709">
        <v>8945</v>
      </c>
      <c r="C709">
        <v>1728</v>
      </c>
      <c r="D709">
        <v>10</v>
      </c>
      <c r="E709" t="s">
        <v>45</v>
      </c>
      <c r="F709" t="s">
        <v>46</v>
      </c>
      <c r="G709" t="s">
        <v>15</v>
      </c>
      <c r="H709" s="1">
        <v>44237</v>
      </c>
      <c r="I709" t="s">
        <v>812</v>
      </c>
      <c r="J709" t="s">
        <v>21</v>
      </c>
      <c r="K709" t="s">
        <v>172</v>
      </c>
      <c r="L709" t="s">
        <v>292</v>
      </c>
    </row>
    <row r="710" spans="1:12" x14ac:dyDescent="0.25">
      <c r="A710" t="s">
        <v>813</v>
      </c>
      <c r="B710">
        <v>4007</v>
      </c>
      <c r="C710">
        <v>201</v>
      </c>
      <c r="D710">
        <v>13</v>
      </c>
      <c r="E710" t="s">
        <v>45</v>
      </c>
      <c r="F710" t="s">
        <v>109</v>
      </c>
      <c r="G710" t="s">
        <v>65</v>
      </c>
      <c r="H710" s="1">
        <v>44125</v>
      </c>
      <c r="I710" t="s">
        <v>814</v>
      </c>
      <c r="J710" t="s">
        <v>98</v>
      </c>
      <c r="K710" t="s">
        <v>99</v>
      </c>
      <c r="L710" t="s">
        <v>119</v>
      </c>
    </row>
    <row r="711" spans="1:12" x14ac:dyDescent="0.25">
      <c r="A711" t="s">
        <v>813</v>
      </c>
      <c r="B711">
        <v>4007</v>
      </c>
      <c r="C711">
        <v>201</v>
      </c>
      <c r="D711">
        <v>13</v>
      </c>
      <c r="E711" t="s">
        <v>45</v>
      </c>
      <c r="F711" t="s">
        <v>109</v>
      </c>
      <c r="G711" t="s">
        <v>65</v>
      </c>
      <c r="H711" s="1">
        <v>45033</v>
      </c>
      <c r="I711" t="s">
        <v>815</v>
      </c>
      <c r="J711" t="s">
        <v>71</v>
      </c>
      <c r="K711" t="s">
        <v>72</v>
      </c>
      <c r="L711" t="s">
        <v>145</v>
      </c>
    </row>
    <row r="712" spans="1:12" x14ac:dyDescent="0.25">
      <c r="A712" t="s">
        <v>816</v>
      </c>
      <c r="B712">
        <v>810</v>
      </c>
      <c r="C712">
        <v>231</v>
      </c>
      <c r="D712">
        <v>18</v>
      </c>
      <c r="E712" t="s">
        <v>45</v>
      </c>
      <c r="F712" t="s">
        <v>109</v>
      </c>
      <c r="G712" t="s">
        <v>40</v>
      </c>
      <c r="H712" s="1">
        <v>44125</v>
      </c>
      <c r="I712" t="s">
        <v>817</v>
      </c>
      <c r="J712" t="s">
        <v>17</v>
      </c>
      <c r="K712" t="s">
        <v>150</v>
      </c>
      <c r="L712" t="s">
        <v>119</v>
      </c>
    </row>
    <row r="713" spans="1:12" x14ac:dyDescent="0.25">
      <c r="A713" t="s">
        <v>818</v>
      </c>
      <c r="B713">
        <v>9789</v>
      </c>
      <c r="C713">
        <v>2071</v>
      </c>
      <c r="D713">
        <v>18</v>
      </c>
      <c r="E713" t="s">
        <v>45</v>
      </c>
      <c r="F713" t="s">
        <v>109</v>
      </c>
      <c r="G713" t="s">
        <v>32</v>
      </c>
      <c r="H713" s="1">
        <v>45288</v>
      </c>
      <c r="I713" t="s">
        <v>819</v>
      </c>
      <c r="J713" t="s">
        <v>25</v>
      </c>
      <c r="K713" t="s">
        <v>68</v>
      </c>
      <c r="L713" t="s">
        <v>102</v>
      </c>
    </row>
    <row r="714" spans="1:12" x14ac:dyDescent="0.25">
      <c r="A714" t="s">
        <v>818</v>
      </c>
      <c r="B714">
        <v>9229</v>
      </c>
      <c r="C714">
        <v>4090</v>
      </c>
      <c r="D714">
        <v>8</v>
      </c>
      <c r="E714" t="s">
        <v>13</v>
      </c>
      <c r="F714" t="s">
        <v>14</v>
      </c>
      <c r="G714" t="s">
        <v>65</v>
      </c>
      <c r="H714" s="1">
        <v>45288</v>
      </c>
      <c r="I714" t="s">
        <v>819</v>
      </c>
      <c r="J714" t="s">
        <v>25</v>
      </c>
      <c r="K714" t="s">
        <v>68</v>
      </c>
      <c r="L714" t="s">
        <v>102</v>
      </c>
    </row>
    <row r="715" spans="1:12" x14ac:dyDescent="0.25">
      <c r="A715" t="s">
        <v>820</v>
      </c>
      <c r="B715">
        <v>8141</v>
      </c>
      <c r="C715">
        <v>3968</v>
      </c>
      <c r="D715">
        <v>18</v>
      </c>
      <c r="E715" t="s">
        <v>30</v>
      </c>
      <c r="F715" t="s">
        <v>57</v>
      </c>
      <c r="G715" t="s">
        <v>32</v>
      </c>
      <c r="H715" s="1">
        <v>44918</v>
      </c>
      <c r="I715" t="s">
        <v>821</v>
      </c>
      <c r="J715" t="s">
        <v>25</v>
      </c>
      <c r="K715" t="s">
        <v>68</v>
      </c>
      <c r="L715" t="s">
        <v>152</v>
      </c>
    </row>
    <row r="716" spans="1:12" x14ac:dyDescent="0.25">
      <c r="A716" t="s">
        <v>820</v>
      </c>
      <c r="B716">
        <v>8141</v>
      </c>
      <c r="C716">
        <v>3968</v>
      </c>
      <c r="D716">
        <v>18</v>
      </c>
      <c r="E716" t="s">
        <v>30</v>
      </c>
      <c r="F716" t="s">
        <v>57</v>
      </c>
      <c r="G716" t="s">
        <v>32</v>
      </c>
      <c r="H716" s="1">
        <v>44783</v>
      </c>
      <c r="I716" t="s">
        <v>822</v>
      </c>
      <c r="J716" t="s">
        <v>21</v>
      </c>
      <c r="K716" t="s">
        <v>172</v>
      </c>
      <c r="L716" t="s">
        <v>209</v>
      </c>
    </row>
    <row r="717" spans="1:12" x14ac:dyDescent="0.25">
      <c r="A717" t="s">
        <v>820</v>
      </c>
      <c r="B717">
        <v>1067</v>
      </c>
      <c r="C717">
        <v>251</v>
      </c>
      <c r="D717">
        <v>14</v>
      </c>
      <c r="E717" t="s">
        <v>45</v>
      </c>
      <c r="F717" t="s">
        <v>60</v>
      </c>
      <c r="G717" t="s">
        <v>40</v>
      </c>
      <c r="H717" s="1">
        <v>44918</v>
      </c>
      <c r="I717" t="s">
        <v>821</v>
      </c>
      <c r="J717" t="s">
        <v>25</v>
      </c>
      <c r="K717" t="s">
        <v>68</v>
      </c>
      <c r="L717" t="s">
        <v>152</v>
      </c>
    </row>
    <row r="718" spans="1:12" x14ac:dyDescent="0.25">
      <c r="A718" t="s">
        <v>820</v>
      </c>
      <c r="B718">
        <v>1067</v>
      </c>
      <c r="C718">
        <v>251</v>
      </c>
      <c r="D718">
        <v>14</v>
      </c>
      <c r="E718" t="s">
        <v>45</v>
      </c>
      <c r="F718" t="s">
        <v>60</v>
      </c>
      <c r="G718" t="s">
        <v>40</v>
      </c>
      <c r="H718" s="1">
        <v>44783</v>
      </c>
      <c r="I718" t="s">
        <v>822</v>
      </c>
      <c r="J718" t="s">
        <v>21</v>
      </c>
      <c r="K718" t="s">
        <v>172</v>
      </c>
      <c r="L718" t="s">
        <v>209</v>
      </c>
    </row>
    <row r="719" spans="1:12" x14ac:dyDescent="0.25">
      <c r="A719" t="s">
        <v>823</v>
      </c>
      <c r="B719">
        <v>3839</v>
      </c>
      <c r="C719">
        <v>1415</v>
      </c>
      <c r="D719">
        <v>10</v>
      </c>
      <c r="E719" t="s">
        <v>30</v>
      </c>
      <c r="F719" t="s">
        <v>78</v>
      </c>
      <c r="G719" t="s">
        <v>15</v>
      </c>
      <c r="H719" s="1">
        <v>45216</v>
      </c>
      <c r="I719" t="s">
        <v>824</v>
      </c>
      <c r="J719" t="s">
        <v>42</v>
      </c>
      <c r="K719" t="s">
        <v>43</v>
      </c>
      <c r="L719" t="s">
        <v>442</v>
      </c>
    </row>
    <row r="720" spans="1:12" x14ac:dyDescent="0.25">
      <c r="A720" t="s">
        <v>823</v>
      </c>
      <c r="B720">
        <v>3839</v>
      </c>
      <c r="C720">
        <v>1415</v>
      </c>
      <c r="D720">
        <v>10</v>
      </c>
      <c r="E720" t="s">
        <v>30</v>
      </c>
      <c r="F720" t="s">
        <v>78</v>
      </c>
      <c r="G720" t="s">
        <v>15</v>
      </c>
      <c r="H720" s="1">
        <v>44620</v>
      </c>
      <c r="I720" t="s">
        <v>825</v>
      </c>
      <c r="J720" t="s">
        <v>17</v>
      </c>
      <c r="K720" t="s">
        <v>34</v>
      </c>
      <c r="L720" t="s">
        <v>137</v>
      </c>
    </row>
    <row r="721" spans="1:12" x14ac:dyDescent="0.25">
      <c r="A721" t="s">
        <v>826</v>
      </c>
      <c r="B721">
        <v>2858</v>
      </c>
      <c r="C721">
        <v>482</v>
      </c>
      <c r="D721">
        <v>13</v>
      </c>
      <c r="E721" t="s">
        <v>13</v>
      </c>
      <c r="F721" t="s">
        <v>14</v>
      </c>
      <c r="G721" t="s">
        <v>65</v>
      </c>
      <c r="H721" s="1">
        <v>45436</v>
      </c>
      <c r="I721" t="s">
        <v>827</v>
      </c>
      <c r="J721" t="s">
        <v>71</v>
      </c>
      <c r="K721" t="s">
        <v>86</v>
      </c>
      <c r="L721" t="s">
        <v>35</v>
      </c>
    </row>
    <row r="722" spans="1:12" x14ac:dyDescent="0.25">
      <c r="A722" t="s">
        <v>828</v>
      </c>
      <c r="B722">
        <v>2137</v>
      </c>
      <c r="C722">
        <v>638</v>
      </c>
      <c r="D722">
        <v>12</v>
      </c>
      <c r="E722" t="s">
        <v>45</v>
      </c>
      <c r="F722" t="s">
        <v>109</v>
      </c>
      <c r="G722" t="s">
        <v>32</v>
      </c>
      <c r="H722" s="1">
        <v>44106</v>
      </c>
      <c r="I722" t="s">
        <v>829</v>
      </c>
      <c r="J722" t="s">
        <v>25</v>
      </c>
      <c r="K722" t="s">
        <v>51</v>
      </c>
      <c r="L722" t="s">
        <v>119</v>
      </c>
    </row>
    <row r="723" spans="1:12" x14ac:dyDescent="0.25">
      <c r="A723" t="s">
        <v>828</v>
      </c>
      <c r="B723">
        <v>2831</v>
      </c>
      <c r="C723">
        <v>1289</v>
      </c>
      <c r="D723">
        <v>12</v>
      </c>
      <c r="E723" t="s">
        <v>45</v>
      </c>
      <c r="F723" t="s">
        <v>49</v>
      </c>
      <c r="G723" t="s">
        <v>32</v>
      </c>
      <c r="H723" s="1">
        <v>44106</v>
      </c>
      <c r="I723" t="s">
        <v>829</v>
      </c>
      <c r="J723" t="s">
        <v>25</v>
      </c>
      <c r="K723" t="s">
        <v>51</v>
      </c>
      <c r="L723" t="s">
        <v>119</v>
      </c>
    </row>
    <row r="724" spans="1:12" x14ac:dyDescent="0.25">
      <c r="A724" t="s">
        <v>830</v>
      </c>
      <c r="B724">
        <v>3913</v>
      </c>
      <c r="C724">
        <v>961</v>
      </c>
      <c r="D724">
        <v>15</v>
      </c>
      <c r="E724" t="s">
        <v>45</v>
      </c>
      <c r="F724" t="s">
        <v>60</v>
      </c>
      <c r="G724" t="s">
        <v>15</v>
      </c>
      <c r="H724" s="1">
        <v>45332</v>
      </c>
      <c r="I724" t="s">
        <v>831</v>
      </c>
      <c r="J724" t="s">
        <v>98</v>
      </c>
      <c r="K724" t="s">
        <v>99</v>
      </c>
      <c r="L724" t="s">
        <v>218</v>
      </c>
    </row>
    <row r="725" spans="1:12" x14ac:dyDescent="0.25">
      <c r="A725" t="s">
        <v>830</v>
      </c>
      <c r="B725">
        <v>3913</v>
      </c>
      <c r="C725">
        <v>961</v>
      </c>
      <c r="D725">
        <v>15</v>
      </c>
      <c r="E725" t="s">
        <v>45</v>
      </c>
      <c r="F725" t="s">
        <v>60</v>
      </c>
      <c r="G725" t="s">
        <v>15</v>
      </c>
      <c r="H725" s="1">
        <v>44233</v>
      </c>
      <c r="I725" t="s">
        <v>832</v>
      </c>
      <c r="J725" t="s">
        <v>42</v>
      </c>
      <c r="K725" t="s">
        <v>92</v>
      </c>
      <c r="L725" t="s">
        <v>292</v>
      </c>
    </row>
    <row r="726" spans="1:12" x14ac:dyDescent="0.25">
      <c r="A726" t="s">
        <v>833</v>
      </c>
      <c r="B726">
        <v>4468</v>
      </c>
      <c r="C726">
        <v>1940</v>
      </c>
      <c r="D726">
        <v>9</v>
      </c>
      <c r="E726" t="s">
        <v>30</v>
      </c>
      <c r="F726" t="s">
        <v>64</v>
      </c>
      <c r="G726" t="s">
        <v>65</v>
      </c>
      <c r="H726" s="1">
        <v>44636</v>
      </c>
      <c r="I726" t="s">
        <v>834</v>
      </c>
      <c r="J726" t="s">
        <v>17</v>
      </c>
      <c r="K726" t="s">
        <v>150</v>
      </c>
      <c r="L726" t="s">
        <v>134</v>
      </c>
    </row>
    <row r="727" spans="1:12" x14ac:dyDescent="0.25">
      <c r="A727" t="s">
        <v>835</v>
      </c>
      <c r="B727">
        <v>1579</v>
      </c>
      <c r="C727">
        <v>602</v>
      </c>
      <c r="D727">
        <v>9</v>
      </c>
      <c r="E727" t="s">
        <v>13</v>
      </c>
      <c r="F727" t="s">
        <v>39</v>
      </c>
      <c r="G727" t="s">
        <v>47</v>
      </c>
      <c r="H727" s="1">
        <v>43975</v>
      </c>
      <c r="I727" t="s">
        <v>836</v>
      </c>
      <c r="J727" t="s">
        <v>98</v>
      </c>
      <c r="K727" t="s">
        <v>107</v>
      </c>
      <c r="L727" t="s">
        <v>59</v>
      </c>
    </row>
    <row r="728" spans="1:12" x14ac:dyDescent="0.25">
      <c r="A728" t="s">
        <v>835</v>
      </c>
      <c r="B728">
        <v>1579</v>
      </c>
      <c r="C728">
        <v>602</v>
      </c>
      <c r="D728">
        <v>9</v>
      </c>
      <c r="E728" t="s">
        <v>13</v>
      </c>
      <c r="F728" t="s">
        <v>39</v>
      </c>
      <c r="G728" t="s">
        <v>47</v>
      </c>
      <c r="H728" s="1">
        <v>45704</v>
      </c>
      <c r="I728" t="s">
        <v>837</v>
      </c>
      <c r="J728" t="s">
        <v>71</v>
      </c>
      <c r="K728" t="s">
        <v>72</v>
      </c>
      <c r="L728" t="s">
        <v>73</v>
      </c>
    </row>
    <row r="729" spans="1:12" x14ac:dyDescent="0.25">
      <c r="A729" t="s">
        <v>835</v>
      </c>
      <c r="B729">
        <v>1579</v>
      </c>
      <c r="C729">
        <v>602</v>
      </c>
      <c r="D729">
        <v>9</v>
      </c>
      <c r="E729" t="s">
        <v>13</v>
      </c>
      <c r="F729" t="s">
        <v>39</v>
      </c>
      <c r="G729" t="s">
        <v>47</v>
      </c>
      <c r="H729" s="1">
        <v>44516</v>
      </c>
      <c r="I729" t="s">
        <v>838</v>
      </c>
      <c r="J729" t="s">
        <v>98</v>
      </c>
      <c r="K729" t="s">
        <v>107</v>
      </c>
      <c r="L729" t="s">
        <v>175</v>
      </c>
    </row>
    <row r="730" spans="1:12" x14ac:dyDescent="0.25">
      <c r="A730" t="s">
        <v>835</v>
      </c>
      <c r="B730">
        <v>1579</v>
      </c>
      <c r="C730">
        <v>602</v>
      </c>
      <c r="D730">
        <v>9</v>
      </c>
      <c r="E730" t="s">
        <v>13</v>
      </c>
      <c r="F730" t="s">
        <v>39</v>
      </c>
      <c r="G730" t="s">
        <v>47</v>
      </c>
      <c r="H730" s="1">
        <v>45543</v>
      </c>
      <c r="I730" t="s">
        <v>839</v>
      </c>
      <c r="J730" t="s">
        <v>25</v>
      </c>
      <c r="K730" t="s">
        <v>68</v>
      </c>
      <c r="L730" t="s">
        <v>159</v>
      </c>
    </row>
    <row r="731" spans="1:12" x14ac:dyDescent="0.25">
      <c r="A731" t="s">
        <v>835</v>
      </c>
      <c r="B731">
        <v>3760</v>
      </c>
      <c r="C731">
        <v>1849</v>
      </c>
      <c r="D731">
        <v>19</v>
      </c>
      <c r="E731" t="s">
        <v>45</v>
      </c>
      <c r="F731" t="s">
        <v>49</v>
      </c>
      <c r="G731" t="s">
        <v>40</v>
      </c>
      <c r="H731" s="1">
        <v>43975</v>
      </c>
      <c r="I731" t="s">
        <v>836</v>
      </c>
      <c r="J731" t="s">
        <v>98</v>
      </c>
      <c r="K731" t="s">
        <v>107</v>
      </c>
      <c r="L731" t="s">
        <v>59</v>
      </c>
    </row>
    <row r="732" spans="1:12" x14ac:dyDescent="0.25">
      <c r="A732" t="s">
        <v>835</v>
      </c>
      <c r="B732">
        <v>3760</v>
      </c>
      <c r="C732">
        <v>1849</v>
      </c>
      <c r="D732">
        <v>19</v>
      </c>
      <c r="E732" t="s">
        <v>45</v>
      </c>
      <c r="F732" t="s">
        <v>49</v>
      </c>
      <c r="G732" t="s">
        <v>40</v>
      </c>
      <c r="H732" s="1">
        <v>45704</v>
      </c>
      <c r="I732" t="s">
        <v>837</v>
      </c>
      <c r="J732" t="s">
        <v>71</v>
      </c>
      <c r="K732" t="s">
        <v>72</v>
      </c>
      <c r="L732" t="s">
        <v>73</v>
      </c>
    </row>
    <row r="733" spans="1:12" x14ac:dyDescent="0.25">
      <c r="A733" t="s">
        <v>835</v>
      </c>
      <c r="B733">
        <v>3760</v>
      </c>
      <c r="C733">
        <v>1849</v>
      </c>
      <c r="D733">
        <v>19</v>
      </c>
      <c r="E733" t="s">
        <v>45</v>
      </c>
      <c r="F733" t="s">
        <v>49</v>
      </c>
      <c r="G733" t="s">
        <v>40</v>
      </c>
      <c r="H733" s="1">
        <v>44516</v>
      </c>
      <c r="I733" t="s">
        <v>838</v>
      </c>
      <c r="J733" t="s">
        <v>98</v>
      </c>
      <c r="K733" t="s">
        <v>107</v>
      </c>
      <c r="L733" t="s">
        <v>175</v>
      </c>
    </row>
    <row r="734" spans="1:12" x14ac:dyDescent="0.25">
      <c r="A734" t="s">
        <v>835</v>
      </c>
      <c r="B734">
        <v>3760</v>
      </c>
      <c r="C734">
        <v>1849</v>
      </c>
      <c r="D734">
        <v>19</v>
      </c>
      <c r="E734" t="s">
        <v>45</v>
      </c>
      <c r="F734" t="s">
        <v>49</v>
      </c>
      <c r="G734" t="s">
        <v>40</v>
      </c>
      <c r="H734" s="1">
        <v>45543</v>
      </c>
      <c r="I734" t="s">
        <v>839</v>
      </c>
      <c r="J734" t="s">
        <v>25</v>
      </c>
      <c r="K734" t="s">
        <v>68</v>
      </c>
      <c r="L734" t="s">
        <v>159</v>
      </c>
    </row>
    <row r="735" spans="1:12" x14ac:dyDescent="0.25">
      <c r="A735" t="s">
        <v>840</v>
      </c>
      <c r="B735">
        <v>8706</v>
      </c>
      <c r="C735">
        <v>3099</v>
      </c>
      <c r="D735">
        <v>14</v>
      </c>
      <c r="E735" t="s">
        <v>30</v>
      </c>
      <c r="F735" t="s">
        <v>31</v>
      </c>
      <c r="G735" t="s">
        <v>47</v>
      </c>
      <c r="H735" s="1">
        <v>44741</v>
      </c>
      <c r="I735" t="s">
        <v>841</v>
      </c>
      <c r="J735" t="s">
        <v>21</v>
      </c>
      <c r="K735" t="s">
        <v>22</v>
      </c>
      <c r="L735" t="s">
        <v>165</v>
      </c>
    </row>
    <row r="736" spans="1:12" x14ac:dyDescent="0.25">
      <c r="A736" t="s">
        <v>840</v>
      </c>
      <c r="B736">
        <v>4708</v>
      </c>
      <c r="C736">
        <v>696</v>
      </c>
      <c r="D736">
        <v>14</v>
      </c>
      <c r="E736" t="s">
        <v>13</v>
      </c>
      <c r="F736" t="s">
        <v>14</v>
      </c>
      <c r="G736" t="s">
        <v>47</v>
      </c>
      <c r="H736" s="1">
        <v>44741</v>
      </c>
      <c r="I736" t="s">
        <v>841</v>
      </c>
      <c r="J736" t="s">
        <v>21</v>
      </c>
      <c r="K736" t="s">
        <v>22</v>
      </c>
      <c r="L736" t="s">
        <v>165</v>
      </c>
    </row>
    <row r="737" spans="1:12" x14ac:dyDescent="0.25">
      <c r="A737" t="s">
        <v>840</v>
      </c>
      <c r="B737">
        <v>8089</v>
      </c>
      <c r="C737">
        <v>3132</v>
      </c>
      <c r="D737">
        <v>17</v>
      </c>
      <c r="E737" t="s">
        <v>45</v>
      </c>
      <c r="F737" t="s">
        <v>49</v>
      </c>
      <c r="G737" t="s">
        <v>65</v>
      </c>
      <c r="H737" s="1">
        <v>44741</v>
      </c>
      <c r="I737" t="s">
        <v>841</v>
      </c>
      <c r="J737" t="s">
        <v>21</v>
      </c>
      <c r="K737" t="s">
        <v>22</v>
      </c>
      <c r="L737" t="s">
        <v>165</v>
      </c>
    </row>
    <row r="738" spans="1:12" x14ac:dyDescent="0.25">
      <c r="A738" t="s">
        <v>842</v>
      </c>
      <c r="B738">
        <v>5462</v>
      </c>
      <c r="C738">
        <v>673</v>
      </c>
      <c r="D738">
        <v>12</v>
      </c>
      <c r="E738" t="s">
        <v>13</v>
      </c>
      <c r="F738" t="s">
        <v>28</v>
      </c>
      <c r="G738" t="s">
        <v>32</v>
      </c>
      <c r="H738" s="1">
        <v>44868</v>
      </c>
      <c r="I738" t="s">
        <v>843</v>
      </c>
      <c r="J738" t="s">
        <v>71</v>
      </c>
      <c r="K738" t="s">
        <v>86</v>
      </c>
      <c r="L738" t="s">
        <v>44</v>
      </c>
    </row>
    <row r="739" spans="1:12" x14ac:dyDescent="0.25">
      <c r="A739" t="s">
        <v>844</v>
      </c>
      <c r="B739">
        <v>6392</v>
      </c>
      <c r="C739">
        <v>444</v>
      </c>
      <c r="D739">
        <v>18</v>
      </c>
      <c r="E739" t="s">
        <v>13</v>
      </c>
      <c r="F739" t="s">
        <v>14</v>
      </c>
      <c r="G739" t="s">
        <v>47</v>
      </c>
      <c r="H739" s="1">
        <v>45258</v>
      </c>
      <c r="I739" t="s">
        <v>845</v>
      </c>
      <c r="J739" t="s">
        <v>17</v>
      </c>
      <c r="K739" t="s">
        <v>150</v>
      </c>
      <c r="L739" t="s">
        <v>52</v>
      </c>
    </row>
    <row r="740" spans="1:12" x14ac:dyDescent="0.25">
      <c r="A740" t="s">
        <v>846</v>
      </c>
      <c r="B740">
        <v>8706</v>
      </c>
      <c r="C740">
        <v>1724</v>
      </c>
      <c r="D740">
        <v>3</v>
      </c>
      <c r="E740" t="s">
        <v>13</v>
      </c>
      <c r="F740" t="s">
        <v>14</v>
      </c>
      <c r="G740" t="s">
        <v>32</v>
      </c>
      <c r="H740" s="1">
        <v>43946</v>
      </c>
      <c r="I740" t="s">
        <v>847</v>
      </c>
      <c r="J740" t="s">
        <v>17</v>
      </c>
      <c r="K740" t="s">
        <v>34</v>
      </c>
      <c r="L740" t="s">
        <v>162</v>
      </c>
    </row>
    <row r="741" spans="1:12" x14ac:dyDescent="0.25">
      <c r="A741" t="s">
        <v>848</v>
      </c>
      <c r="B741">
        <v>2349</v>
      </c>
      <c r="C741">
        <v>319</v>
      </c>
      <c r="D741">
        <v>4</v>
      </c>
      <c r="E741" t="s">
        <v>30</v>
      </c>
      <c r="F741" t="s">
        <v>31</v>
      </c>
      <c r="G741" t="s">
        <v>15</v>
      </c>
      <c r="H741" s="1">
        <v>44579</v>
      </c>
      <c r="I741" t="s">
        <v>849</v>
      </c>
      <c r="J741" t="s">
        <v>17</v>
      </c>
      <c r="K741" t="s">
        <v>18</v>
      </c>
      <c r="L741" t="s">
        <v>87</v>
      </c>
    </row>
    <row r="742" spans="1:12" x14ac:dyDescent="0.25">
      <c r="A742" t="s">
        <v>848</v>
      </c>
      <c r="B742">
        <v>8220</v>
      </c>
      <c r="C742">
        <v>3882</v>
      </c>
      <c r="D742">
        <v>14</v>
      </c>
      <c r="E742" t="s">
        <v>45</v>
      </c>
      <c r="F742" t="s">
        <v>49</v>
      </c>
      <c r="G742" t="s">
        <v>15</v>
      </c>
      <c r="H742" s="1">
        <v>44579</v>
      </c>
      <c r="I742" t="s">
        <v>849</v>
      </c>
      <c r="J742" t="s">
        <v>17</v>
      </c>
      <c r="K742" t="s">
        <v>18</v>
      </c>
      <c r="L742" t="s">
        <v>87</v>
      </c>
    </row>
    <row r="743" spans="1:12" x14ac:dyDescent="0.25">
      <c r="A743" t="s">
        <v>848</v>
      </c>
      <c r="B743">
        <v>2379</v>
      </c>
      <c r="C743">
        <v>279</v>
      </c>
      <c r="D743">
        <v>7</v>
      </c>
      <c r="E743" t="s">
        <v>45</v>
      </c>
      <c r="F743" t="s">
        <v>49</v>
      </c>
      <c r="G743" t="s">
        <v>32</v>
      </c>
      <c r="H743" s="1">
        <v>44579</v>
      </c>
      <c r="I743" t="s">
        <v>849</v>
      </c>
      <c r="J743" t="s">
        <v>17</v>
      </c>
      <c r="K743" t="s">
        <v>18</v>
      </c>
      <c r="L743" t="s">
        <v>87</v>
      </c>
    </row>
    <row r="744" spans="1:12" x14ac:dyDescent="0.25">
      <c r="A744" t="s">
        <v>848</v>
      </c>
      <c r="B744">
        <v>7377</v>
      </c>
      <c r="C744">
        <v>2049</v>
      </c>
      <c r="D744">
        <v>4</v>
      </c>
      <c r="E744" t="s">
        <v>30</v>
      </c>
      <c r="F744" t="s">
        <v>57</v>
      </c>
      <c r="G744" t="s">
        <v>15</v>
      </c>
      <c r="H744" s="1">
        <v>44579</v>
      </c>
      <c r="I744" t="s">
        <v>849</v>
      </c>
      <c r="J744" t="s">
        <v>17</v>
      </c>
      <c r="K744" t="s">
        <v>18</v>
      </c>
      <c r="L744" t="s">
        <v>87</v>
      </c>
    </row>
    <row r="745" spans="1:12" x14ac:dyDescent="0.25">
      <c r="A745" t="s">
        <v>850</v>
      </c>
      <c r="B745">
        <v>717</v>
      </c>
      <c r="C745">
        <v>158</v>
      </c>
      <c r="D745">
        <v>16</v>
      </c>
      <c r="E745" t="s">
        <v>45</v>
      </c>
      <c r="F745" t="s">
        <v>46</v>
      </c>
      <c r="G745" t="s">
        <v>47</v>
      </c>
      <c r="H745" s="1">
        <v>44643</v>
      </c>
      <c r="I745" t="s">
        <v>851</v>
      </c>
      <c r="J745" t="s">
        <v>98</v>
      </c>
      <c r="K745" t="s">
        <v>117</v>
      </c>
      <c r="L745" t="s">
        <v>134</v>
      </c>
    </row>
    <row r="746" spans="1:12" x14ac:dyDescent="0.25">
      <c r="A746" t="s">
        <v>850</v>
      </c>
      <c r="B746">
        <v>717</v>
      </c>
      <c r="C746">
        <v>158</v>
      </c>
      <c r="D746">
        <v>16</v>
      </c>
      <c r="E746" t="s">
        <v>45</v>
      </c>
      <c r="F746" t="s">
        <v>46</v>
      </c>
      <c r="G746" t="s">
        <v>47</v>
      </c>
      <c r="H746" s="1">
        <v>44006</v>
      </c>
      <c r="I746" t="s">
        <v>852</v>
      </c>
      <c r="J746" t="s">
        <v>17</v>
      </c>
      <c r="K746" t="s">
        <v>18</v>
      </c>
      <c r="L746" t="s">
        <v>313</v>
      </c>
    </row>
    <row r="747" spans="1:12" x14ac:dyDescent="0.25">
      <c r="A747" t="s">
        <v>850</v>
      </c>
      <c r="B747">
        <v>717</v>
      </c>
      <c r="C747">
        <v>158</v>
      </c>
      <c r="D747">
        <v>16</v>
      </c>
      <c r="E747" t="s">
        <v>45</v>
      </c>
      <c r="F747" t="s">
        <v>46</v>
      </c>
      <c r="G747" t="s">
        <v>47</v>
      </c>
      <c r="H747" s="1">
        <v>44918</v>
      </c>
      <c r="I747" t="s">
        <v>853</v>
      </c>
      <c r="J747" t="s">
        <v>25</v>
      </c>
      <c r="K747" t="s">
        <v>26</v>
      </c>
      <c r="L747" t="s">
        <v>152</v>
      </c>
    </row>
    <row r="748" spans="1:12" x14ac:dyDescent="0.25">
      <c r="A748" t="s">
        <v>850</v>
      </c>
      <c r="B748">
        <v>717</v>
      </c>
      <c r="C748">
        <v>158</v>
      </c>
      <c r="D748">
        <v>16</v>
      </c>
      <c r="E748" t="s">
        <v>45</v>
      </c>
      <c r="F748" t="s">
        <v>46</v>
      </c>
      <c r="G748" t="s">
        <v>47</v>
      </c>
      <c r="H748" s="1">
        <v>45620</v>
      </c>
      <c r="I748" t="s">
        <v>854</v>
      </c>
      <c r="J748" t="s">
        <v>25</v>
      </c>
      <c r="K748" t="s">
        <v>51</v>
      </c>
      <c r="L748" t="s">
        <v>255</v>
      </c>
    </row>
    <row r="749" spans="1:12" x14ac:dyDescent="0.25">
      <c r="A749" t="s">
        <v>850</v>
      </c>
      <c r="B749">
        <v>717</v>
      </c>
      <c r="C749">
        <v>158</v>
      </c>
      <c r="D749">
        <v>16</v>
      </c>
      <c r="E749" t="s">
        <v>45</v>
      </c>
      <c r="F749" t="s">
        <v>46</v>
      </c>
      <c r="G749" t="s">
        <v>47</v>
      </c>
      <c r="H749" s="1">
        <v>44141</v>
      </c>
      <c r="I749" t="s">
        <v>855</v>
      </c>
      <c r="J749" t="s">
        <v>17</v>
      </c>
      <c r="K749" t="s">
        <v>34</v>
      </c>
      <c r="L749" t="s">
        <v>80</v>
      </c>
    </row>
    <row r="750" spans="1:12" x14ac:dyDescent="0.25">
      <c r="A750" t="s">
        <v>850</v>
      </c>
      <c r="B750">
        <v>717</v>
      </c>
      <c r="C750">
        <v>158</v>
      </c>
      <c r="D750">
        <v>16</v>
      </c>
      <c r="E750" t="s">
        <v>45</v>
      </c>
      <c r="F750" t="s">
        <v>46</v>
      </c>
      <c r="G750" t="s">
        <v>47</v>
      </c>
      <c r="H750" s="1">
        <v>45223</v>
      </c>
      <c r="I750" t="s">
        <v>856</v>
      </c>
      <c r="J750" t="s">
        <v>25</v>
      </c>
      <c r="K750" t="s">
        <v>68</v>
      </c>
      <c r="L750" t="s">
        <v>442</v>
      </c>
    </row>
    <row r="751" spans="1:12" x14ac:dyDescent="0.25">
      <c r="A751" t="s">
        <v>850</v>
      </c>
      <c r="B751">
        <v>508</v>
      </c>
      <c r="C751">
        <v>177</v>
      </c>
      <c r="D751">
        <v>17</v>
      </c>
      <c r="E751" t="s">
        <v>45</v>
      </c>
      <c r="F751" t="s">
        <v>60</v>
      </c>
      <c r="G751" t="s">
        <v>15</v>
      </c>
      <c r="H751" s="1">
        <v>44643</v>
      </c>
      <c r="I751" t="s">
        <v>851</v>
      </c>
      <c r="J751" t="s">
        <v>98</v>
      </c>
      <c r="K751" t="s">
        <v>117</v>
      </c>
      <c r="L751" t="s">
        <v>134</v>
      </c>
    </row>
    <row r="752" spans="1:12" x14ac:dyDescent="0.25">
      <c r="A752" t="s">
        <v>850</v>
      </c>
      <c r="B752">
        <v>508</v>
      </c>
      <c r="C752">
        <v>177</v>
      </c>
      <c r="D752">
        <v>17</v>
      </c>
      <c r="E752" t="s">
        <v>45</v>
      </c>
      <c r="F752" t="s">
        <v>60</v>
      </c>
      <c r="G752" t="s">
        <v>15</v>
      </c>
      <c r="H752" s="1">
        <v>44006</v>
      </c>
      <c r="I752" t="s">
        <v>852</v>
      </c>
      <c r="J752" t="s">
        <v>17</v>
      </c>
      <c r="K752" t="s">
        <v>18</v>
      </c>
      <c r="L752" t="s">
        <v>313</v>
      </c>
    </row>
    <row r="753" spans="1:12" x14ac:dyDescent="0.25">
      <c r="A753" t="s">
        <v>850</v>
      </c>
      <c r="B753">
        <v>508</v>
      </c>
      <c r="C753">
        <v>177</v>
      </c>
      <c r="D753">
        <v>17</v>
      </c>
      <c r="E753" t="s">
        <v>45</v>
      </c>
      <c r="F753" t="s">
        <v>60</v>
      </c>
      <c r="G753" t="s">
        <v>15</v>
      </c>
      <c r="H753" s="1">
        <v>44918</v>
      </c>
      <c r="I753" t="s">
        <v>853</v>
      </c>
      <c r="J753" t="s">
        <v>25</v>
      </c>
      <c r="K753" t="s">
        <v>26</v>
      </c>
      <c r="L753" t="s">
        <v>152</v>
      </c>
    </row>
    <row r="754" spans="1:12" x14ac:dyDescent="0.25">
      <c r="A754" t="s">
        <v>850</v>
      </c>
      <c r="B754">
        <v>508</v>
      </c>
      <c r="C754">
        <v>177</v>
      </c>
      <c r="D754">
        <v>17</v>
      </c>
      <c r="E754" t="s">
        <v>45</v>
      </c>
      <c r="F754" t="s">
        <v>60</v>
      </c>
      <c r="G754" t="s">
        <v>15</v>
      </c>
      <c r="H754" s="1">
        <v>45620</v>
      </c>
      <c r="I754" t="s">
        <v>854</v>
      </c>
      <c r="J754" t="s">
        <v>25</v>
      </c>
      <c r="K754" t="s">
        <v>51</v>
      </c>
      <c r="L754" t="s">
        <v>255</v>
      </c>
    </row>
    <row r="755" spans="1:12" x14ac:dyDescent="0.25">
      <c r="A755" t="s">
        <v>850</v>
      </c>
      <c r="B755">
        <v>508</v>
      </c>
      <c r="C755">
        <v>177</v>
      </c>
      <c r="D755">
        <v>17</v>
      </c>
      <c r="E755" t="s">
        <v>45</v>
      </c>
      <c r="F755" t="s">
        <v>60</v>
      </c>
      <c r="G755" t="s">
        <v>15</v>
      </c>
      <c r="H755" s="1">
        <v>44141</v>
      </c>
      <c r="I755" t="s">
        <v>855</v>
      </c>
      <c r="J755" t="s">
        <v>17</v>
      </c>
      <c r="K755" t="s">
        <v>34</v>
      </c>
      <c r="L755" t="s">
        <v>80</v>
      </c>
    </row>
    <row r="756" spans="1:12" x14ac:dyDescent="0.25">
      <c r="A756" t="s">
        <v>850</v>
      </c>
      <c r="B756">
        <v>508</v>
      </c>
      <c r="C756">
        <v>177</v>
      </c>
      <c r="D756">
        <v>17</v>
      </c>
      <c r="E756" t="s">
        <v>45</v>
      </c>
      <c r="F756" t="s">
        <v>60</v>
      </c>
      <c r="G756" t="s">
        <v>15</v>
      </c>
      <c r="H756" s="1">
        <v>45223</v>
      </c>
      <c r="I756" t="s">
        <v>856</v>
      </c>
      <c r="J756" t="s">
        <v>25</v>
      </c>
      <c r="K756" t="s">
        <v>68</v>
      </c>
      <c r="L756" t="s">
        <v>442</v>
      </c>
    </row>
    <row r="757" spans="1:12" x14ac:dyDescent="0.25">
      <c r="A757" t="s">
        <v>857</v>
      </c>
      <c r="B757">
        <v>9382</v>
      </c>
      <c r="C757">
        <v>1085</v>
      </c>
      <c r="D757">
        <v>3</v>
      </c>
      <c r="E757" t="s">
        <v>13</v>
      </c>
      <c r="F757" t="s">
        <v>28</v>
      </c>
      <c r="G757" t="s">
        <v>32</v>
      </c>
      <c r="H757" s="1">
        <v>45125</v>
      </c>
      <c r="I757" t="s">
        <v>858</v>
      </c>
      <c r="J757" t="s">
        <v>21</v>
      </c>
      <c r="K757" t="s">
        <v>22</v>
      </c>
      <c r="L757" t="s">
        <v>105</v>
      </c>
    </row>
    <row r="758" spans="1:12" x14ac:dyDescent="0.25">
      <c r="A758" t="s">
        <v>857</v>
      </c>
      <c r="B758">
        <v>9382</v>
      </c>
      <c r="C758">
        <v>1085</v>
      </c>
      <c r="D758">
        <v>3</v>
      </c>
      <c r="E758" t="s">
        <v>13</v>
      </c>
      <c r="F758" t="s">
        <v>28</v>
      </c>
      <c r="G758" t="s">
        <v>32</v>
      </c>
      <c r="H758" s="1">
        <v>44697</v>
      </c>
      <c r="I758" t="s">
        <v>859</v>
      </c>
      <c r="J758" t="s">
        <v>25</v>
      </c>
      <c r="K758" t="s">
        <v>68</v>
      </c>
      <c r="L758" t="s">
        <v>180</v>
      </c>
    </row>
    <row r="759" spans="1:12" x14ac:dyDescent="0.25">
      <c r="A759" t="s">
        <v>857</v>
      </c>
      <c r="B759">
        <v>4936</v>
      </c>
      <c r="C759">
        <v>576</v>
      </c>
      <c r="D759">
        <v>19</v>
      </c>
      <c r="E759" t="s">
        <v>45</v>
      </c>
      <c r="F759" t="s">
        <v>46</v>
      </c>
      <c r="G759" t="s">
        <v>65</v>
      </c>
      <c r="H759" s="1">
        <v>45125</v>
      </c>
      <c r="I759" t="s">
        <v>858</v>
      </c>
      <c r="J759" t="s">
        <v>21</v>
      </c>
      <c r="K759" t="s">
        <v>22</v>
      </c>
      <c r="L759" t="s">
        <v>105</v>
      </c>
    </row>
    <row r="760" spans="1:12" x14ac:dyDescent="0.25">
      <c r="A760" t="s">
        <v>857</v>
      </c>
      <c r="B760">
        <v>4936</v>
      </c>
      <c r="C760">
        <v>576</v>
      </c>
      <c r="D760">
        <v>19</v>
      </c>
      <c r="E760" t="s">
        <v>45</v>
      </c>
      <c r="F760" t="s">
        <v>46</v>
      </c>
      <c r="G760" t="s">
        <v>65</v>
      </c>
      <c r="H760" s="1">
        <v>44697</v>
      </c>
      <c r="I760" t="s">
        <v>859</v>
      </c>
      <c r="J760" t="s">
        <v>25</v>
      </c>
      <c r="K760" t="s">
        <v>68</v>
      </c>
      <c r="L760" t="s">
        <v>180</v>
      </c>
    </row>
    <row r="761" spans="1:12" x14ac:dyDescent="0.25">
      <c r="A761" t="s">
        <v>860</v>
      </c>
      <c r="B761">
        <v>2663</v>
      </c>
      <c r="C761">
        <v>64</v>
      </c>
      <c r="D761">
        <v>19</v>
      </c>
      <c r="E761" t="s">
        <v>45</v>
      </c>
      <c r="F761" t="s">
        <v>60</v>
      </c>
      <c r="G761" t="s">
        <v>65</v>
      </c>
      <c r="H761" s="1">
        <v>45459</v>
      </c>
      <c r="I761" t="s">
        <v>861</v>
      </c>
      <c r="J761" t="s">
        <v>42</v>
      </c>
      <c r="K761" t="s">
        <v>92</v>
      </c>
      <c r="L761" t="s">
        <v>262</v>
      </c>
    </row>
    <row r="762" spans="1:12" x14ac:dyDescent="0.25">
      <c r="A762" t="s">
        <v>860</v>
      </c>
      <c r="B762">
        <v>2663</v>
      </c>
      <c r="C762">
        <v>64</v>
      </c>
      <c r="D762">
        <v>19</v>
      </c>
      <c r="E762" t="s">
        <v>45</v>
      </c>
      <c r="F762" t="s">
        <v>60</v>
      </c>
      <c r="G762" t="s">
        <v>65</v>
      </c>
      <c r="H762" s="1">
        <v>44492</v>
      </c>
      <c r="I762" t="s">
        <v>862</v>
      </c>
      <c r="J762" t="s">
        <v>98</v>
      </c>
      <c r="K762" t="s">
        <v>117</v>
      </c>
      <c r="L762" t="s">
        <v>37</v>
      </c>
    </row>
    <row r="763" spans="1:12" x14ac:dyDescent="0.25">
      <c r="A763" t="s">
        <v>863</v>
      </c>
      <c r="B763">
        <v>5151</v>
      </c>
      <c r="C763">
        <v>1680</v>
      </c>
      <c r="D763">
        <v>5</v>
      </c>
      <c r="E763" t="s">
        <v>13</v>
      </c>
      <c r="F763" t="s">
        <v>28</v>
      </c>
      <c r="G763" t="s">
        <v>40</v>
      </c>
      <c r="H763" s="1">
        <v>44856</v>
      </c>
      <c r="I763" t="s">
        <v>864</v>
      </c>
      <c r="J763" t="s">
        <v>71</v>
      </c>
      <c r="K763" t="s">
        <v>138</v>
      </c>
      <c r="L763" t="s">
        <v>96</v>
      </c>
    </row>
    <row r="764" spans="1:12" x14ac:dyDescent="0.25">
      <c r="A764" t="s">
        <v>865</v>
      </c>
      <c r="B764">
        <v>2514</v>
      </c>
      <c r="C764">
        <v>95</v>
      </c>
      <c r="D764">
        <v>8</v>
      </c>
      <c r="E764" t="s">
        <v>30</v>
      </c>
      <c r="F764" t="s">
        <v>31</v>
      </c>
      <c r="G764" t="s">
        <v>15</v>
      </c>
      <c r="H764" s="1">
        <v>45124</v>
      </c>
      <c r="I764" t="s">
        <v>866</v>
      </c>
      <c r="J764" t="s">
        <v>25</v>
      </c>
      <c r="K764" t="s">
        <v>68</v>
      </c>
      <c r="L764" t="s">
        <v>105</v>
      </c>
    </row>
    <row r="765" spans="1:12" x14ac:dyDescent="0.25">
      <c r="A765" t="s">
        <v>867</v>
      </c>
      <c r="B765">
        <v>6129</v>
      </c>
      <c r="C765">
        <v>2976</v>
      </c>
      <c r="D765">
        <v>2</v>
      </c>
      <c r="E765" t="s">
        <v>13</v>
      </c>
      <c r="F765" t="s">
        <v>39</v>
      </c>
      <c r="G765" t="s">
        <v>40</v>
      </c>
      <c r="H765" s="1">
        <v>45712</v>
      </c>
      <c r="I765" t="s">
        <v>868</v>
      </c>
      <c r="J765" t="s">
        <v>25</v>
      </c>
      <c r="K765" t="s">
        <v>51</v>
      </c>
      <c r="L765" t="s">
        <v>73</v>
      </c>
    </row>
    <row r="766" spans="1:12" x14ac:dyDescent="0.25">
      <c r="A766" t="s">
        <v>867</v>
      </c>
      <c r="B766">
        <v>4395</v>
      </c>
      <c r="C766">
        <v>1663</v>
      </c>
      <c r="D766">
        <v>3</v>
      </c>
      <c r="E766" t="s">
        <v>45</v>
      </c>
      <c r="F766" t="s">
        <v>109</v>
      </c>
      <c r="G766" t="s">
        <v>65</v>
      </c>
      <c r="H766" s="1">
        <v>45712</v>
      </c>
      <c r="I766" t="s">
        <v>868</v>
      </c>
      <c r="J766" t="s">
        <v>25</v>
      </c>
      <c r="K766" t="s">
        <v>51</v>
      </c>
      <c r="L766" t="s">
        <v>73</v>
      </c>
    </row>
    <row r="767" spans="1:12" x14ac:dyDescent="0.25">
      <c r="A767" t="s">
        <v>869</v>
      </c>
      <c r="B767">
        <v>5393</v>
      </c>
      <c r="C767">
        <v>2642</v>
      </c>
      <c r="D767">
        <v>8</v>
      </c>
      <c r="E767" t="s">
        <v>45</v>
      </c>
      <c r="F767" t="s">
        <v>49</v>
      </c>
      <c r="G767" t="s">
        <v>15</v>
      </c>
      <c r="H767" s="1">
        <v>44262</v>
      </c>
      <c r="I767" t="s">
        <v>870</v>
      </c>
      <c r="J767" t="s">
        <v>98</v>
      </c>
      <c r="K767" t="s">
        <v>107</v>
      </c>
      <c r="L767" t="s">
        <v>167</v>
      </c>
    </row>
    <row r="768" spans="1:12" x14ac:dyDescent="0.25">
      <c r="A768" t="s">
        <v>871</v>
      </c>
      <c r="B768">
        <v>2280</v>
      </c>
      <c r="C768">
        <v>509</v>
      </c>
      <c r="D768">
        <v>8</v>
      </c>
      <c r="E768" t="s">
        <v>13</v>
      </c>
      <c r="F768" t="s">
        <v>82</v>
      </c>
      <c r="G768" t="s">
        <v>47</v>
      </c>
      <c r="H768" s="1">
        <v>44199</v>
      </c>
      <c r="I768" t="s">
        <v>872</v>
      </c>
      <c r="J768" t="s">
        <v>25</v>
      </c>
      <c r="K768" t="s">
        <v>26</v>
      </c>
      <c r="L768" t="s">
        <v>276</v>
      </c>
    </row>
    <row r="769" spans="1:12" x14ac:dyDescent="0.25">
      <c r="A769" t="s">
        <v>873</v>
      </c>
      <c r="B769">
        <v>6596</v>
      </c>
      <c r="C769">
        <v>1439</v>
      </c>
      <c r="D769">
        <v>9</v>
      </c>
      <c r="E769" t="s">
        <v>30</v>
      </c>
      <c r="F769" t="s">
        <v>64</v>
      </c>
      <c r="G769" t="s">
        <v>32</v>
      </c>
      <c r="H769" s="1">
        <v>45049</v>
      </c>
      <c r="I769" t="s">
        <v>874</v>
      </c>
      <c r="J769" t="s">
        <v>98</v>
      </c>
      <c r="K769" t="s">
        <v>107</v>
      </c>
      <c r="L769" t="s">
        <v>127</v>
      </c>
    </row>
    <row r="770" spans="1:12" x14ac:dyDescent="0.25">
      <c r="A770" t="s">
        <v>875</v>
      </c>
      <c r="B770">
        <v>4510</v>
      </c>
      <c r="C770">
        <v>1896</v>
      </c>
      <c r="D770">
        <v>5</v>
      </c>
      <c r="E770" t="s">
        <v>30</v>
      </c>
      <c r="F770" t="s">
        <v>64</v>
      </c>
      <c r="G770" t="s">
        <v>40</v>
      </c>
      <c r="H770" s="1">
        <v>45224</v>
      </c>
      <c r="I770" t="s">
        <v>876</v>
      </c>
      <c r="J770" t="s">
        <v>42</v>
      </c>
      <c r="K770" t="s">
        <v>43</v>
      </c>
      <c r="L770" t="s">
        <v>442</v>
      </c>
    </row>
    <row r="771" spans="1:12" x14ac:dyDescent="0.25">
      <c r="A771" t="s">
        <v>877</v>
      </c>
      <c r="B771">
        <v>6077</v>
      </c>
      <c r="C771">
        <v>2378</v>
      </c>
      <c r="D771">
        <v>18</v>
      </c>
      <c r="E771" t="s">
        <v>13</v>
      </c>
      <c r="F771" t="s">
        <v>82</v>
      </c>
      <c r="G771" t="s">
        <v>65</v>
      </c>
      <c r="H771" s="1">
        <v>44794</v>
      </c>
      <c r="I771" t="s">
        <v>878</v>
      </c>
      <c r="J771" t="s">
        <v>25</v>
      </c>
      <c r="K771" t="s">
        <v>51</v>
      </c>
      <c r="L771" t="s">
        <v>209</v>
      </c>
    </row>
    <row r="772" spans="1:12" x14ac:dyDescent="0.25">
      <c r="A772" t="s">
        <v>879</v>
      </c>
      <c r="B772">
        <v>5379</v>
      </c>
      <c r="C772">
        <v>2510</v>
      </c>
      <c r="D772">
        <v>17</v>
      </c>
      <c r="E772" t="s">
        <v>13</v>
      </c>
      <c r="F772" t="s">
        <v>28</v>
      </c>
      <c r="G772" t="s">
        <v>65</v>
      </c>
      <c r="H772" s="1">
        <v>44667</v>
      </c>
      <c r="I772" t="s">
        <v>880</v>
      </c>
      <c r="J772" t="s">
        <v>98</v>
      </c>
      <c r="K772" t="s">
        <v>99</v>
      </c>
      <c r="L772" t="s">
        <v>187</v>
      </c>
    </row>
    <row r="773" spans="1:12" x14ac:dyDescent="0.25">
      <c r="A773" t="s">
        <v>881</v>
      </c>
      <c r="B773">
        <v>4629</v>
      </c>
      <c r="C773">
        <v>1660</v>
      </c>
      <c r="D773">
        <v>16</v>
      </c>
      <c r="E773" t="s">
        <v>30</v>
      </c>
      <c r="F773" t="s">
        <v>57</v>
      </c>
      <c r="G773" t="s">
        <v>40</v>
      </c>
      <c r="H773" s="1">
        <v>45018</v>
      </c>
      <c r="I773" t="s">
        <v>882</v>
      </c>
      <c r="J773" t="s">
        <v>42</v>
      </c>
      <c r="K773" t="s">
        <v>75</v>
      </c>
      <c r="L773" t="s">
        <v>145</v>
      </c>
    </row>
    <row r="774" spans="1:12" x14ac:dyDescent="0.25">
      <c r="A774" t="s">
        <v>883</v>
      </c>
      <c r="B774">
        <v>2710</v>
      </c>
      <c r="C774">
        <v>555</v>
      </c>
      <c r="D774">
        <v>20</v>
      </c>
      <c r="E774" t="s">
        <v>13</v>
      </c>
      <c r="F774" t="s">
        <v>39</v>
      </c>
      <c r="G774" t="s">
        <v>32</v>
      </c>
      <c r="H774" s="1">
        <v>45586</v>
      </c>
      <c r="I774" t="s">
        <v>884</v>
      </c>
      <c r="J774" t="s">
        <v>21</v>
      </c>
      <c r="K774" t="s">
        <v>22</v>
      </c>
      <c r="L774" t="s">
        <v>360</v>
      </c>
    </row>
    <row r="775" spans="1:12" x14ac:dyDescent="0.25">
      <c r="A775" t="s">
        <v>883</v>
      </c>
      <c r="B775">
        <v>3224</v>
      </c>
      <c r="C775">
        <v>1018</v>
      </c>
      <c r="D775">
        <v>14</v>
      </c>
      <c r="E775" t="s">
        <v>30</v>
      </c>
      <c r="F775" t="s">
        <v>78</v>
      </c>
      <c r="G775" t="s">
        <v>15</v>
      </c>
      <c r="H775" s="1">
        <v>45586</v>
      </c>
      <c r="I775" t="s">
        <v>884</v>
      </c>
      <c r="J775" t="s">
        <v>21</v>
      </c>
      <c r="K775" t="s">
        <v>22</v>
      </c>
      <c r="L775" t="s">
        <v>360</v>
      </c>
    </row>
    <row r="776" spans="1:12" x14ac:dyDescent="0.25">
      <c r="A776" t="s">
        <v>885</v>
      </c>
      <c r="B776">
        <v>8042</v>
      </c>
      <c r="C776">
        <v>936</v>
      </c>
      <c r="D776">
        <v>15</v>
      </c>
      <c r="E776" t="s">
        <v>30</v>
      </c>
      <c r="F776" t="s">
        <v>57</v>
      </c>
      <c r="G776" t="s">
        <v>40</v>
      </c>
      <c r="H776" s="1">
        <v>44386</v>
      </c>
      <c r="I776" t="s">
        <v>886</v>
      </c>
      <c r="J776" t="s">
        <v>21</v>
      </c>
      <c r="K776" t="s">
        <v>63</v>
      </c>
      <c r="L776" t="s">
        <v>27</v>
      </c>
    </row>
    <row r="777" spans="1:12" x14ac:dyDescent="0.25">
      <c r="A777" t="s">
        <v>885</v>
      </c>
      <c r="B777">
        <v>8042</v>
      </c>
      <c r="C777">
        <v>936</v>
      </c>
      <c r="D777">
        <v>15</v>
      </c>
      <c r="E777" t="s">
        <v>30</v>
      </c>
      <c r="F777" t="s">
        <v>57</v>
      </c>
      <c r="G777" t="s">
        <v>40</v>
      </c>
      <c r="H777" s="1">
        <v>44659</v>
      </c>
      <c r="I777" t="s">
        <v>887</v>
      </c>
      <c r="J777" t="s">
        <v>42</v>
      </c>
      <c r="K777" t="s">
        <v>43</v>
      </c>
      <c r="L777" t="s">
        <v>187</v>
      </c>
    </row>
    <row r="778" spans="1:12" x14ac:dyDescent="0.25">
      <c r="A778" t="s">
        <v>888</v>
      </c>
      <c r="B778">
        <v>3957</v>
      </c>
      <c r="C778">
        <v>151</v>
      </c>
      <c r="D778">
        <v>10</v>
      </c>
      <c r="E778" t="s">
        <v>30</v>
      </c>
      <c r="F778" t="s">
        <v>78</v>
      </c>
      <c r="G778" t="s">
        <v>40</v>
      </c>
      <c r="H778" s="1">
        <v>44681</v>
      </c>
      <c r="I778" t="s">
        <v>889</v>
      </c>
      <c r="J778" t="s">
        <v>71</v>
      </c>
      <c r="K778" t="s">
        <v>86</v>
      </c>
      <c r="L778" t="s">
        <v>187</v>
      </c>
    </row>
    <row r="779" spans="1:12" x14ac:dyDescent="0.25">
      <c r="A779" t="s">
        <v>890</v>
      </c>
      <c r="B779">
        <v>8769</v>
      </c>
      <c r="C779">
        <v>3178</v>
      </c>
      <c r="D779">
        <v>16</v>
      </c>
      <c r="E779" t="s">
        <v>30</v>
      </c>
      <c r="F779" t="s">
        <v>57</v>
      </c>
      <c r="G779" t="s">
        <v>32</v>
      </c>
      <c r="H779" s="1">
        <v>44946</v>
      </c>
      <c r="I779" t="s">
        <v>891</v>
      </c>
      <c r="J779" t="s">
        <v>21</v>
      </c>
      <c r="K779" t="s">
        <v>22</v>
      </c>
      <c r="L779" t="s">
        <v>333</v>
      </c>
    </row>
    <row r="780" spans="1:12" x14ac:dyDescent="0.25">
      <c r="A780" t="s">
        <v>892</v>
      </c>
      <c r="B780">
        <v>2957</v>
      </c>
      <c r="C780">
        <v>917</v>
      </c>
      <c r="D780">
        <v>16</v>
      </c>
      <c r="E780" t="s">
        <v>30</v>
      </c>
      <c r="F780" t="s">
        <v>31</v>
      </c>
      <c r="G780" t="s">
        <v>32</v>
      </c>
      <c r="H780" s="1">
        <v>45613</v>
      </c>
      <c r="I780" t="s">
        <v>893</v>
      </c>
      <c r="J780" t="s">
        <v>21</v>
      </c>
      <c r="K780" t="s">
        <v>22</v>
      </c>
      <c r="L780" t="s">
        <v>255</v>
      </c>
    </row>
    <row r="781" spans="1:12" x14ac:dyDescent="0.25">
      <c r="A781" t="s">
        <v>894</v>
      </c>
      <c r="B781">
        <v>5344</v>
      </c>
      <c r="C781">
        <v>2607</v>
      </c>
      <c r="D781">
        <v>6</v>
      </c>
      <c r="E781" t="s">
        <v>30</v>
      </c>
      <c r="F781" t="s">
        <v>64</v>
      </c>
      <c r="G781" t="s">
        <v>32</v>
      </c>
      <c r="H781" s="1">
        <v>44674</v>
      </c>
      <c r="I781" t="s">
        <v>895</v>
      </c>
      <c r="J781" t="s">
        <v>71</v>
      </c>
      <c r="K781" t="s">
        <v>72</v>
      </c>
      <c r="L781" t="s">
        <v>187</v>
      </c>
    </row>
    <row r="782" spans="1:12" x14ac:dyDescent="0.25">
      <c r="A782" t="s">
        <v>894</v>
      </c>
      <c r="B782">
        <v>5344</v>
      </c>
      <c r="C782">
        <v>2607</v>
      </c>
      <c r="D782">
        <v>6</v>
      </c>
      <c r="E782" t="s">
        <v>30</v>
      </c>
      <c r="F782" t="s">
        <v>64</v>
      </c>
      <c r="G782" t="s">
        <v>32</v>
      </c>
      <c r="H782" s="1">
        <v>45706</v>
      </c>
      <c r="I782" t="s">
        <v>896</v>
      </c>
      <c r="J782" t="s">
        <v>25</v>
      </c>
      <c r="K782" t="s">
        <v>68</v>
      </c>
      <c r="L782" t="s">
        <v>73</v>
      </c>
    </row>
    <row r="783" spans="1:12" x14ac:dyDescent="0.25">
      <c r="A783" t="s">
        <v>897</v>
      </c>
      <c r="B783">
        <v>6061</v>
      </c>
      <c r="C783">
        <v>2121</v>
      </c>
      <c r="D783">
        <v>19</v>
      </c>
      <c r="E783" t="s">
        <v>13</v>
      </c>
      <c r="F783" t="s">
        <v>39</v>
      </c>
      <c r="G783" t="s">
        <v>40</v>
      </c>
      <c r="H783" s="1">
        <v>44343</v>
      </c>
      <c r="I783" t="s">
        <v>898</v>
      </c>
      <c r="J783" t="s">
        <v>98</v>
      </c>
      <c r="K783" t="s">
        <v>117</v>
      </c>
      <c r="L783" t="s">
        <v>108</v>
      </c>
    </row>
    <row r="784" spans="1:12" x14ac:dyDescent="0.25">
      <c r="A784" t="s">
        <v>897</v>
      </c>
      <c r="B784">
        <v>6061</v>
      </c>
      <c r="C784">
        <v>2121</v>
      </c>
      <c r="D784">
        <v>19</v>
      </c>
      <c r="E784" t="s">
        <v>13</v>
      </c>
      <c r="F784" t="s">
        <v>39</v>
      </c>
      <c r="G784" t="s">
        <v>40</v>
      </c>
      <c r="H784" s="1">
        <v>44578</v>
      </c>
      <c r="I784" t="s">
        <v>899</v>
      </c>
      <c r="J784" t="s">
        <v>42</v>
      </c>
      <c r="K784" t="s">
        <v>75</v>
      </c>
      <c r="L784" t="s">
        <v>87</v>
      </c>
    </row>
    <row r="785" spans="1:12" x14ac:dyDescent="0.25">
      <c r="A785" t="s">
        <v>900</v>
      </c>
      <c r="B785">
        <v>5376</v>
      </c>
      <c r="C785">
        <v>1928</v>
      </c>
      <c r="D785">
        <v>7</v>
      </c>
      <c r="E785" t="s">
        <v>45</v>
      </c>
      <c r="F785" t="s">
        <v>46</v>
      </c>
      <c r="G785" t="s">
        <v>47</v>
      </c>
      <c r="H785" s="1">
        <v>45672</v>
      </c>
      <c r="I785" t="s">
        <v>901</v>
      </c>
      <c r="J785" t="s">
        <v>25</v>
      </c>
      <c r="K785" t="s">
        <v>51</v>
      </c>
      <c r="L785" t="s">
        <v>308</v>
      </c>
    </row>
    <row r="786" spans="1:12" x14ac:dyDescent="0.25">
      <c r="A786" t="s">
        <v>902</v>
      </c>
      <c r="B786">
        <v>2792</v>
      </c>
      <c r="C786">
        <v>1008</v>
      </c>
      <c r="D786">
        <v>8</v>
      </c>
      <c r="E786" t="s">
        <v>13</v>
      </c>
      <c r="F786" t="s">
        <v>28</v>
      </c>
      <c r="G786" t="s">
        <v>65</v>
      </c>
      <c r="H786" s="1">
        <v>44241</v>
      </c>
      <c r="I786" t="s">
        <v>903</v>
      </c>
      <c r="J786" t="s">
        <v>17</v>
      </c>
      <c r="K786" t="s">
        <v>18</v>
      </c>
      <c r="L786" t="s">
        <v>292</v>
      </c>
    </row>
    <row r="787" spans="1:12" x14ac:dyDescent="0.25">
      <c r="A787" t="s">
        <v>904</v>
      </c>
      <c r="B787">
        <v>2944</v>
      </c>
      <c r="C787">
        <v>249</v>
      </c>
      <c r="D787">
        <v>5</v>
      </c>
      <c r="E787" t="s">
        <v>30</v>
      </c>
      <c r="F787" t="s">
        <v>78</v>
      </c>
      <c r="G787" t="s">
        <v>47</v>
      </c>
      <c r="H787" s="1">
        <v>45535</v>
      </c>
      <c r="I787" t="s">
        <v>905</v>
      </c>
      <c r="J787" t="s">
        <v>98</v>
      </c>
      <c r="K787" t="s">
        <v>99</v>
      </c>
      <c r="L787" t="s">
        <v>114</v>
      </c>
    </row>
    <row r="788" spans="1:12" x14ac:dyDescent="0.25">
      <c r="A788" t="s">
        <v>904</v>
      </c>
      <c r="B788">
        <v>2944</v>
      </c>
      <c r="C788">
        <v>249</v>
      </c>
      <c r="D788">
        <v>5</v>
      </c>
      <c r="E788" t="s">
        <v>30</v>
      </c>
      <c r="F788" t="s">
        <v>78</v>
      </c>
      <c r="G788" t="s">
        <v>47</v>
      </c>
      <c r="H788" s="1">
        <v>44921</v>
      </c>
      <c r="I788" t="s">
        <v>906</v>
      </c>
      <c r="J788" t="s">
        <v>71</v>
      </c>
      <c r="K788" t="s">
        <v>72</v>
      </c>
      <c r="L788" t="s">
        <v>152</v>
      </c>
    </row>
    <row r="789" spans="1:12" x14ac:dyDescent="0.25">
      <c r="A789" t="s">
        <v>907</v>
      </c>
      <c r="B789">
        <v>4220</v>
      </c>
      <c r="C789">
        <v>945</v>
      </c>
      <c r="D789">
        <v>13</v>
      </c>
      <c r="E789" t="s">
        <v>30</v>
      </c>
      <c r="F789" t="s">
        <v>57</v>
      </c>
      <c r="G789" t="s">
        <v>40</v>
      </c>
      <c r="H789" s="1">
        <v>45372</v>
      </c>
      <c r="I789" t="s">
        <v>908</v>
      </c>
      <c r="J789" t="s">
        <v>21</v>
      </c>
      <c r="K789" t="s">
        <v>63</v>
      </c>
      <c r="L789" t="s">
        <v>338</v>
      </c>
    </row>
    <row r="790" spans="1:12" x14ac:dyDescent="0.25">
      <c r="A790" t="s">
        <v>907</v>
      </c>
      <c r="B790">
        <v>4220</v>
      </c>
      <c r="C790">
        <v>945</v>
      </c>
      <c r="D790">
        <v>13</v>
      </c>
      <c r="E790" t="s">
        <v>30</v>
      </c>
      <c r="F790" t="s">
        <v>57</v>
      </c>
      <c r="G790" t="s">
        <v>40</v>
      </c>
      <c r="H790" s="1">
        <v>44180</v>
      </c>
      <c r="I790" t="s">
        <v>909</v>
      </c>
      <c r="J790" t="s">
        <v>21</v>
      </c>
      <c r="K790" t="s">
        <v>172</v>
      </c>
      <c r="L790" t="s">
        <v>287</v>
      </c>
    </row>
    <row r="791" spans="1:12" x14ac:dyDescent="0.25">
      <c r="A791" t="s">
        <v>910</v>
      </c>
      <c r="B791">
        <v>8526</v>
      </c>
      <c r="C791">
        <v>1704</v>
      </c>
      <c r="D791">
        <v>4</v>
      </c>
      <c r="E791" t="s">
        <v>30</v>
      </c>
      <c r="F791" t="s">
        <v>78</v>
      </c>
      <c r="G791" t="s">
        <v>32</v>
      </c>
      <c r="H791" s="1">
        <v>45006</v>
      </c>
      <c r="I791" t="s">
        <v>911</v>
      </c>
      <c r="J791" t="s">
        <v>71</v>
      </c>
      <c r="K791" t="s">
        <v>86</v>
      </c>
      <c r="L791" t="s">
        <v>245</v>
      </c>
    </row>
    <row r="792" spans="1:12" x14ac:dyDescent="0.25">
      <c r="A792" t="s">
        <v>912</v>
      </c>
      <c r="B792">
        <v>8218</v>
      </c>
      <c r="C792">
        <v>1430</v>
      </c>
      <c r="D792">
        <v>19</v>
      </c>
      <c r="E792" t="s">
        <v>45</v>
      </c>
      <c r="F792" t="s">
        <v>109</v>
      </c>
      <c r="G792" t="s">
        <v>47</v>
      </c>
      <c r="H792" s="1">
        <v>45085</v>
      </c>
      <c r="I792" t="s">
        <v>913</v>
      </c>
      <c r="J792" t="s">
        <v>42</v>
      </c>
      <c r="K792" t="s">
        <v>92</v>
      </c>
      <c r="L792" t="s">
        <v>19</v>
      </c>
    </row>
    <row r="793" spans="1:12" x14ac:dyDescent="0.25">
      <c r="A793" t="s">
        <v>914</v>
      </c>
      <c r="B793">
        <v>599</v>
      </c>
      <c r="C793">
        <v>265</v>
      </c>
      <c r="D793">
        <v>4</v>
      </c>
      <c r="E793" t="s">
        <v>13</v>
      </c>
      <c r="F793" t="s">
        <v>82</v>
      </c>
      <c r="G793" t="s">
        <v>47</v>
      </c>
      <c r="H793" s="1">
        <v>44759</v>
      </c>
      <c r="I793" t="s">
        <v>915</v>
      </c>
      <c r="J793" t="s">
        <v>25</v>
      </c>
      <c r="K793" t="s">
        <v>26</v>
      </c>
      <c r="L793" t="s">
        <v>418</v>
      </c>
    </row>
    <row r="794" spans="1:12" x14ac:dyDescent="0.25">
      <c r="A794" t="s">
        <v>914</v>
      </c>
      <c r="B794">
        <v>599</v>
      </c>
      <c r="C794">
        <v>265</v>
      </c>
      <c r="D794">
        <v>4</v>
      </c>
      <c r="E794" t="s">
        <v>13</v>
      </c>
      <c r="F794" t="s">
        <v>82</v>
      </c>
      <c r="G794" t="s">
        <v>47</v>
      </c>
      <c r="H794" s="1">
        <v>45631</v>
      </c>
      <c r="I794" t="s">
        <v>916</v>
      </c>
      <c r="J794" t="s">
        <v>25</v>
      </c>
      <c r="K794" t="s">
        <v>68</v>
      </c>
      <c r="L794" t="s">
        <v>23</v>
      </c>
    </row>
    <row r="795" spans="1:12" x14ac:dyDescent="0.25">
      <c r="A795" t="s">
        <v>914</v>
      </c>
      <c r="B795">
        <v>2727</v>
      </c>
      <c r="C795">
        <v>543</v>
      </c>
      <c r="D795">
        <v>10</v>
      </c>
      <c r="E795" t="s">
        <v>45</v>
      </c>
      <c r="F795" t="s">
        <v>109</v>
      </c>
      <c r="G795" t="s">
        <v>47</v>
      </c>
      <c r="H795" s="1">
        <v>44759</v>
      </c>
      <c r="I795" t="s">
        <v>915</v>
      </c>
      <c r="J795" t="s">
        <v>25</v>
      </c>
      <c r="K795" t="s">
        <v>26</v>
      </c>
      <c r="L795" t="s">
        <v>418</v>
      </c>
    </row>
    <row r="796" spans="1:12" x14ac:dyDescent="0.25">
      <c r="A796" t="s">
        <v>914</v>
      </c>
      <c r="B796">
        <v>2727</v>
      </c>
      <c r="C796">
        <v>543</v>
      </c>
      <c r="D796">
        <v>10</v>
      </c>
      <c r="E796" t="s">
        <v>45</v>
      </c>
      <c r="F796" t="s">
        <v>109</v>
      </c>
      <c r="G796" t="s">
        <v>47</v>
      </c>
      <c r="H796" s="1">
        <v>45631</v>
      </c>
      <c r="I796" t="s">
        <v>916</v>
      </c>
      <c r="J796" t="s">
        <v>25</v>
      </c>
      <c r="K796" t="s">
        <v>68</v>
      </c>
      <c r="L796" t="s">
        <v>23</v>
      </c>
    </row>
    <row r="797" spans="1:12" x14ac:dyDescent="0.25">
      <c r="A797" t="s">
        <v>917</v>
      </c>
      <c r="B797">
        <v>2589</v>
      </c>
      <c r="C797">
        <v>605</v>
      </c>
      <c r="D797">
        <v>11</v>
      </c>
      <c r="E797" t="s">
        <v>30</v>
      </c>
      <c r="F797" t="s">
        <v>31</v>
      </c>
      <c r="G797" t="s">
        <v>40</v>
      </c>
      <c r="H797" s="1">
        <v>45232</v>
      </c>
      <c r="I797" t="s">
        <v>918</v>
      </c>
      <c r="J797" t="s">
        <v>42</v>
      </c>
      <c r="K797" t="s">
        <v>92</v>
      </c>
      <c r="L797" t="s">
        <v>52</v>
      </c>
    </row>
    <row r="798" spans="1:12" x14ac:dyDescent="0.25">
      <c r="A798" t="s">
        <v>917</v>
      </c>
      <c r="B798">
        <v>2589</v>
      </c>
      <c r="C798">
        <v>605</v>
      </c>
      <c r="D798">
        <v>11</v>
      </c>
      <c r="E798" t="s">
        <v>30</v>
      </c>
      <c r="F798" t="s">
        <v>31</v>
      </c>
      <c r="G798" t="s">
        <v>40</v>
      </c>
      <c r="H798" s="1">
        <v>45570</v>
      </c>
      <c r="I798" t="s">
        <v>919</v>
      </c>
      <c r="J798" t="s">
        <v>98</v>
      </c>
      <c r="K798" t="s">
        <v>117</v>
      </c>
      <c r="L798" t="s">
        <v>360</v>
      </c>
    </row>
    <row r="799" spans="1:12" x14ac:dyDescent="0.25">
      <c r="A799" t="s">
        <v>920</v>
      </c>
      <c r="B799">
        <v>3776</v>
      </c>
      <c r="C799">
        <v>1100</v>
      </c>
      <c r="D799">
        <v>9</v>
      </c>
      <c r="E799" t="s">
        <v>13</v>
      </c>
      <c r="F799" t="s">
        <v>14</v>
      </c>
      <c r="G799" t="s">
        <v>40</v>
      </c>
      <c r="H799" s="1">
        <v>44878</v>
      </c>
      <c r="I799" t="s">
        <v>921</v>
      </c>
      <c r="J799" t="s">
        <v>71</v>
      </c>
      <c r="K799" t="s">
        <v>86</v>
      </c>
      <c r="L799" t="s">
        <v>44</v>
      </c>
    </row>
    <row r="800" spans="1:12" x14ac:dyDescent="0.25">
      <c r="A800" t="s">
        <v>920</v>
      </c>
      <c r="B800">
        <v>3776</v>
      </c>
      <c r="C800">
        <v>1100</v>
      </c>
      <c r="D800">
        <v>9</v>
      </c>
      <c r="E800" t="s">
        <v>13</v>
      </c>
      <c r="F800" t="s">
        <v>14</v>
      </c>
      <c r="G800" t="s">
        <v>40</v>
      </c>
      <c r="H800" s="1">
        <v>44923</v>
      </c>
      <c r="I800" t="s">
        <v>922</v>
      </c>
      <c r="J800" t="s">
        <v>21</v>
      </c>
      <c r="K800" t="s">
        <v>172</v>
      </c>
      <c r="L800" t="s">
        <v>152</v>
      </c>
    </row>
    <row r="801" spans="1:12" x14ac:dyDescent="0.25">
      <c r="A801" t="s">
        <v>923</v>
      </c>
      <c r="B801">
        <v>5402</v>
      </c>
      <c r="C801">
        <v>1666</v>
      </c>
      <c r="D801">
        <v>12</v>
      </c>
      <c r="E801" t="s">
        <v>45</v>
      </c>
      <c r="F801" t="s">
        <v>109</v>
      </c>
      <c r="G801" t="s">
        <v>40</v>
      </c>
      <c r="H801" s="1">
        <v>45714</v>
      </c>
      <c r="I801" t="s">
        <v>924</v>
      </c>
      <c r="J801" t="s">
        <v>98</v>
      </c>
      <c r="K801" t="s">
        <v>117</v>
      </c>
      <c r="L801" t="s">
        <v>73</v>
      </c>
    </row>
    <row r="802" spans="1:12" x14ac:dyDescent="0.25">
      <c r="A802" t="s">
        <v>925</v>
      </c>
      <c r="B802">
        <v>5165</v>
      </c>
      <c r="C802">
        <v>885</v>
      </c>
      <c r="D802">
        <v>16</v>
      </c>
      <c r="E802" t="s">
        <v>30</v>
      </c>
      <c r="F802" t="s">
        <v>31</v>
      </c>
      <c r="G802" t="s">
        <v>40</v>
      </c>
      <c r="H802" s="1">
        <v>44877</v>
      </c>
      <c r="I802" t="s">
        <v>926</v>
      </c>
      <c r="J802" t="s">
        <v>21</v>
      </c>
      <c r="K802" t="s">
        <v>172</v>
      </c>
      <c r="L802" t="s">
        <v>44</v>
      </c>
    </row>
    <row r="803" spans="1:12" x14ac:dyDescent="0.25">
      <c r="A803" t="s">
        <v>925</v>
      </c>
      <c r="B803">
        <v>4863</v>
      </c>
      <c r="C803">
        <v>2394</v>
      </c>
      <c r="D803">
        <v>4</v>
      </c>
      <c r="E803" t="s">
        <v>45</v>
      </c>
      <c r="F803" t="s">
        <v>109</v>
      </c>
      <c r="G803" t="s">
        <v>40</v>
      </c>
      <c r="H803" s="1">
        <v>44877</v>
      </c>
      <c r="I803" t="s">
        <v>926</v>
      </c>
      <c r="J803" t="s">
        <v>21</v>
      </c>
      <c r="K803" t="s">
        <v>172</v>
      </c>
      <c r="L803" t="s">
        <v>44</v>
      </c>
    </row>
    <row r="804" spans="1:12" x14ac:dyDescent="0.25">
      <c r="A804" t="s">
        <v>927</v>
      </c>
      <c r="B804">
        <v>1626</v>
      </c>
      <c r="C804">
        <v>258</v>
      </c>
      <c r="D804">
        <v>15</v>
      </c>
      <c r="E804" t="s">
        <v>30</v>
      </c>
      <c r="F804" t="s">
        <v>31</v>
      </c>
      <c r="G804" t="s">
        <v>40</v>
      </c>
      <c r="H804" s="1">
        <v>44354</v>
      </c>
      <c r="I804" t="s">
        <v>928</v>
      </c>
      <c r="J804" t="s">
        <v>17</v>
      </c>
      <c r="K804" t="s">
        <v>34</v>
      </c>
      <c r="L804" t="s">
        <v>125</v>
      </c>
    </row>
    <row r="805" spans="1:12" x14ac:dyDescent="0.25">
      <c r="A805" t="s">
        <v>929</v>
      </c>
      <c r="B805">
        <v>8851</v>
      </c>
      <c r="C805">
        <v>3962</v>
      </c>
      <c r="D805">
        <v>7</v>
      </c>
      <c r="E805" t="s">
        <v>45</v>
      </c>
      <c r="F805" t="s">
        <v>46</v>
      </c>
      <c r="G805" t="s">
        <v>40</v>
      </c>
      <c r="H805" s="1">
        <v>44100</v>
      </c>
      <c r="I805" t="s">
        <v>930</v>
      </c>
      <c r="J805" t="s">
        <v>17</v>
      </c>
      <c r="K805" t="s">
        <v>18</v>
      </c>
      <c r="L805" t="s">
        <v>389</v>
      </c>
    </row>
    <row r="806" spans="1:12" x14ac:dyDescent="0.25">
      <c r="A806" t="s">
        <v>931</v>
      </c>
      <c r="B806">
        <v>9680</v>
      </c>
      <c r="C806">
        <v>3295</v>
      </c>
      <c r="D806">
        <v>9</v>
      </c>
      <c r="E806" t="s">
        <v>45</v>
      </c>
      <c r="F806" t="s">
        <v>46</v>
      </c>
      <c r="G806" t="s">
        <v>65</v>
      </c>
      <c r="H806" s="1">
        <v>45411</v>
      </c>
      <c r="I806" t="s">
        <v>932</v>
      </c>
      <c r="J806" t="s">
        <v>25</v>
      </c>
      <c r="K806" t="s">
        <v>68</v>
      </c>
      <c r="L806" t="s">
        <v>235</v>
      </c>
    </row>
    <row r="807" spans="1:12" x14ac:dyDescent="0.25">
      <c r="A807" t="s">
        <v>931</v>
      </c>
      <c r="B807">
        <v>8468</v>
      </c>
      <c r="C807">
        <v>3666</v>
      </c>
      <c r="D807">
        <v>8</v>
      </c>
      <c r="E807" t="s">
        <v>30</v>
      </c>
      <c r="F807" t="s">
        <v>31</v>
      </c>
      <c r="G807" t="s">
        <v>15</v>
      </c>
      <c r="H807" s="1">
        <v>45411</v>
      </c>
      <c r="I807" t="s">
        <v>932</v>
      </c>
      <c r="J807" t="s">
        <v>25</v>
      </c>
      <c r="K807" t="s">
        <v>68</v>
      </c>
      <c r="L807" t="s">
        <v>235</v>
      </c>
    </row>
    <row r="808" spans="1:12" x14ac:dyDescent="0.25">
      <c r="A808" t="s">
        <v>931</v>
      </c>
      <c r="B808">
        <v>4441</v>
      </c>
      <c r="C808">
        <v>314</v>
      </c>
      <c r="D808">
        <v>14</v>
      </c>
      <c r="E808" t="s">
        <v>45</v>
      </c>
      <c r="F808" t="s">
        <v>49</v>
      </c>
      <c r="G808" t="s">
        <v>32</v>
      </c>
      <c r="H808" s="1">
        <v>45411</v>
      </c>
      <c r="I808" t="s">
        <v>932</v>
      </c>
      <c r="J808" t="s">
        <v>25</v>
      </c>
      <c r="K808" t="s">
        <v>68</v>
      </c>
      <c r="L808" t="s">
        <v>235</v>
      </c>
    </row>
    <row r="809" spans="1:12" x14ac:dyDescent="0.25">
      <c r="A809" t="s">
        <v>933</v>
      </c>
      <c r="B809">
        <v>6622</v>
      </c>
      <c r="C809">
        <v>2673</v>
      </c>
      <c r="D809">
        <v>8</v>
      </c>
      <c r="E809" t="s">
        <v>45</v>
      </c>
      <c r="F809" t="s">
        <v>60</v>
      </c>
      <c r="G809" t="s">
        <v>65</v>
      </c>
      <c r="H809" s="1">
        <v>45392</v>
      </c>
      <c r="I809" t="s">
        <v>934</v>
      </c>
      <c r="J809" t="s">
        <v>25</v>
      </c>
      <c r="K809" t="s">
        <v>51</v>
      </c>
      <c r="L809" t="s">
        <v>235</v>
      </c>
    </row>
    <row r="810" spans="1:12" x14ac:dyDescent="0.25">
      <c r="A810" t="s">
        <v>935</v>
      </c>
      <c r="B810">
        <v>3260</v>
      </c>
      <c r="C810">
        <v>207</v>
      </c>
      <c r="D810">
        <v>17</v>
      </c>
      <c r="E810" t="s">
        <v>45</v>
      </c>
      <c r="F810" t="s">
        <v>46</v>
      </c>
      <c r="G810" t="s">
        <v>15</v>
      </c>
      <c r="H810" s="1">
        <v>45281</v>
      </c>
      <c r="I810" t="s">
        <v>936</v>
      </c>
      <c r="J810" t="s">
        <v>42</v>
      </c>
      <c r="K810" t="s">
        <v>75</v>
      </c>
      <c r="L810" t="s">
        <v>102</v>
      </c>
    </row>
    <row r="811" spans="1:12" x14ac:dyDescent="0.25">
      <c r="A811" t="s">
        <v>937</v>
      </c>
      <c r="B811">
        <v>8709</v>
      </c>
      <c r="C811">
        <v>2322</v>
      </c>
      <c r="D811">
        <v>8</v>
      </c>
      <c r="E811" t="s">
        <v>45</v>
      </c>
      <c r="F811" t="s">
        <v>46</v>
      </c>
      <c r="G811" t="s">
        <v>32</v>
      </c>
      <c r="H811" s="1">
        <v>45414</v>
      </c>
      <c r="I811" t="s">
        <v>938</v>
      </c>
      <c r="J811" t="s">
        <v>71</v>
      </c>
      <c r="K811" t="s">
        <v>86</v>
      </c>
      <c r="L811" t="s">
        <v>35</v>
      </c>
    </row>
    <row r="812" spans="1:12" x14ac:dyDescent="0.25">
      <c r="A812" t="s">
        <v>937</v>
      </c>
      <c r="B812">
        <v>8709</v>
      </c>
      <c r="C812">
        <v>2322</v>
      </c>
      <c r="D812">
        <v>8</v>
      </c>
      <c r="E812" t="s">
        <v>45</v>
      </c>
      <c r="F812" t="s">
        <v>46</v>
      </c>
      <c r="G812" t="s">
        <v>32</v>
      </c>
      <c r="H812" s="1">
        <v>45617</v>
      </c>
      <c r="I812" t="s">
        <v>939</v>
      </c>
      <c r="J812" t="s">
        <v>42</v>
      </c>
      <c r="K812" t="s">
        <v>92</v>
      </c>
      <c r="L812" t="s">
        <v>255</v>
      </c>
    </row>
    <row r="813" spans="1:12" x14ac:dyDescent="0.25">
      <c r="A813" t="s">
        <v>940</v>
      </c>
      <c r="B813">
        <v>5250</v>
      </c>
      <c r="C813">
        <v>187</v>
      </c>
      <c r="D813">
        <v>1</v>
      </c>
      <c r="E813" t="s">
        <v>30</v>
      </c>
      <c r="F813" t="s">
        <v>78</v>
      </c>
      <c r="G813" t="s">
        <v>65</v>
      </c>
      <c r="H813" s="1">
        <v>44637</v>
      </c>
      <c r="I813" t="s">
        <v>941</v>
      </c>
      <c r="J813" t="s">
        <v>98</v>
      </c>
      <c r="K813" t="s">
        <v>107</v>
      </c>
      <c r="L813" t="s">
        <v>134</v>
      </c>
    </row>
    <row r="814" spans="1:12" x14ac:dyDescent="0.25">
      <c r="A814" t="s">
        <v>940</v>
      </c>
      <c r="B814">
        <v>5250</v>
      </c>
      <c r="C814">
        <v>187</v>
      </c>
      <c r="D814">
        <v>1</v>
      </c>
      <c r="E814" t="s">
        <v>30</v>
      </c>
      <c r="F814" t="s">
        <v>78</v>
      </c>
      <c r="G814" t="s">
        <v>65</v>
      </c>
      <c r="H814" s="1">
        <v>45060</v>
      </c>
      <c r="I814" t="s">
        <v>942</v>
      </c>
      <c r="J814" t="s">
        <v>71</v>
      </c>
      <c r="K814" t="s">
        <v>138</v>
      </c>
      <c r="L814" t="s">
        <v>127</v>
      </c>
    </row>
    <row r="815" spans="1:12" x14ac:dyDescent="0.25">
      <c r="A815" t="s">
        <v>943</v>
      </c>
      <c r="B815">
        <v>4116</v>
      </c>
      <c r="C815">
        <v>921</v>
      </c>
      <c r="D815">
        <v>20</v>
      </c>
      <c r="E815" t="s">
        <v>30</v>
      </c>
      <c r="F815" t="s">
        <v>64</v>
      </c>
      <c r="G815" t="s">
        <v>15</v>
      </c>
      <c r="H815" s="1">
        <v>45572</v>
      </c>
      <c r="I815" t="s">
        <v>944</v>
      </c>
      <c r="J815" t="s">
        <v>42</v>
      </c>
      <c r="K815" t="s">
        <v>43</v>
      </c>
      <c r="L815" t="s">
        <v>360</v>
      </c>
    </row>
    <row r="816" spans="1:12" x14ac:dyDescent="0.25">
      <c r="A816" t="s">
        <v>943</v>
      </c>
      <c r="B816">
        <v>4116</v>
      </c>
      <c r="C816">
        <v>921</v>
      </c>
      <c r="D816">
        <v>20</v>
      </c>
      <c r="E816" t="s">
        <v>30</v>
      </c>
      <c r="F816" t="s">
        <v>64</v>
      </c>
      <c r="G816" t="s">
        <v>15</v>
      </c>
      <c r="H816" s="1">
        <v>44082</v>
      </c>
      <c r="I816" t="s">
        <v>945</v>
      </c>
      <c r="J816" t="s">
        <v>21</v>
      </c>
      <c r="K816" t="s">
        <v>63</v>
      </c>
      <c r="L816" t="s">
        <v>389</v>
      </c>
    </row>
    <row r="817" spans="1:12" x14ac:dyDescent="0.25">
      <c r="A817" t="s">
        <v>946</v>
      </c>
      <c r="B817">
        <v>1109</v>
      </c>
      <c r="C817">
        <v>418</v>
      </c>
      <c r="D817">
        <v>15</v>
      </c>
      <c r="E817" t="s">
        <v>30</v>
      </c>
      <c r="F817" t="s">
        <v>64</v>
      </c>
      <c r="G817" t="s">
        <v>15</v>
      </c>
      <c r="H817" s="1">
        <v>44427</v>
      </c>
      <c r="I817" t="s">
        <v>947</v>
      </c>
      <c r="J817" t="s">
        <v>42</v>
      </c>
      <c r="K817" t="s">
        <v>43</v>
      </c>
      <c r="L817" t="s">
        <v>178</v>
      </c>
    </row>
    <row r="818" spans="1:12" x14ac:dyDescent="0.25">
      <c r="A818" t="s">
        <v>948</v>
      </c>
      <c r="B818">
        <v>3573</v>
      </c>
      <c r="C818">
        <v>562</v>
      </c>
      <c r="D818">
        <v>7</v>
      </c>
      <c r="E818" t="s">
        <v>30</v>
      </c>
      <c r="F818" t="s">
        <v>31</v>
      </c>
      <c r="G818" t="s">
        <v>40</v>
      </c>
      <c r="H818" s="1">
        <v>44846</v>
      </c>
      <c r="I818" t="s">
        <v>454</v>
      </c>
      <c r="J818" t="s">
        <v>25</v>
      </c>
      <c r="K818" t="s">
        <v>68</v>
      </c>
      <c r="L818" t="s">
        <v>96</v>
      </c>
    </row>
    <row r="819" spans="1:12" x14ac:dyDescent="0.25">
      <c r="A819" t="s">
        <v>948</v>
      </c>
      <c r="B819">
        <v>3573</v>
      </c>
      <c r="C819">
        <v>562</v>
      </c>
      <c r="D819">
        <v>7</v>
      </c>
      <c r="E819" t="s">
        <v>30</v>
      </c>
      <c r="F819" t="s">
        <v>31</v>
      </c>
      <c r="G819" t="s">
        <v>40</v>
      </c>
      <c r="H819" s="1">
        <v>43974</v>
      </c>
      <c r="I819" t="s">
        <v>949</v>
      </c>
      <c r="J819" t="s">
        <v>42</v>
      </c>
      <c r="K819" t="s">
        <v>75</v>
      </c>
      <c r="L819" t="s">
        <v>59</v>
      </c>
    </row>
    <row r="820" spans="1:12" x14ac:dyDescent="0.25">
      <c r="A820" t="s">
        <v>948</v>
      </c>
      <c r="B820">
        <v>3573</v>
      </c>
      <c r="C820">
        <v>562</v>
      </c>
      <c r="D820">
        <v>7</v>
      </c>
      <c r="E820" t="s">
        <v>30</v>
      </c>
      <c r="F820" t="s">
        <v>31</v>
      </c>
      <c r="G820" t="s">
        <v>40</v>
      </c>
      <c r="H820" s="1">
        <v>43939</v>
      </c>
      <c r="I820" t="s">
        <v>950</v>
      </c>
      <c r="J820" t="s">
        <v>17</v>
      </c>
      <c r="K820" t="s">
        <v>150</v>
      </c>
      <c r="L820" t="s">
        <v>162</v>
      </c>
    </row>
    <row r="821" spans="1:12" x14ac:dyDescent="0.25">
      <c r="A821" t="s">
        <v>948</v>
      </c>
      <c r="B821">
        <v>8055</v>
      </c>
      <c r="C821">
        <v>661</v>
      </c>
      <c r="D821">
        <v>10</v>
      </c>
      <c r="E821" t="s">
        <v>13</v>
      </c>
      <c r="F821" t="s">
        <v>82</v>
      </c>
      <c r="G821" t="s">
        <v>40</v>
      </c>
      <c r="H821" s="1">
        <v>44846</v>
      </c>
      <c r="I821" t="s">
        <v>454</v>
      </c>
      <c r="J821" t="s">
        <v>25</v>
      </c>
      <c r="K821" t="s">
        <v>68</v>
      </c>
      <c r="L821" t="s">
        <v>96</v>
      </c>
    </row>
    <row r="822" spans="1:12" x14ac:dyDescent="0.25">
      <c r="A822" t="s">
        <v>948</v>
      </c>
      <c r="B822">
        <v>8055</v>
      </c>
      <c r="C822">
        <v>661</v>
      </c>
      <c r="D822">
        <v>10</v>
      </c>
      <c r="E822" t="s">
        <v>13</v>
      </c>
      <c r="F822" t="s">
        <v>82</v>
      </c>
      <c r="G822" t="s">
        <v>40</v>
      </c>
      <c r="H822" s="1">
        <v>43974</v>
      </c>
      <c r="I822" t="s">
        <v>949</v>
      </c>
      <c r="J822" t="s">
        <v>42</v>
      </c>
      <c r="K822" t="s">
        <v>75</v>
      </c>
      <c r="L822" t="s">
        <v>59</v>
      </c>
    </row>
    <row r="823" spans="1:12" x14ac:dyDescent="0.25">
      <c r="A823" t="s">
        <v>948</v>
      </c>
      <c r="B823">
        <v>8055</v>
      </c>
      <c r="C823">
        <v>661</v>
      </c>
      <c r="D823">
        <v>10</v>
      </c>
      <c r="E823" t="s">
        <v>13</v>
      </c>
      <c r="F823" t="s">
        <v>82</v>
      </c>
      <c r="G823" t="s">
        <v>40</v>
      </c>
      <c r="H823" s="1">
        <v>43939</v>
      </c>
      <c r="I823" t="s">
        <v>950</v>
      </c>
      <c r="J823" t="s">
        <v>17</v>
      </c>
      <c r="K823" t="s">
        <v>150</v>
      </c>
      <c r="L823" t="s">
        <v>162</v>
      </c>
    </row>
    <row r="824" spans="1:12" x14ac:dyDescent="0.25">
      <c r="A824" t="s">
        <v>951</v>
      </c>
      <c r="B824">
        <v>6829</v>
      </c>
      <c r="C824">
        <v>2609</v>
      </c>
      <c r="D824">
        <v>2</v>
      </c>
      <c r="E824" t="s">
        <v>13</v>
      </c>
      <c r="F824" t="s">
        <v>39</v>
      </c>
      <c r="G824" t="s">
        <v>40</v>
      </c>
      <c r="H824" s="1">
        <v>44716</v>
      </c>
      <c r="I824" t="s">
        <v>952</v>
      </c>
      <c r="J824" t="s">
        <v>42</v>
      </c>
      <c r="K824" t="s">
        <v>92</v>
      </c>
      <c r="L824" t="s">
        <v>165</v>
      </c>
    </row>
    <row r="825" spans="1:12" x14ac:dyDescent="0.25">
      <c r="A825" t="s">
        <v>951</v>
      </c>
      <c r="B825">
        <v>6390</v>
      </c>
      <c r="C825">
        <v>3089</v>
      </c>
      <c r="D825">
        <v>12</v>
      </c>
      <c r="E825" t="s">
        <v>30</v>
      </c>
      <c r="F825" t="s">
        <v>64</v>
      </c>
      <c r="G825" t="s">
        <v>65</v>
      </c>
      <c r="H825" s="1">
        <v>44716</v>
      </c>
      <c r="I825" t="s">
        <v>952</v>
      </c>
      <c r="J825" t="s">
        <v>42</v>
      </c>
      <c r="K825" t="s">
        <v>92</v>
      </c>
      <c r="L825" t="s">
        <v>165</v>
      </c>
    </row>
    <row r="826" spans="1:12" x14ac:dyDescent="0.25">
      <c r="A826" t="s">
        <v>953</v>
      </c>
      <c r="B826">
        <v>5831</v>
      </c>
      <c r="C826">
        <v>1574</v>
      </c>
      <c r="D826">
        <v>17</v>
      </c>
      <c r="E826" t="s">
        <v>30</v>
      </c>
      <c r="F826" t="s">
        <v>31</v>
      </c>
      <c r="G826" t="s">
        <v>32</v>
      </c>
      <c r="H826" s="1">
        <v>44881</v>
      </c>
      <c r="I826" t="s">
        <v>954</v>
      </c>
      <c r="J826" t="s">
        <v>42</v>
      </c>
      <c r="K826" t="s">
        <v>92</v>
      </c>
      <c r="L826" t="s">
        <v>44</v>
      </c>
    </row>
    <row r="827" spans="1:12" x14ac:dyDescent="0.25">
      <c r="A827" t="s">
        <v>953</v>
      </c>
      <c r="B827">
        <v>5831</v>
      </c>
      <c r="C827">
        <v>1574</v>
      </c>
      <c r="D827">
        <v>17</v>
      </c>
      <c r="E827" t="s">
        <v>30</v>
      </c>
      <c r="F827" t="s">
        <v>31</v>
      </c>
      <c r="G827" t="s">
        <v>32</v>
      </c>
      <c r="H827" s="1">
        <v>45491</v>
      </c>
      <c r="I827" t="s">
        <v>955</v>
      </c>
      <c r="J827" t="s">
        <v>42</v>
      </c>
      <c r="K827" t="s">
        <v>75</v>
      </c>
      <c r="L827" t="s">
        <v>215</v>
      </c>
    </row>
    <row r="828" spans="1:12" x14ac:dyDescent="0.25">
      <c r="A828" t="s">
        <v>953</v>
      </c>
      <c r="B828">
        <v>5831</v>
      </c>
      <c r="C828">
        <v>1574</v>
      </c>
      <c r="D828">
        <v>17</v>
      </c>
      <c r="E828" t="s">
        <v>30</v>
      </c>
      <c r="F828" t="s">
        <v>31</v>
      </c>
      <c r="G828" t="s">
        <v>32</v>
      </c>
      <c r="H828" s="1">
        <v>45123</v>
      </c>
      <c r="I828" t="s">
        <v>956</v>
      </c>
      <c r="J828" t="s">
        <v>17</v>
      </c>
      <c r="K828" t="s">
        <v>18</v>
      </c>
      <c r="L828" t="s">
        <v>105</v>
      </c>
    </row>
    <row r="829" spans="1:12" x14ac:dyDescent="0.25">
      <c r="A829" t="s">
        <v>957</v>
      </c>
      <c r="B829">
        <v>7952</v>
      </c>
      <c r="C829">
        <v>3865</v>
      </c>
      <c r="D829">
        <v>8</v>
      </c>
      <c r="E829" t="s">
        <v>45</v>
      </c>
      <c r="F829" t="s">
        <v>60</v>
      </c>
      <c r="G829" t="s">
        <v>32</v>
      </c>
      <c r="H829" s="1">
        <v>44053</v>
      </c>
      <c r="I829" t="s">
        <v>958</v>
      </c>
      <c r="J829" t="s">
        <v>21</v>
      </c>
      <c r="K829" t="s">
        <v>172</v>
      </c>
      <c r="L829" t="s">
        <v>185</v>
      </c>
    </row>
    <row r="830" spans="1:12" x14ac:dyDescent="0.25">
      <c r="A830" t="s">
        <v>959</v>
      </c>
      <c r="B830">
        <v>3659</v>
      </c>
      <c r="C830">
        <v>379</v>
      </c>
      <c r="D830">
        <v>5</v>
      </c>
      <c r="E830" t="s">
        <v>45</v>
      </c>
      <c r="F830" t="s">
        <v>109</v>
      </c>
      <c r="G830" t="s">
        <v>15</v>
      </c>
      <c r="H830" s="1">
        <v>45465</v>
      </c>
      <c r="I830" t="s">
        <v>960</v>
      </c>
      <c r="J830" t="s">
        <v>42</v>
      </c>
      <c r="K830" t="s">
        <v>43</v>
      </c>
      <c r="L830" t="s">
        <v>262</v>
      </c>
    </row>
    <row r="831" spans="1:12" x14ac:dyDescent="0.25">
      <c r="A831" t="s">
        <v>961</v>
      </c>
      <c r="B831">
        <v>4183</v>
      </c>
      <c r="C831">
        <v>1159</v>
      </c>
      <c r="D831">
        <v>4</v>
      </c>
      <c r="E831" t="s">
        <v>30</v>
      </c>
      <c r="F831" t="s">
        <v>31</v>
      </c>
      <c r="G831" t="s">
        <v>32</v>
      </c>
      <c r="H831" s="1">
        <v>44025</v>
      </c>
      <c r="I831" t="s">
        <v>962</v>
      </c>
      <c r="J831" t="s">
        <v>21</v>
      </c>
      <c r="K831" t="s">
        <v>63</v>
      </c>
      <c r="L831" t="s">
        <v>462</v>
      </c>
    </row>
    <row r="832" spans="1:12" x14ac:dyDescent="0.25">
      <c r="A832" t="s">
        <v>963</v>
      </c>
      <c r="B832">
        <v>7478</v>
      </c>
      <c r="C832">
        <v>1381</v>
      </c>
      <c r="D832">
        <v>11</v>
      </c>
      <c r="E832" t="s">
        <v>13</v>
      </c>
      <c r="F832" t="s">
        <v>82</v>
      </c>
      <c r="G832" t="s">
        <v>40</v>
      </c>
      <c r="H832" s="1">
        <v>45398</v>
      </c>
      <c r="I832" t="s">
        <v>964</v>
      </c>
      <c r="J832" t="s">
        <v>71</v>
      </c>
      <c r="K832" t="s">
        <v>138</v>
      </c>
      <c r="L832" t="s">
        <v>235</v>
      </c>
    </row>
    <row r="833" spans="1:12" x14ac:dyDescent="0.25">
      <c r="A833" t="s">
        <v>965</v>
      </c>
      <c r="B833">
        <v>702</v>
      </c>
      <c r="C833">
        <v>238</v>
      </c>
      <c r="D833">
        <v>9</v>
      </c>
      <c r="E833" t="s">
        <v>13</v>
      </c>
      <c r="F833" t="s">
        <v>82</v>
      </c>
      <c r="G833" t="s">
        <v>65</v>
      </c>
      <c r="H833" s="1">
        <v>44268</v>
      </c>
      <c r="I833" t="s">
        <v>966</v>
      </c>
      <c r="J833" t="s">
        <v>17</v>
      </c>
      <c r="K833" t="s">
        <v>150</v>
      </c>
      <c r="L833" t="s">
        <v>167</v>
      </c>
    </row>
    <row r="834" spans="1:12" x14ac:dyDescent="0.25">
      <c r="A834" t="s">
        <v>967</v>
      </c>
      <c r="B834">
        <v>4037</v>
      </c>
      <c r="C834">
        <v>1494</v>
      </c>
      <c r="D834">
        <v>15</v>
      </c>
      <c r="E834" t="s">
        <v>45</v>
      </c>
      <c r="F834" t="s">
        <v>49</v>
      </c>
      <c r="G834" t="s">
        <v>40</v>
      </c>
      <c r="H834" s="1">
        <v>45017</v>
      </c>
      <c r="I834" t="s">
        <v>968</v>
      </c>
      <c r="J834" t="s">
        <v>42</v>
      </c>
      <c r="K834" t="s">
        <v>92</v>
      </c>
      <c r="L834" t="s">
        <v>145</v>
      </c>
    </row>
    <row r="835" spans="1:12" x14ac:dyDescent="0.25">
      <c r="A835" t="s">
        <v>969</v>
      </c>
      <c r="B835">
        <v>5014</v>
      </c>
      <c r="C835">
        <v>2332</v>
      </c>
      <c r="D835">
        <v>2</v>
      </c>
      <c r="E835" t="s">
        <v>45</v>
      </c>
      <c r="F835" t="s">
        <v>49</v>
      </c>
      <c r="G835" t="s">
        <v>65</v>
      </c>
      <c r="H835" s="1">
        <v>44145</v>
      </c>
      <c r="I835" t="s">
        <v>970</v>
      </c>
      <c r="J835" t="s">
        <v>21</v>
      </c>
      <c r="K835" t="s">
        <v>22</v>
      </c>
      <c r="L835" t="s">
        <v>80</v>
      </c>
    </row>
    <row r="836" spans="1:12" x14ac:dyDescent="0.25">
      <c r="A836" t="s">
        <v>971</v>
      </c>
      <c r="B836">
        <v>9879</v>
      </c>
      <c r="C836">
        <v>4930</v>
      </c>
      <c r="D836">
        <v>15</v>
      </c>
      <c r="E836" t="s">
        <v>13</v>
      </c>
      <c r="F836" t="s">
        <v>39</v>
      </c>
      <c r="G836" t="s">
        <v>32</v>
      </c>
      <c r="H836" s="1">
        <v>45085</v>
      </c>
      <c r="I836" t="s">
        <v>972</v>
      </c>
      <c r="J836" t="s">
        <v>25</v>
      </c>
      <c r="K836" t="s">
        <v>68</v>
      </c>
      <c r="L836" t="s">
        <v>19</v>
      </c>
    </row>
    <row r="837" spans="1:12" x14ac:dyDescent="0.25">
      <c r="A837" t="s">
        <v>973</v>
      </c>
      <c r="B837">
        <v>8762</v>
      </c>
      <c r="C837">
        <v>3502</v>
      </c>
      <c r="D837">
        <v>1</v>
      </c>
      <c r="E837" t="s">
        <v>13</v>
      </c>
      <c r="F837" t="s">
        <v>82</v>
      </c>
      <c r="G837" t="s">
        <v>32</v>
      </c>
      <c r="H837" s="1">
        <v>44425</v>
      </c>
      <c r="I837" t="s">
        <v>974</v>
      </c>
      <c r="J837" t="s">
        <v>17</v>
      </c>
      <c r="K837" t="s">
        <v>150</v>
      </c>
      <c r="L837" t="s">
        <v>178</v>
      </c>
    </row>
    <row r="838" spans="1:12" x14ac:dyDescent="0.25">
      <c r="A838" t="s">
        <v>975</v>
      </c>
      <c r="B838">
        <v>8490</v>
      </c>
      <c r="C838">
        <v>800</v>
      </c>
      <c r="D838">
        <v>1</v>
      </c>
      <c r="E838" t="s">
        <v>30</v>
      </c>
      <c r="F838" t="s">
        <v>31</v>
      </c>
      <c r="G838" t="s">
        <v>40</v>
      </c>
      <c r="H838" s="1">
        <v>43975</v>
      </c>
      <c r="I838" t="s">
        <v>976</v>
      </c>
      <c r="J838" t="s">
        <v>25</v>
      </c>
      <c r="K838" t="s">
        <v>51</v>
      </c>
      <c r="L838" t="s">
        <v>59</v>
      </c>
    </row>
    <row r="839" spans="1:12" x14ac:dyDescent="0.25">
      <c r="A839" t="s">
        <v>977</v>
      </c>
      <c r="B839">
        <v>6951</v>
      </c>
      <c r="C839">
        <v>164</v>
      </c>
      <c r="D839">
        <v>10</v>
      </c>
      <c r="E839" t="s">
        <v>45</v>
      </c>
      <c r="F839" t="s">
        <v>60</v>
      </c>
      <c r="G839" t="s">
        <v>15</v>
      </c>
      <c r="H839" s="1">
        <v>44420</v>
      </c>
      <c r="I839" t="s">
        <v>978</v>
      </c>
      <c r="J839" t="s">
        <v>25</v>
      </c>
      <c r="K839" t="s">
        <v>26</v>
      </c>
      <c r="L839" t="s">
        <v>178</v>
      </c>
    </row>
    <row r="840" spans="1:12" x14ac:dyDescent="0.25">
      <c r="A840" t="s">
        <v>979</v>
      </c>
      <c r="B840">
        <v>1078</v>
      </c>
      <c r="C840">
        <v>309</v>
      </c>
      <c r="D840">
        <v>3</v>
      </c>
      <c r="E840" t="s">
        <v>13</v>
      </c>
      <c r="F840" t="s">
        <v>82</v>
      </c>
      <c r="G840" t="s">
        <v>47</v>
      </c>
      <c r="H840" s="1">
        <v>44807</v>
      </c>
      <c r="I840" t="s">
        <v>980</v>
      </c>
      <c r="J840" t="s">
        <v>98</v>
      </c>
      <c r="K840" t="s">
        <v>117</v>
      </c>
      <c r="L840" t="s">
        <v>131</v>
      </c>
    </row>
    <row r="841" spans="1:12" x14ac:dyDescent="0.25">
      <c r="A841" t="s">
        <v>979</v>
      </c>
      <c r="B841">
        <v>1078</v>
      </c>
      <c r="C841">
        <v>309</v>
      </c>
      <c r="D841">
        <v>3</v>
      </c>
      <c r="E841" t="s">
        <v>13</v>
      </c>
      <c r="F841" t="s">
        <v>82</v>
      </c>
      <c r="G841" t="s">
        <v>47</v>
      </c>
      <c r="H841" s="1">
        <v>44105</v>
      </c>
      <c r="I841" t="s">
        <v>981</v>
      </c>
      <c r="J841" t="s">
        <v>21</v>
      </c>
      <c r="K841" t="s">
        <v>22</v>
      </c>
      <c r="L841" t="s">
        <v>119</v>
      </c>
    </row>
    <row r="842" spans="1:12" x14ac:dyDescent="0.25">
      <c r="A842" t="s">
        <v>982</v>
      </c>
      <c r="B842">
        <v>8560</v>
      </c>
      <c r="C842">
        <v>2166</v>
      </c>
      <c r="D842">
        <v>19</v>
      </c>
      <c r="E842" t="s">
        <v>30</v>
      </c>
      <c r="F842" t="s">
        <v>78</v>
      </c>
      <c r="G842" t="s">
        <v>40</v>
      </c>
      <c r="H842" s="1">
        <v>44708</v>
      </c>
      <c r="I842" t="s">
        <v>983</v>
      </c>
      <c r="J842" t="s">
        <v>17</v>
      </c>
      <c r="K842" t="s">
        <v>150</v>
      </c>
      <c r="L842" t="s">
        <v>180</v>
      </c>
    </row>
    <row r="843" spans="1:12" x14ac:dyDescent="0.25">
      <c r="A843" t="s">
        <v>982</v>
      </c>
      <c r="B843">
        <v>1031</v>
      </c>
      <c r="C843">
        <v>318</v>
      </c>
      <c r="D843">
        <v>20</v>
      </c>
      <c r="E843" t="s">
        <v>13</v>
      </c>
      <c r="F843" t="s">
        <v>14</v>
      </c>
      <c r="G843" t="s">
        <v>15</v>
      </c>
      <c r="H843" s="1">
        <v>44708</v>
      </c>
      <c r="I843" t="s">
        <v>983</v>
      </c>
      <c r="J843" t="s">
        <v>17</v>
      </c>
      <c r="K843" t="s">
        <v>150</v>
      </c>
      <c r="L843" t="s">
        <v>180</v>
      </c>
    </row>
    <row r="844" spans="1:12" x14ac:dyDescent="0.25">
      <c r="A844" t="s">
        <v>984</v>
      </c>
      <c r="B844">
        <v>6402</v>
      </c>
      <c r="C844">
        <v>2770</v>
      </c>
      <c r="D844">
        <v>19</v>
      </c>
      <c r="E844" t="s">
        <v>30</v>
      </c>
      <c r="F844" t="s">
        <v>57</v>
      </c>
      <c r="G844" t="s">
        <v>32</v>
      </c>
      <c r="H844" s="1">
        <v>45361</v>
      </c>
      <c r="I844" t="s">
        <v>985</v>
      </c>
      <c r="J844" t="s">
        <v>17</v>
      </c>
      <c r="K844" t="s">
        <v>34</v>
      </c>
      <c r="L844" t="s">
        <v>338</v>
      </c>
    </row>
    <row r="845" spans="1:12" x14ac:dyDescent="0.25">
      <c r="A845" t="s">
        <v>984</v>
      </c>
      <c r="B845">
        <v>6402</v>
      </c>
      <c r="C845">
        <v>2770</v>
      </c>
      <c r="D845">
        <v>19</v>
      </c>
      <c r="E845" t="s">
        <v>30</v>
      </c>
      <c r="F845" t="s">
        <v>57</v>
      </c>
      <c r="G845" t="s">
        <v>32</v>
      </c>
      <c r="H845" s="1">
        <v>45204</v>
      </c>
      <c r="I845" t="s">
        <v>986</v>
      </c>
      <c r="J845" t="s">
        <v>17</v>
      </c>
      <c r="K845" t="s">
        <v>34</v>
      </c>
      <c r="L845" t="s">
        <v>442</v>
      </c>
    </row>
    <row r="846" spans="1:12" x14ac:dyDescent="0.25">
      <c r="A846" t="s">
        <v>984</v>
      </c>
      <c r="B846">
        <v>5916</v>
      </c>
      <c r="C846">
        <v>1594</v>
      </c>
      <c r="D846">
        <v>19</v>
      </c>
      <c r="E846" t="s">
        <v>13</v>
      </c>
      <c r="F846" t="s">
        <v>28</v>
      </c>
      <c r="G846" t="s">
        <v>32</v>
      </c>
      <c r="H846" s="1">
        <v>45361</v>
      </c>
      <c r="I846" t="s">
        <v>985</v>
      </c>
      <c r="J846" t="s">
        <v>17</v>
      </c>
      <c r="K846" t="s">
        <v>34</v>
      </c>
      <c r="L846" t="s">
        <v>338</v>
      </c>
    </row>
    <row r="847" spans="1:12" x14ac:dyDescent="0.25">
      <c r="A847" t="s">
        <v>984</v>
      </c>
      <c r="B847">
        <v>5916</v>
      </c>
      <c r="C847">
        <v>1594</v>
      </c>
      <c r="D847">
        <v>19</v>
      </c>
      <c r="E847" t="s">
        <v>13</v>
      </c>
      <c r="F847" t="s">
        <v>28</v>
      </c>
      <c r="G847" t="s">
        <v>32</v>
      </c>
      <c r="H847" s="1">
        <v>45204</v>
      </c>
      <c r="I847" t="s">
        <v>986</v>
      </c>
      <c r="J847" t="s">
        <v>17</v>
      </c>
      <c r="K847" t="s">
        <v>34</v>
      </c>
      <c r="L847" t="s">
        <v>442</v>
      </c>
    </row>
    <row r="848" spans="1:12" x14ac:dyDescent="0.25">
      <c r="A848" t="s">
        <v>987</v>
      </c>
      <c r="B848">
        <v>4015</v>
      </c>
      <c r="C848">
        <v>1751</v>
      </c>
      <c r="D848">
        <v>15</v>
      </c>
      <c r="E848" t="s">
        <v>45</v>
      </c>
      <c r="F848" t="s">
        <v>49</v>
      </c>
      <c r="G848" t="s">
        <v>32</v>
      </c>
      <c r="H848" s="1">
        <v>44801</v>
      </c>
      <c r="I848" t="s">
        <v>988</v>
      </c>
      <c r="J848" t="s">
        <v>42</v>
      </c>
      <c r="K848" t="s">
        <v>92</v>
      </c>
      <c r="L848" t="s">
        <v>209</v>
      </c>
    </row>
    <row r="849" spans="1:12" x14ac:dyDescent="0.25">
      <c r="A849" t="s">
        <v>987</v>
      </c>
      <c r="B849">
        <v>4015</v>
      </c>
      <c r="C849">
        <v>1751</v>
      </c>
      <c r="D849">
        <v>15</v>
      </c>
      <c r="E849" t="s">
        <v>45</v>
      </c>
      <c r="F849" t="s">
        <v>49</v>
      </c>
      <c r="G849" t="s">
        <v>32</v>
      </c>
      <c r="H849" s="1">
        <v>44082</v>
      </c>
      <c r="I849" t="s">
        <v>989</v>
      </c>
      <c r="J849" t="s">
        <v>25</v>
      </c>
      <c r="K849" t="s">
        <v>51</v>
      </c>
      <c r="L849" t="s">
        <v>389</v>
      </c>
    </row>
    <row r="850" spans="1:12" x14ac:dyDescent="0.25">
      <c r="A850" t="s">
        <v>990</v>
      </c>
      <c r="B850">
        <v>9335</v>
      </c>
      <c r="C850">
        <v>557</v>
      </c>
      <c r="D850">
        <v>11</v>
      </c>
      <c r="E850" t="s">
        <v>13</v>
      </c>
      <c r="F850" t="s">
        <v>14</v>
      </c>
      <c r="G850" t="s">
        <v>65</v>
      </c>
      <c r="H850" s="1">
        <v>44313</v>
      </c>
      <c r="I850" t="s">
        <v>991</v>
      </c>
      <c r="J850" t="s">
        <v>42</v>
      </c>
      <c r="K850" t="s">
        <v>43</v>
      </c>
      <c r="L850" t="s">
        <v>139</v>
      </c>
    </row>
    <row r="851" spans="1:12" x14ac:dyDescent="0.25">
      <c r="A851" t="s">
        <v>992</v>
      </c>
      <c r="B851">
        <v>4706</v>
      </c>
      <c r="C851">
        <v>594</v>
      </c>
      <c r="D851">
        <v>11</v>
      </c>
      <c r="E851" t="s">
        <v>30</v>
      </c>
      <c r="F851" t="s">
        <v>78</v>
      </c>
      <c r="G851" t="s">
        <v>65</v>
      </c>
      <c r="H851" s="1">
        <v>44429</v>
      </c>
      <c r="I851" t="s">
        <v>993</v>
      </c>
      <c r="J851" t="s">
        <v>98</v>
      </c>
      <c r="K851" t="s">
        <v>117</v>
      </c>
      <c r="L851" t="s">
        <v>178</v>
      </c>
    </row>
    <row r="852" spans="1:12" x14ac:dyDescent="0.25">
      <c r="A852" t="s">
        <v>992</v>
      </c>
      <c r="B852">
        <v>4706</v>
      </c>
      <c r="C852">
        <v>594</v>
      </c>
      <c r="D852">
        <v>11</v>
      </c>
      <c r="E852" t="s">
        <v>30</v>
      </c>
      <c r="F852" t="s">
        <v>78</v>
      </c>
      <c r="G852" t="s">
        <v>65</v>
      </c>
      <c r="H852" s="1">
        <v>44332</v>
      </c>
      <c r="I852" t="s">
        <v>994</v>
      </c>
      <c r="J852" t="s">
        <v>98</v>
      </c>
      <c r="K852" t="s">
        <v>99</v>
      </c>
      <c r="L852" t="s">
        <v>108</v>
      </c>
    </row>
    <row r="853" spans="1:12" x14ac:dyDescent="0.25">
      <c r="A853" t="s">
        <v>992</v>
      </c>
      <c r="B853">
        <v>6584</v>
      </c>
      <c r="C853">
        <v>371</v>
      </c>
      <c r="D853">
        <v>6</v>
      </c>
      <c r="E853" t="s">
        <v>30</v>
      </c>
      <c r="F853" t="s">
        <v>57</v>
      </c>
      <c r="G853" t="s">
        <v>15</v>
      </c>
      <c r="H853" s="1">
        <v>44429</v>
      </c>
      <c r="I853" t="s">
        <v>993</v>
      </c>
      <c r="J853" t="s">
        <v>98</v>
      </c>
      <c r="K853" t="s">
        <v>117</v>
      </c>
      <c r="L853" t="s">
        <v>178</v>
      </c>
    </row>
    <row r="854" spans="1:12" x14ac:dyDescent="0.25">
      <c r="A854" t="s">
        <v>992</v>
      </c>
      <c r="B854">
        <v>6584</v>
      </c>
      <c r="C854">
        <v>371</v>
      </c>
      <c r="D854">
        <v>6</v>
      </c>
      <c r="E854" t="s">
        <v>30</v>
      </c>
      <c r="F854" t="s">
        <v>57</v>
      </c>
      <c r="G854" t="s">
        <v>15</v>
      </c>
      <c r="H854" s="1">
        <v>44332</v>
      </c>
      <c r="I854" t="s">
        <v>994</v>
      </c>
      <c r="J854" t="s">
        <v>98</v>
      </c>
      <c r="K854" t="s">
        <v>99</v>
      </c>
      <c r="L854" t="s">
        <v>108</v>
      </c>
    </row>
    <row r="855" spans="1:12" x14ac:dyDescent="0.25">
      <c r="A855" t="s">
        <v>995</v>
      </c>
      <c r="B855">
        <v>6389</v>
      </c>
      <c r="C855">
        <v>734</v>
      </c>
      <c r="D855">
        <v>1</v>
      </c>
      <c r="E855" t="s">
        <v>45</v>
      </c>
      <c r="F855" t="s">
        <v>60</v>
      </c>
      <c r="G855" t="s">
        <v>40</v>
      </c>
      <c r="H855" s="1">
        <v>44576</v>
      </c>
      <c r="I855" t="s">
        <v>996</v>
      </c>
      <c r="J855" t="s">
        <v>71</v>
      </c>
      <c r="K855" t="s">
        <v>72</v>
      </c>
      <c r="L855" t="s">
        <v>87</v>
      </c>
    </row>
    <row r="856" spans="1:12" x14ac:dyDescent="0.25">
      <c r="A856" t="s">
        <v>997</v>
      </c>
      <c r="B856">
        <v>9869</v>
      </c>
      <c r="C856">
        <v>4299</v>
      </c>
      <c r="D856">
        <v>12</v>
      </c>
      <c r="E856" t="s">
        <v>13</v>
      </c>
      <c r="F856" t="s">
        <v>28</v>
      </c>
      <c r="G856" t="s">
        <v>32</v>
      </c>
      <c r="H856" s="1">
        <v>45006</v>
      </c>
      <c r="I856" t="s">
        <v>998</v>
      </c>
      <c r="J856" t="s">
        <v>42</v>
      </c>
      <c r="K856" t="s">
        <v>75</v>
      </c>
      <c r="L856" t="s">
        <v>245</v>
      </c>
    </row>
    <row r="857" spans="1:12" x14ac:dyDescent="0.25">
      <c r="A857" t="s">
        <v>997</v>
      </c>
      <c r="B857">
        <v>9869</v>
      </c>
      <c r="C857">
        <v>4299</v>
      </c>
      <c r="D857">
        <v>12</v>
      </c>
      <c r="E857" t="s">
        <v>13</v>
      </c>
      <c r="F857" t="s">
        <v>28</v>
      </c>
      <c r="G857" t="s">
        <v>32</v>
      </c>
      <c r="H857" s="1">
        <v>45288</v>
      </c>
      <c r="I857" t="s">
        <v>999</v>
      </c>
      <c r="J857" t="s">
        <v>25</v>
      </c>
      <c r="K857" t="s">
        <v>26</v>
      </c>
      <c r="L857" t="s">
        <v>102</v>
      </c>
    </row>
    <row r="858" spans="1:12" x14ac:dyDescent="0.25">
      <c r="A858" t="s">
        <v>1000</v>
      </c>
      <c r="B858">
        <v>655</v>
      </c>
      <c r="C858">
        <v>297</v>
      </c>
      <c r="D858">
        <v>4</v>
      </c>
      <c r="E858" t="s">
        <v>30</v>
      </c>
      <c r="F858" t="s">
        <v>57</v>
      </c>
      <c r="G858" t="s">
        <v>32</v>
      </c>
      <c r="H858" s="1">
        <v>44607</v>
      </c>
      <c r="I858" t="s">
        <v>1001</v>
      </c>
      <c r="J858" t="s">
        <v>25</v>
      </c>
      <c r="K858" t="s">
        <v>26</v>
      </c>
      <c r="L858" t="s">
        <v>137</v>
      </c>
    </row>
    <row r="859" spans="1:12" x14ac:dyDescent="0.25">
      <c r="A859" t="s">
        <v>1000</v>
      </c>
      <c r="B859">
        <v>655</v>
      </c>
      <c r="C859">
        <v>297</v>
      </c>
      <c r="D859">
        <v>4</v>
      </c>
      <c r="E859" t="s">
        <v>30</v>
      </c>
      <c r="F859" t="s">
        <v>57</v>
      </c>
      <c r="G859" t="s">
        <v>32</v>
      </c>
      <c r="H859" s="1">
        <v>45260</v>
      </c>
      <c r="I859" t="s">
        <v>1002</v>
      </c>
      <c r="J859" t="s">
        <v>17</v>
      </c>
      <c r="K859" t="s">
        <v>34</v>
      </c>
      <c r="L859" t="s">
        <v>52</v>
      </c>
    </row>
    <row r="860" spans="1:12" x14ac:dyDescent="0.25">
      <c r="A860" t="s">
        <v>1003</v>
      </c>
      <c r="B860">
        <v>798</v>
      </c>
      <c r="C860">
        <v>308</v>
      </c>
      <c r="D860">
        <v>10</v>
      </c>
      <c r="E860" t="s">
        <v>13</v>
      </c>
      <c r="F860" t="s">
        <v>82</v>
      </c>
      <c r="G860" t="s">
        <v>32</v>
      </c>
      <c r="H860" s="1">
        <v>44938</v>
      </c>
      <c r="I860" t="s">
        <v>1004</v>
      </c>
      <c r="J860" t="s">
        <v>25</v>
      </c>
      <c r="K860" t="s">
        <v>26</v>
      </c>
      <c r="L860" t="s">
        <v>333</v>
      </c>
    </row>
    <row r="861" spans="1:12" x14ac:dyDescent="0.25">
      <c r="A861" t="s">
        <v>1003</v>
      </c>
      <c r="B861">
        <v>798</v>
      </c>
      <c r="C861">
        <v>308</v>
      </c>
      <c r="D861">
        <v>10</v>
      </c>
      <c r="E861" t="s">
        <v>13</v>
      </c>
      <c r="F861" t="s">
        <v>82</v>
      </c>
      <c r="G861" t="s">
        <v>32</v>
      </c>
      <c r="H861" s="1">
        <v>45065</v>
      </c>
      <c r="I861" t="s">
        <v>1005</v>
      </c>
      <c r="J861" t="s">
        <v>98</v>
      </c>
      <c r="K861" t="s">
        <v>117</v>
      </c>
      <c r="L861" t="s">
        <v>127</v>
      </c>
    </row>
    <row r="862" spans="1:12" x14ac:dyDescent="0.25">
      <c r="A862" t="s">
        <v>1003</v>
      </c>
      <c r="B862">
        <v>7967</v>
      </c>
      <c r="C862">
        <v>2504</v>
      </c>
      <c r="D862">
        <v>13</v>
      </c>
      <c r="E862" t="s">
        <v>13</v>
      </c>
      <c r="F862" t="s">
        <v>28</v>
      </c>
      <c r="G862" t="s">
        <v>40</v>
      </c>
      <c r="H862" s="1">
        <v>44938</v>
      </c>
      <c r="I862" t="s">
        <v>1004</v>
      </c>
      <c r="J862" t="s">
        <v>25</v>
      </c>
      <c r="K862" t="s">
        <v>26</v>
      </c>
      <c r="L862" t="s">
        <v>333</v>
      </c>
    </row>
    <row r="863" spans="1:12" x14ac:dyDescent="0.25">
      <c r="A863" t="s">
        <v>1003</v>
      </c>
      <c r="B863">
        <v>7967</v>
      </c>
      <c r="C863">
        <v>2504</v>
      </c>
      <c r="D863">
        <v>13</v>
      </c>
      <c r="E863" t="s">
        <v>13</v>
      </c>
      <c r="F863" t="s">
        <v>28</v>
      </c>
      <c r="G863" t="s">
        <v>40</v>
      </c>
      <c r="H863" s="1">
        <v>45065</v>
      </c>
      <c r="I863" t="s">
        <v>1005</v>
      </c>
      <c r="J863" t="s">
        <v>98</v>
      </c>
      <c r="K863" t="s">
        <v>117</v>
      </c>
      <c r="L863" t="s">
        <v>127</v>
      </c>
    </row>
    <row r="864" spans="1:12" x14ac:dyDescent="0.25">
      <c r="A864" t="s">
        <v>1006</v>
      </c>
      <c r="B864">
        <v>3756</v>
      </c>
      <c r="C864">
        <v>1318</v>
      </c>
      <c r="D864">
        <v>5</v>
      </c>
      <c r="E864" t="s">
        <v>45</v>
      </c>
      <c r="F864" t="s">
        <v>46</v>
      </c>
      <c r="G864" t="s">
        <v>15</v>
      </c>
      <c r="H864" s="1">
        <v>45341</v>
      </c>
      <c r="I864" t="s">
        <v>1007</v>
      </c>
      <c r="J864" t="s">
        <v>17</v>
      </c>
      <c r="K864" t="s">
        <v>18</v>
      </c>
      <c r="L864" t="s">
        <v>218</v>
      </c>
    </row>
    <row r="865" spans="1:12" x14ac:dyDescent="0.25">
      <c r="A865" t="s">
        <v>1008</v>
      </c>
      <c r="B865">
        <v>5196</v>
      </c>
      <c r="C865">
        <v>2477</v>
      </c>
      <c r="D865">
        <v>1</v>
      </c>
      <c r="E865" t="s">
        <v>30</v>
      </c>
      <c r="F865" t="s">
        <v>57</v>
      </c>
      <c r="G865" t="s">
        <v>15</v>
      </c>
      <c r="H865" s="1">
        <v>44531</v>
      </c>
      <c r="I865" t="s">
        <v>1009</v>
      </c>
      <c r="J865" t="s">
        <v>71</v>
      </c>
      <c r="K865" t="s">
        <v>86</v>
      </c>
      <c r="L865" t="s">
        <v>90</v>
      </c>
    </row>
    <row r="866" spans="1:12" x14ac:dyDescent="0.25">
      <c r="A866" t="s">
        <v>1008</v>
      </c>
      <c r="B866">
        <v>6586</v>
      </c>
      <c r="C866">
        <v>1794</v>
      </c>
      <c r="D866">
        <v>19</v>
      </c>
      <c r="E866" t="s">
        <v>45</v>
      </c>
      <c r="F866" t="s">
        <v>109</v>
      </c>
      <c r="G866" t="s">
        <v>32</v>
      </c>
      <c r="H866" s="1">
        <v>44531</v>
      </c>
      <c r="I866" t="s">
        <v>1009</v>
      </c>
      <c r="J866" t="s">
        <v>71</v>
      </c>
      <c r="K866" t="s">
        <v>86</v>
      </c>
      <c r="L866" t="s">
        <v>90</v>
      </c>
    </row>
    <row r="867" spans="1:12" x14ac:dyDescent="0.25">
      <c r="A867" t="s">
        <v>1010</v>
      </c>
      <c r="B867">
        <v>6673</v>
      </c>
      <c r="C867">
        <v>950</v>
      </c>
      <c r="D867">
        <v>19</v>
      </c>
      <c r="E867" t="s">
        <v>30</v>
      </c>
      <c r="F867" t="s">
        <v>57</v>
      </c>
      <c r="G867" t="s">
        <v>40</v>
      </c>
      <c r="H867" s="1">
        <v>45645</v>
      </c>
      <c r="I867" t="s">
        <v>1011</v>
      </c>
      <c r="J867" t="s">
        <v>25</v>
      </c>
      <c r="K867" t="s">
        <v>26</v>
      </c>
      <c r="L867" t="s">
        <v>23</v>
      </c>
    </row>
    <row r="868" spans="1:12" x14ac:dyDescent="0.25">
      <c r="A868" t="s">
        <v>1012</v>
      </c>
      <c r="B868">
        <v>714</v>
      </c>
      <c r="C868">
        <v>232</v>
      </c>
      <c r="D868">
        <v>14</v>
      </c>
      <c r="E868" t="s">
        <v>45</v>
      </c>
      <c r="F868" t="s">
        <v>46</v>
      </c>
      <c r="G868" t="s">
        <v>15</v>
      </c>
      <c r="H868" s="1">
        <v>44944</v>
      </c>
      <c r="I868" t="s">
        <v>1013</v>
      </c>
      <c r="J868" t="s">
        <v>98</v>
      </c>
      <c r="K868" t="s">
        <v>99</v>
      </c>
      <c r="L868" t="s">
        <v>333</v>
      </c>
    </row>
    <row r="869" spans="1:12" x14ac:dyDescent="0.25">
      <c r="A869" t="s">
        <v>1012</v>
      </c>
      <c r="B869">
        <v>714</v>
      </c>
      <c r="C869">
        <v>232</v>
      </c>
      <c r="D869">
        <v>14</v>
      </c>
      <c r="E869" t="s">
        <v>45</v>
      </c>
      <c r="F869" t="s">
        <v>46</v>
      </c>
      <c r="G869" t="s">
        <v>15</v>
      </c>
      <c r="H869" s="1">
        <v>44188</v>
      </c>
      <c r="I869" t="s">
        <v>1014</v>
      </c>
      <c r="J869" t="s">
        <v>71</v>
      </c>
      <c r="K869" t="s">
        <v>86</v>
      </c>
      <c r="L869" t="s">
        <v>287</v>
      </c>
    </row>
    <row r="870" spans="1:12" x14ac:dyDescent="0.25">
      <c r="A870" t="s">
        <v>1015</v>
      </c>
      <c r="B870">
        <v>1083</v>
      </c>
      <c r="C870">
        <v>501</v>
      </c>
      <c r="D870">
        <v>6</v>
      </c>
      <c r="E870" t="s">
        <v>30</v>
      </c>
      <c r="F870" t="s">
        <v>31</v>
      </c>
      <c r="G870" t="s">
        <v>65</v>
      </c>
      <c r="H870" s="1">
        <v>44255</v>
      </c>
      <c r="I870" t="s">
        <v>1016</v>
      </c>
      <c r="J870" t="s">
        <v>71</v>
      </c>
      <c r="K870" t="s">
        <v>86</v>
      </c>
      <c r="L870" t="s">
        <v>292</v>
      </c>
    </row>
    <row r="871" spans="1:12" x14ac:dyDescent="0.25">
      <c r="A871" t="s">
        <v>1017</v>
      </c>
      <c r="B871">
        <v>2401</v>
      </c>
      <c r="C871">
        <v>1163</v>
      </c>
      <c r="D871">
        <v>10</v>
      </c>
      <c r="E871" t="s">
        <v>45</v>
      </c>
      <c r="F871" t="s">
        <v>109</v>
      </c>
      <c r="G871" t="s">
        <v>15</v>
      </c>
      <c r="H871" s="1">
        <v>45050</v>
      </c>
      <c r="I871" t="s">
        <v>1018</v>
      </c>
      <c r="J871" t="s">
        <v>98</v>
      </c>
      <c r="K871" t="s">
        <v>117</v>
      </c>
      <c r="L871" t="s">
        <v>127</v>
      </c>
    </row>
    <row r="872" spans="1:12" x14ac:dyDescent="0.25">
      <c r="A872" t="s">
        <v>1017</v>
      </c>
      <c r="B872">
        <v>2401</v>
      </c>
      <c r="C872">
        <v>1163</v>
      </c>
      <c r="D872">
        <v>10</v>
      </c>
      <c r="E872" t="s">
        <v>45</v>
      </c>
      <c r="F872" t="s">
        <v>109</v>
      </c>
      <c r="G872" t="s">
        <v>15</v>
      </c>
      <c r="H872" s="1">
        <v>43943</v>
      </c>
      <c r="I872" t="s">
        <v>1019</v>
      </c>
      <c r="J872" t="s">
        <v>42</v>
      </c>
      <c r="K872" t="s">
        <v>43</v>
      </c>
      <c r="L872" t="s">
        <v>162</v>
      </c>
    </row>
    <row r="873" spans="1:12" x14ac:dyDescent="0.25">
      <c r="A873" t="s">
        <v>1017</v>
      </c>
      <c r="B873">
        <v>2401</v>
      </c>
      <c r="C873">
        <v>1163</v>
      </c>
      <c r="D873">
        <v>10</v>
      </c>
      <c r="E873" t="s">
        <v>45</v>
      </c>
      <c r="F873" t="s">
        <v>109</v>
      </c>
      <c r="G873" t="s">
        <v>15</v>
      </c>
      <c r="H873" s="1">
        <v>44421</v>
      </c>
      <c r="I873" t="s">
        <v>1020</v>
      </c>
      <c r="J873" t="s">
        <v>25</v>
      </c>
      <c r="K873" t="s">
        <v>68</v>
      </c>
      <c r="L873" t="s">
        <v>178</v>
      </c>
    </row>
    <row r="874" spans="1:12" x14ac:dyDescent="0.25">
      <c r="A874" t="s">
        <v>1017</v>
      </c>
      <c r="B874">
        <v>1045</v>
      </c>
      <c r="C874">
        <v>267</v>
      </c>
      <c r="D874">
        <v>11</v>
      </c>
      <c r="E874" t="s">
        <v>13</v>
      </c>
      <c r="F874" t="s">
        <v>82</v>
      </c>
      <c r="G874" t="s">
        <v>32</v>
      </c>
      <c r="H874" s="1">
        <v>45050</v>
      </c>
      <c r="I874" t="s">
        <v>1018</v>
      </c>
      <c r="J874" t="s">
        <v>98</v>
      </c>
      <c r="K874" t="s">
        <v>117</v>
      </c>
      <c r="L874" t="s">
        <v>127</v>
      </c>
    </row>
    <row r="875" spans="1:12" x14ac:dyDescent="0.25">
      <c r="A875" t="s">
        <v>1017</v>
      </c>
      <c r="B875">
        <v>1045</v>
      </c>
      <c r="C875">
        <v>267</v>
      </c>
      <c r="D875">
        <v>11</v>
      </c>
      <c r="E875" t="s">
        <v>13</v>
      </c>
      <c r="F875" t="s">
        <v>82</v>
      </c>
      <c r="G875" t="s">
        <v>32</v>
      </c>
      <c r="H875" s="1">
        <v>43943</v>
      </c>
      <c r="I875" t="s">
        <v>1019</v>
      </c>
      <c r="J875" t="s">
        <v>42</v>
      </c>
      <c r="K875" t="s">
        <v>43</v>
      </c>
      <c r="L875" t="s">
        <v>162</v>
      </c>
    </row>
    <row r="876" spans="1:12" x14ac:dyDescent="0.25">
      <c r="A876" t="s">
        <v>1017</v>
      </c>
      <c r="B876">
        <v>1045</v>
      </c>
      <c r="C876">
        <v>267</v>
      </c>
      <c r="D876">
        <v>11</v>
      </c>
      <c r="E876" t="s">
        <v>13</v>
      </c>
      <c r="F876" t="s">
        <v>82</v>
      </c>
      <c r="G876" t="s">
        <v>32</v>
      </c>
      <c r="H876" s="1">
        <v>44421</v>
      </c>
      <c r="I876" t="s">
        <v>1020</v>
      </c>
      <c r="J876" t="s">
        <v>25</v>
      </c>
      <c r="K876" t="s">
        <v>68</v>
      </c>
      <c r="L876" t="s">
        <v>178</v>
      </c>
    </row>
    <row r="877" spans="1:12" x14ac:dyDescent="0.25">
      <c r="A877" t="s">
        <v>1021</v>
      </c>
      <c r="B877">
        <v>7806</v>
      </c>
      <c r="C877">
        <v>1127</v>
      </c>
      <c r="D877">
        <v>1</v>
      </c>
      <c r="E877" t="s">
        <v>30</v>
      </c>
      <c r="F877" t="s">
        <v>57</v>
      </c>
      <c r="G877" t="s">
        <v>47</v>
      </c>
      <c r="H877" s="1">
        <v>45127</v>
      </c>
      <c r="I877" t="s">
        <v>1022</v>
      </c>
      <c r="J877" t="s">
        <v>71</v>
      </c>
      <c r="K877" t="s">
        <v>72</v>
      </c>
      <c r="L877" t="s">
        <v>105</v>
      </c>
    </row>
    <row r="878" spans="1:12" x14ac:dyDescent="0.25">
      <c r="A878" t="s">
        <v>1023</v>
      </c>
      <c r="B878">
        <v>5263</v>
      </c>
      <c r="C878">
        <v>1743</v>
      </c>
      <c r="D878">
        <v>19</v>
      </c>
      <c r="E878" t="s">
        <v>45</v>
      </c>
      <c r="F878" t="s">
        <v>60</v>
      </c>
      <c r="G878" t="s">
        <v>47</v>
      </c>
      <c r="H878" s="1">
        <v>44801</v>
      </c>
      <c r="I878" t="s">
        <v>1024</v>
      </c>
      <c r="J878" t="s">
        <v>17</v>
      </c>
      <c r="K878" t="s">
        <v>18</v>
      </c>
      <c r="L878" t="s">
        <v>209</v>
      </c>
    </row>
    <row r="879" spans="1:12" x14ac:dyDescent="0.25">
      <c r="A879" t="s">
        <v>1025</v>
      </c>
      <c r="B879">
        <v>6147</v>
      </c>
      <c r="C879">
        <v>2526</v>
      </c>
      <c r="D879">
        <v>6</v>
      </c>
      <c r="E879" t="s">
        <v>30</v>
      </c>
      <c r="F879" t="s">
        <v>31</v>
      </c>
      <c r="G879" t="s">
        <v>32</v>
      </c>
      <c r="H879" s="1">
        <v>44999</v>
      </c>
      <c r="I879" t="s">
        <v>1026</v>
      </c>
      <c r="J879" t="s">
        <v>71</v>
      </c>
      <c r="K879" t="s">
        <v>72</v>
      </c>
      <c r="L879" t="s">
        <v>245</v>
      </c>
    </row>
    <row r="880" spans="1:12" x14ac:dyDescent="0.25">
      <c r="A880" t="s">
        <v>1027</v>
      </c>
      <c r="B880">
        <v>7484</v>
      </c>
      <c r="C880">
        <v>2871</v>
      </c>
      <c r="D880">
        <v>15</v>
      </c>
      <c r="E880" t="s">
        <v>13</v>
      </c>
      <c r="F880" t="s">
        <v>82</v>
      </c>
      <c r="G880" t="s">
        <v>15</v>
      </c>
      <c r="H880" s="1">
        <v>45237</v>
      </c>
      <c r="I880" t="s">
        <v>1028</v>
      </c>
      <c r="J880" t="s">
        <v>17</v>
      </c>
      <c r="K880" t="s">
        <v>34</v>
      </c>
      <c r="L880" t="s">
        <v>52</v>
      </c>
    </row>
    <row r="881" spans="1:12" x14ac:dyDescent="0.25">
      <c r="A881" t="s">
        <v>1027</v>
      </c>
      <c r="B881">
        <v>7484</v>
      </c>
      <c r="C881">
        <v>2871</v>
      </c>
      <c r="D881">
        <v>15</v>
      </c>
      <c r="E881" t="s">
        <v>13</v>
      </c>
      <c r="F881" t="s">
        <v>82</v>
      </c>
      <c r="G881" t="s">
        <v>15</v>
      </c>
      <c r="H881" s="1">
        <v>45398</v>
      </c>
      <c r="I881" t="s">
        <v>1029</v>
      </c>
      <c r="J881" t="s">
        <v>21</v>
      </c>
      <c r="K881" t="s">
        <v>22</v>
      </c>
      <c r="L881" t="s">
        <v>235</v>
      </c>
    </row>
    <row r="882" spans="1:12" x14ac:dyDescent="0.25">
      <c r="A882" t="s">
        <v>1027</v>
      </c>
      <c r="B882">
        <v>7700</v>
      </c>
      <c r="C882">
        <v>2712</v>
      </c>
      <c r="D882">
        <v>1</v>
      </c>
      <c r="E882" t="s">
        <v>45</v>
      </c>
      <c r="F882" t="s">
        <v>60</v>
      </c>
      <c r="G882" t="s">
        <v>47</v>
      </c>
      <c r="H882" s="1">
        <v>45237</v>
      </c>
      <c r="I882" t="s">
        <v>1028</v>
      </c>
      <c r="J882" t="s">
        <v>17</v>
      </c>
      <c r="K882" t="s">
        <v>34</v>
      </c>
      <c r="L882" t="s">
        <v>52</v>
      </c>
    </row>
    <row r="883" spans="1:12" x14ac:dyDescent="0.25">
      <c r="A883" t="s">
        <v>1027</v>
      </c>
      <c r="B883">
        <v>7700</v>
      </c>
      <c r="C883">
        <v>2712</v>
      </c>
      <c r="D883">
        <v>1</v>
      </c>
      <c r="E883" t="s">
        <v>45</v>
      </c>
      <c r="F883" t="s">
        <v>60</v>
      </c>
      <c r="G883" t="s">
        <v>47</v>
      </c>
      <c r="H883" s="1">
        <v>45398</v>
      </c>
      <c r="I883" t="s">
        <v>1029</v>
      </c>
      <c r="J883" t="s">
        <v>21</v>
      </c>
      <c r="K883" t="s">
        <v>22</v>
      </c>
      <c r="L883" t="s">
        <v>235</v>
      </c>
    </row>
    <row r="884" spans="1:12" x14ac:dyDescent="0.25">
      <c r="A884" t="s">
        <v>1030</v>
      </c>
      <c r="B884">
        <v>8537</v>
      </c>
      <c r="C884">
        <v>3586</v>
      </c>
      <c r="D884">
        <v>13</v>
      </c>
      <c r="E884" t="s">
        <v>30</v>
      </c>
      <c r="F884" t="s">
        <v>57</v>
      </c>
      <c r="G884" t="s">
        <v>15</v>
      </c>
      <c r="H884" s="1">
        <v>44820</v>
      </c>
      <c r="I884" t="s">
        <v>1031</v>
      </c>
      <c r="J884" t="s">
        <v>25</v>
      </c>
      <c r="K884" t="s">
        <v>68</v>
      </c>
      <c r="L884" t="s">
        <v>131</v>
      </c>
    </row>
    <row r="885" spans="1:12" x14ac:dyDescent="0.25">
      <c r="A885" t="s">
        <v>1032</v>
      </c>
      <c r="B885">
        <v>8858</v>
      </c>
      <c r="C885">
        <v>3394</v>
      </c>
      <c r="D885">
        <v>6</v>
      </c>
      <c r="E885" t="s">
        <v>45</v>
      </c>
      <c r="F885" t="s">
        <v>49</v>
      </c>
      <c r="G885" t="s">
        <v>65</v>
      </c>
      <c r="H885" s="1">
        <v>45596</v>
      </c>
      <c r="I885" t="s">
        <v>1033</v>
      </c>
      <c r="J885" t="s">
        <v>42</v>
      </c>
      <c r="K885" t="s">
        <v>75</v>
      </c>
      <c r="L885" t="s">
        <v>360</v>
      </c>
    </row>
    <row r="886" spans="1:12" x14ac:dyDescent="0.25">
      <c r="A886" t="s">
        <v>1034</v>
      </c>
      <c r="B886">
        <v>5313</v>
      </c>
      <c r="C886">
        <v>2037</v>
      </c>
      <c r="D886">
        <v>7</v>
      </c>
      <c r="E886" t="s">
        <v>13</v>
      </c>
      <c r="F886" t="s">
        <v>28</v>
      </c>
      <c r="G886" t="s">
        <v>32</v>
      </c>
      <c r="H886" s="1">
        <v>45621</v>
      </c>
      <c r="I886" t="s">
        <v>1035</v>
      </c>
      <c r="J886" t="s">
        <v>42</v>
      </c>
      <c r="K886" t="s">
        <v>92</v>
      </c>
      <c r="L886" t="s">
        <v>255</v>
      </c>
    </row>
    <row r="887" spans="1:12" x14ac:dyDescent="0.25">
      <c r="A887" t="s">
        <v>1034</v>
      </c>
      <c r="B887">
        <v>5313</v>
      </c>
      <c r="C887">
        <v>2037</v>
      </c>
      <c r="D887">
        <v>7</v>
      </c>
      <c r="E887" t="s">
        <v>13</v>
      </c>
      <c r="F887" t="s">
        <v>28</v>
      </c>
      <c r="G887" t="s">
        <v>32</v>
      </c>
      <c r="H887" s="1">
        <v>44498</v>
      </c>
      <c r="I887" t="s">
        <v>1036</v>
      </c>
      <c r="J887" t="s">
        <v>71</v>
      </c>
      <c r="K887" t="s">
        <v>138</v>
      </c>
      <c r="L887" t="s">
        <v>37</v>
      </c>
    </row>
    <row r="888" spans="1:12" x14ac:dyDescent="0.25">
      <c r="A888" t="s">
        <v>1037</v>
      </c>
      <c r="B888">
        <v>3281</v>
      </c>
      <c r="C888">
        <v>471</v>
      </c>
      <c r="D888">
        <v>7</v>
      </c>
      <c r="E888" t="s">
        <v>45</v>
      </c>
      <c r="F888" t="s">
        <v>60</v>
      </c>
      <c r="G888" t="s">
        <v>40</v>
      </c>
      <c r="H888" s="1">
        <v>45287</v>
      </c>
      <c r="I888" t="s">
        <v>1038</v>
      </c>
      <c r="J888" t="s">
        <v>42</v>
      </c>
      <c r="K888" t="s">
        <v>43</v>
      </c>
      <c r="L888" t="s">
        <v>102</v>
      </c>
    </row>
    <row r="889" spans="1:12" x14ac:dyDescent="0.25">
      <c r="A889" t="s">
        <v>1037</v>
      </c>
      <c r="B889">
        <v>3281</v>
      </c>
      <c r="C889">
        <v>471</v>
      </c>
      <c r="D889">
        <v>7</v>
      </c>
      <c r="E889" t="s">
        <v>45</v>
      </c>
      <c r="F889" t="s">
        <v>60</v>
      </c>
      <c r="G889" t="s">
        <v>40</v>
      </c>
      <c r="H889" s="1">
        <v>45102</v>
      </c>
      <c r="I889" t="s">
        <v>1039</v>
      </c>
      <c r="J889" t="s">
        <v>21</v>
      </c>
      <c r="K889" t="s">
        <v>172</v>
      </c>
      <c r="L889" t="s">
        <v>19</v>
      </c>
    </row>
    <row r="890" spans="1:12" x14ac:dyDescent="0.25">
      <c r="A890" t="s">
        <v>1040</v>
      </c>
      <c r="B890">
        <v>8681</v>
      </c>
      <c r="C890">
        <v>2458</v>
      </c>
      <c r="D890">
        <v>9</v>
      </c>
      <c r="E890" t="s">
        <v>30</v>
      </c>
      <c r="F890" t="s">
        <v>31</v>
      </c>
      <c r="G890" t="s">
        <v>47</v>
      </c>
      <c r="H890" s="1">
        <v>44075</v>
      </c>
      <c r="I890" t="s">
        <v>1041</v>
      </c>
      <c r="J890" t="s">
        <v>25</v>
      </c>
      <c r="K890" t="s">
        <v>51</v>
      </c>
      <c r="L890" t="s">
        <v>389</v>
      </c>
    </row>
    <row r="891" spans="1:12" x14ac:dyDescent="0.25">
      <c r="A891" t="s">
        <v>1042</v>
      </c>
      <c r="B891">
        <v>6195</v>
      </c>
      <c r="C891">
        <v>1556</v>
      </c>
      <c r="D891">
        <v>18</v>
      </c>
      <c r="E891" t="s">
        <v>45</v>
      </c>
      <c r="F891" t="s">
        <v>60</v>
      </c>
      <c r="G891" t="s">
        <v>40</v>
      </c>
      <c r="H891" s="1">
        <v>45689</v>
      </c>
      <c r="I891" t="s">
        <v>1043</v>
      </c>
      <c r="J891" t="s">
        <v>21</v>
      </c>
      <c r="K891" t="s">
        <v>63</v>
      </c>
      <c r="L891" t="s">
        <v>73</v>
      </c>
    </row>
    <row r="892" spans="1:12" x14ac:dyDescent="0.25">
      <c r="A892" t="s">
        <v>1044</v>
      </c>
      <c r="B892">
        <v>3877</v>
      </c>
      <c r="C892">
        <v>481</v>
      </c>
      <c r="D892">
        <v>16</v>
      </c>
      <c r="E892" t="s">
        <v>45</v>
      </c>
      <c r="F892" t="s">
        <v>49</v>
      </c>
      <c r="G892" t="s">
        <v>32</v>
      </c>
      <c r="H892" s="1">
        <v>45129</v>
      </c>
      <c r="I892" t="s">
        <v>1045</v>
      </c>
      <c r="J892" t="s">
        <v>25</v>
      </c>
      <c r="K892" t="s">
        <v>68</v>
      </c>
      <c r="L892" t="s">
        <v>105</v>
      </c>
    </row>
    <row r="893" spans="1:12" x14ac:dyDescent="0.25">
      <c r="A893" t="s">
        <v>1044</v>
      </c>
      <c r="B893">
        <v>3877</v>
      </c>
      <c r="C893">
        <v>481</v>
      </c>
      <c r="D893">
        <v>16</v>
      </c>
      <c r="E893" t="s">
        <v>45</v>
      </c>
      <c r="F893" t="s">
        <v>49</v>
      </c>
      <c r="G893" t="s">
        <v>32</v>
      </c>
      <c r="H893" s="1">
        <v>44596</v>
      </c>
      <c r="I893" t="s">
        <v>1046</v>
      </c>
      <c r="J893" t="s">
        <v>25</v>
      </c>
      <c r="K893" t="s">
        <v>51</v>
      </c>
      <c r="L893" t="s">
        <v>137</v>
      </c>
    </row>
    <row r="894" spans="1:12" x14ac:dyDescent="0.25">
      <c r="A894" t="s">
        <v>1047</v>
      </c>
      <c r="B894">
        <v>9369</v>
      </c>
      <c r="C894">
        <v>3297</v>
      </c>
      <c r="D894">
        <v>6</v>
      </c>
      <c r="E894" t="s">
        <v>13</v>
      </c>
      <c r="F894" t="s">
        <v>28</v>
      </c>
      <c r="G894" t="s">
        <v>32</v>
      </c>
      <c r="H894" s="1">
        <v>45196</v>
      </c>
      <c r="I894" t="s">
        <v>1048</v>
      </c>
      <c r="J894" t="s">
        <v>17</v>
      </c>
      <c r="K894" t="s">
        <v>34</v>
      </c>
      <c r="L894" t="s">
        <v>273</v>
      </c>
    </row>
    <row r="895" spans="1:12" x14ac:dyDescent="0.25">
      <c r="A895" t="s">
        <v>1047</v>
      </c>
      <c r="B895">
        <v>9369</v>
      </c>
      <c r="C895">
        <v>3297</v>
      </c>
      <c r="D895">
        <v>6</v>
      </c>
      <c r="E895" t="s">
        <v>13</v>
      </c>
      <c r="F895" t="s">
        <v>28</v>
      </c>
      <c r="G895" t="s">
        <v>32</v>
      </c>
      <c r="H895" s="1">
        <v>45687</v>
      </c>
      <c r="I895" t="s">
        <v>1049</v>
      </c>
      <c r="J895" t="s">
        <v>25</v>
      </c>
      <c r="K895" t="s">
        <v>51</v>
      </c>
      <c r="L895" t="s">
        <v>308</v>
      </c>
    </row>
    <row r="896" spans="1:12" x14ac:dyDescent="0.25">
      <c r="A896" t="s">
        <v>1047</v>
      </c>
      <c r="B896">
        <v>8680</v>
      </c>
      <c r="C896">
        <v>4068</v>
      </c>
      <c r="D896">
        <v>20</v>
      </c>
      <c r="E896" t="s">
        <v>13</v>
      </c>
      <c r="F896" t="s">
        <v>28</v>
      </c>
      <c r="G896" t="s">
        <v>47</v>
      </c>
      <c r="H896" s="1">
        <v>45196</v>
      </c>
      <c r="I896" t="s">
        <v>1048</v>
      </c>
      <c r="J896" t="s">
        <v>17</v>
      </c>
      <c r="K896" t="s">
        <v>34</v>
      </c>
      <c r="L896" t="s">
        <v>273</v>
      </c>
    </row>
    <row r="897" spans="1:12" x14ac:dyDescent="0.25">
      <c r="A897" t="s">
        <v>1047</v>
      </c>
      <c r="B897">
        <v>8680</v>
      </c>
      <c r="C897">
        <v>4068</v>
      </c>
      <c r="D897">
        <v>20</v>
      </c>
      <c r="E897" t="s">
        <v>13</v>
      </c>
      <c r="F897" t="s">
        <v>28</v>
      </c>
      <c r="G897" t="s">
        <v>47</v>
      </c>
      <c r="H897" s="1">
        <v>45687</v>
      </c>
      <c r="I897" t="s">
        <v>1049</v>
      </c>
      <c r="J897" t="s">
        <v>25</v>
      </c>
      <c r="K897" t="s">
        <v>51</v>
      </c>
      <c r="L897" t="s">
        <v>308</v>
      </c>
    </row>
    <row r="898" spans="1:12" x14ac:dyDescent="0.25">
      <c r="A898" t="s">
        <v>1047</v>
      </c>
      <c r="B898">
        <v>3067</v>
      </c>
      <c r="C898">
        <v>1475</v>
      </c>
      <c r="D898">
        <v>8</v>
      </c>
      <c r="E898" t="s">
        <v>13</v>
      </c>
      <c r="F898" t="s">
        <v>39</v>
      </c>
      <c r="G898" t="s">
        <v>15</v>
      </c>
      <c r="H898" s="1">
        <v>45196</v>
      </c>
      <c r="I898" t="s">
        <v>1048</v>
      </c>
      <c r="J898" t="s">
        <v>17</v>
      </c>
      <c r="K898" t="s">
        <v>34</v>
      </c>
      <c r="L898" t="s">
        <v>273</v>
      </c>
    </row>
    <row r="899" spans="1:12" x14ac:dyDescent="0.25">
      <c r="A899" t="s">
        <v>1047</v>
      </c>
      <c r="B899">
        <v>3067</v>
      </c>
      <c r="C899">
        <v>1475</v>
      </c>
      <c r="D899">
        <v>8</v>
      </c>
      <c r="E899" t="s">
        <v>13</v>
      </c>
      <c r="F899" t="s">
        <v>39</v>
      </c>
      <c r="G899" t="s">
        <v>15</v>
      </c>
      <c r="H899" s="1">
        <v>45687</v>
      </c>
      <c r="I899" t="s">
        <v>1049</v>
      </c>
      <c r="J899" t="s">
        <v>25</v>
      </c>
      <c r="K899" t="s">
        <v>51</v>
      </c>
      <c r="L899" t="s">
        <v>308</v>
      </c>
    </row>
    <row r="900" spans="1:12" x14ac:dyDescent="0.25">
      <c r="A900" t="s">
        <v>1050</v>
      </c>
      <c r="B900">
        <v>9002</v>
      </c>
      <c r="C900">
        <v>4197</v>
      </c>
      <c r="D900">
        <v>2</v>
      </c>
      <c r="E900" t="s">
        <v>30</v>
      </c>
      <c r="F900" t="s">
        <v>57</v>
      </c>
      <c r="G900" t="s">
        <v>40</v>
      </c>
      <c r="H900" s="1">
        <v>45672</v>
      </c>
      <c r="I900" t="s">
        <v>1051</v>
      </c>
      <c r="J900" t="s">
        <v>98</v>
      </c>
      <c r="K900" t="s">
        <v>107</v>
      </c>
      <c r="L900" t="s">
        <v>308</v>
      </c>
    </row>
    <row r="901" spans="1:12" x14ac:dyDescent="0.25">
      <c r="A901" t="s">
        <v>1050</v>
      </c>
      <c r="B901">
        <v>9002</v>
      </c>
      <c r="C901">
        <v>4197</v>
      </c>
      <c r="D901">
        <v>2</v>
      </c>
      <c r="E901" t="s">
        <v>30</v>
      </c>
      <c r="F901" t="s">
        <v>57</v>
      </c>
      <c r="G901" t="s">
        <v>40</v>
      </c>
      <c r="H901" s="1">
        <v>44283</v>
      </c>
      <c r="I901" t="s">
        <v>1052</v>
      </c>
      <c r="J901" t="s">
        <v>98</v>
      </c>
      <c r="K901" t="s">
        <v>99</v>
      </c>
      <c r="L901" t="s">
        <v>167</v>
      </c>
    </row>
    <row r="902" spans="1:12" x14ac:dyDescent="0.25">
      <c r="A902" t="s">
        <v>1053</v>
      </c>
      <c r="B902">
        <v>7105</v>
      </c>
      <c r="C902">
        <v>2782</v>
      </c>
      <c r="D902">
        <v>19</v>
      </c>
      <c r="E902" t="s">
        <v>30</v>
      </c>
      <c r="F902" t="s">
        <v>31</v>
      </c>
      <c r="G902" t="s">
        <v>65</v>
      </c>
      <c r="H902" s="1">
        <v>44555</v>
      </c>
      <c r="I902" t="s">
        <v>1054</v>
      </c>
      <c r="J902" t="s">
        <v>98</v>
      </c>
      <c r="K902" t="s">
        <v>99</v>
      </c>
      <c r="L902" t="s">
        <v>90</v>
      </c>
    </row>
    <row r="903" spans="1:12" x14ac:dyDescent="0.25">
      <c r="A903" t="s">
        <v>1055</v>
      </c>
      <c r="B903">
        <v>5317</v>
      </c>
      <c r="C903">
        <v>1345</v>
      </c>
      <c r="D903">
        <v>18</v>
      </c>
      <c r="E903" t="s">
        <v>45</v>
      </c>
      <c r="F903" t="s">
        <v>49</v>
      </c>
      <c r="G903" t="s">
        <v>32</v>
      </c>
      <c r="H903" s="1">
        <v>44960</v>
      </c>
      <c r="I903" t="s">
        <v>1056</v>
      </c>
      <c r="J903" t="s">
        <v>98</v>
      </c>
      <c r="K903" t="s">
        <v>99</v>
      </c>
      <c r="L903" t="s">
        <v>93</v>
      </c>
    </row>
    <row r="904" spans="1:12" x14ac:dyDescent="0.25">
      <c r="A904" t="s">
        <v>1055</v>
      </c>
      <c r="B904">
        <v>5317</v>
      </c>
      <c r="C904">
        <v>1345</v>
      </c>
      <c r="D904">
        <v>18</v>
      </c>
      <c r="E904" t="s">
        <v>45</v>
      </c>
      <c r="F904" t="s">
        <v>49</v>
      </c>
      <c r="G904" t="s">
        <v>32</v>
      </c>
      <c r="H904" s="1">
        <v>45044</v>
      </c>
      <c r="I904" t="s">
        <v>1057</v>
      </c>
      <c r="J904" t="s">
        <v>17</v>
      </c>
      <c r="K904" t="s">
        <v>34</v>
      </c>
      <c r="L904" t="s">
        <v>145</v>
      </c>
    </row>
    <row r="905" spans="1:12" x14ac:dyDescent="0.25">
      <c r="A905" t="s">
        <v>1055</v>
      </c>
      <c r="B905">
        <v>5317</v>
      </c>
      <c r="C905">
        <v>1345</v>
      </c>
      <c r="D905">
        <v>18</v>
      </c>
      <c r="E905" t="s">
        <v>45</v>
      </c>
      <c r="F905" t="s">
        <v>49</v>
      </c>
      <c r="G905" t="s">
        <v>32</v>
      </c>
      <c r="H905" s="1">
        <v>45618</v>
      </c>
      <c r="I905" t="s">
        <v>1058</v>
      </c>
      <c r="J905" t="s">
        <v>42</v>
      </c>
      <c r="K905" t="s">
        <v>92</v>
      </c>
      <c r="L905" t="s">
        <v>255</v>
      </c>
    </row>
    <row r="906" spans="1:12" x14ac:dyDescent="0.25">
      <c r="A906" t="s">
        <v>1055</v>
      </c>
      <c r="B906">
        <v>6304</v>
      </c>
      <c r="C906">
        <v>766</v>
      </c>
      <c r="D906">
        <v>14</v>
      </c>
      <c r="E906" t="s">
        <v>45</v>
      </c>
      <c r="F906" t="s">
        <v>46</v>
      </c>
      <c r="G906" t="s">
        <v>40</v>
      </c>
      <c r="H906" s="1">
        <v>44960</v>
      </c>
      <c r="I906" t="s">
        <v>1056</v>
      </c>
      <c r="J906" t="s">
        <v>98</v>
      </c>
      <c r="K906" t="s">
        <v>99</v>
      </c>
      <c r="L906" t="s">
        <v>93</v>
      </c>
    </row>
    <row r="907" spans="1:12" x14ac:dyDescent="0.25">
      <c r="A907" t="s">
        <v>1055</v>
      </c>
      <c r="B907">
        <v>6304</v>
      </c>
      <c r="C907">
        <v>766</v>
      </c>
      <c r="D907">
        <v>14</v>
      </c>
      <c r="E907" t="s">
        <v>45</v>
      </c>
      <c r="F907" t="s">
        <v>46</v>
      </c>
      <c r="G907" t="s">
        <v>40</v>
      </c>
      <c r="H907" s="1">
        <v>45044</v>
      </c>
      <c r="I907" t="s">
        <v>1057</v>
      </c>
      <c r="J907" t="s">
        <v>17</v>
      </c>
      <c r="K907" t="s">
        <v>34</v>
      </c>
      <c r="L907" t="s">
        <v>145</v>
      </c>
    </row>
    <row r="908" spans="1:12" x14ac:dyDescent="0.25">
      <c r="A908" t="s">
        <v>1055</v>
      </c>
      <c r="B908">
        <v>6304</v>
      </c>
      <c r="C908">
        <v>766</v>
      </c>
      <c r="D908">
        <v>14</v>
      </c>
      <c r="E908" t="s">
        <v>45</v>
      </c>
      <c r="F908" t="s">
        <v>46</v>
      </c>
      <c r="G908" t="s">
        <v>40</v>
      </c>
      <c r="H908" s="1">
        <v>45618</v>
      </c>
      <c r="I908" t="s">
        <v>1058</v>
      </c>
      <c r="J908" t="s">
        <v>42</v>
      </c>
      <c r="K908" t="s">
        <v>92</v>
      </c>
      <c r="L908" t="s">
        <v>255</v>
      </c>
    </row>
    <row r="909" spans="1:12" x14ac:dyDescent="0.25">
      <c r="A909" t="s">
        <v>1059</v>
      </c>
      <c r="B909">
        <v>9565</v>
      </c>
      <c r="C909">
        <v>1691</v>
      </c>
      <c r="D909">
        <v>3</v>
      </c>
      <c r="E909" t="s">
        <v>30</v>
      </c>
      <c r="F909" t="s">
        <v>64</v>
      </c>
      <c r="G909" t="s">
        <v>32</v>
      </c>
      <c r="H909" s="1">
        <v>45475</v>
      </c>
      <c r="I909" t="s">
        <v>1060</v>
      </c>
      <c r="J909" t="s">
        <v>21</v>
      </c>
      <c r="K909" t="s">
        <v>63</v>
      </c>
      <c r="L909" t="s">
        <v>215</v>
      </c>
    </row>
    <row r="910" spans="1:12" x14ac:dyDescent="0.25">
      <c r="A910" t="s">
        <v>1059</v>
      </c>
      <c r="B910">
        <v>8245</v>
      </c>
      <c r="C910">
        <v>324</v>
      </c>
      <c r="D910">
        <v>11</v>
      </c>
      <c r="E910" t="s">
        <v>30</v>
      </c>
      <c r="F910" t="s">
        <v>64</v>
      </c>
      <c r="G910" t="s">
        <v>40</v>
      </c>
      <c r="H910" s="1">
        <v>45475</v>
      </c>
      <c r="I910" t="s">
        <v>1060</v>
      </c>
      <c r="J910" t="s">
        <v>21</v>
      </c>
      <c r="K910" t="s">
        <v>63</v>
      </c>
      <c r="L910" t="s">
        <v>215</v>
      </c>
    </row>
    <row r="911" spans="1:12" x14ac:dyDescent="0.25">
      <c r="A911" t="s">
        <v>1061</v>
      </c>
      <c r="B911">
        <v>1592</v>
      </c>
      <c r="C911">
        <v>480</v>
      </c>
      <c r="D911">
        <v>13</v>
      </c>
      <c r="E911" t="s">
        <v>13</v>
      </c>
      <c r="F911" t="s">
        <v>39</v>
      </c>
      <c r="G911" t="s">
        <v>32</v>
      </c>
      <c r="H911" s="1">
        <v>44579</v>
      </c>
      <c r="I911" t="s">
        <v>1062</v>
      </c>
      <c r="J911" t="s">
        <v>98</v>
      </c>
      <c r="K911" t="s">
        <v>117</v>
      </c>
      <c r="L911" t="s">
        <v>87</v>
      </c>
    </row>
    <row r="912" spans="1:12" x14ac:dyDescent="0.25">
      <c r="A912" t="s">
        <v>1063</v>
      </c>
      <c r="B912">
        <v>8400</v>
      </c>
      <c r="C912">
        <v>267</v>
      </c>
      <c r="D912">
        <v>5</v>
      </c>
      <c r="E912" t="s">
        <v>13</v>
      </c>
      <c r="F912" t="s">
        <v>82</v>
      </c>
      <c r="G912" t="s">
        <v>32</v>
      </c>
      <c r="H912" s="1">
        <v>45573</v>
      </c>
      <c r="I912" t="s">
        <v>1064</v>
      </c>
      <c r="J912" t="s">
        <v>98</v>
      </c>
      <c r="K912" t="s">
        <v>99</v>
      </c>
      <c r="L912" t="s">
        <v>360</v>
      </c>
    </row>
    <row r="913" spans="1:12" x14ac:dyDescent="0.25">
      <c r="A913" t="s">
        <v>1063</v>
      </c>
      <c r="B913">
        <v>4963</v>
      </c>
      <c r="C913">
        <v>1254</v>
      </c>
      <c r="D913">
        <v>15</v>
      </c>
      <c r="E913" t="s">
        <v>30</v>
      </c>
      <c r="F913" t="s">
        <v>64</v>
      </c>
      <c r="G913" t="s">
        <v>40</v>
      </c>
      <c r="H913" s="1">
        <v>45573</v>
      </c>
      <c r="I913" t="s">
        <v>1064</v>
      </c>
      <c r="J913" t="s">
        <v>98</v>
      </c>
      <c r="K913" t="s">
        <v>99</v>
      </c>
      <c r="L913" t="s">
        <v>360</v>
      </c>
    </row>
    <row r="914" spans="1:12" x14ac:dyDescent="0.25">
      <c r="A914" t="s">
        <v>1065</v>
      </c>
      <c r="B914">
        <v>2472</v>
      </c>
      <c r="C914">
        <v>211</v>
      </c>
      <c r="D914">
        <v>5</v>
      </c>
      <c r="E914" t="s">
        <v>13</v>
      </c>
      <c r="F914" t="s">
        <v>28</v>
      </c>
      <c r="G914" t="s">
        <v>65</v>
      </c>
      <c r="H914" s="1">
        <v>44003</v>
      </c>
      <c r="I914" t="s">
        <v>1066</v>
      </c>
      <c r="J914" t="s">
        <v>42</v>
      </c>
      <c r="K914" t="s">
        <v>75</v>
      </c>
      <c r="L914" t="s">
        <v>313</v>
      </c>
    </row>
    <row r="915" spans="1:12" x14ac:dyDescent="0.25">
      <c r="A915" t="s">
        <v>1067</v>
      </c>
      <c r="B915">
        <v>9132</v>
      </c>
      <c r="C915">
        <v>3096</v>
      </c>
      <c r="D915">
        <v>14</v>
      </c>
      <c r="E915" t="s">
        <v>45</v>
      </c>
      <c r="F915" t="s">
        <v>49</v>
      </c>
      <c r="G915" t="s">
        <v>32</v>
      </c>
      <c r="H915" s="1">
        <v>45274</v>
      </c>
      <c r="I915" t="s">
        <v>1068</v>
      </c>
      <c r="J915" t="s">
        <v>17</v>
      </c>
      <c r="K915" t="s">
        <v>150</v>
      </c>
      <c r="L915" t="s">
        <v>102</v>
      </c>
    </row>
    <row r="916" spans="1:12" x14ac:dyDescent="0.25">
      <c r="A916" t="s">
        <v>1069</v>
      </c>
      <c r="B916">
        <v>8305</v>
      </c>
      <c r="C916">
        <v>1577</v>
      </c>
      <c r="D916">
        <v>6</v>
      </c>
      <c r="E916" t="s">
        <v>30</v>
      </c>
      <c r="F916" t="s">
        <v>78</v>
      </c>
      <c r="G916" t="s">
        <v>32</v>
      </c>
      <c r="H916" s="1">
        <v>44181</v>
      </c>
      <c r="I916" t="s">
        <v>1070</v>
      </c>
      <c r="J916" t="s">
        <v>25</v>
      </c>
      <c r="K916" t="s">
        <v>68</v>
      </c>
      <c r="L916" t="s">
        <v>287</v>
      </c>
    </row>
    <row r="917" spans="1:12" x14ac:dyDescent="0.25">
      <c r="A917" t="s">
        <v>1071</v>
      </c>
      <c r="B917">
        <v>1010</v>
      </c>
      <c r="C917">
        <v>58</v>
      </c>
      <c r="D917">
        <v>19</v>
      </c>
      <c r="E917" t="s">
        <v>13</v>
      </c>
      <c r="F917" t="s">
        <v>14</v>
      </c>
      <c r="G917" t="s">
        <v>65</v>
      </c>
      <c r="H917" s="1">
        <v>45731</v>
      </c>
      <c r="I917" t="s">
        <v>1072</v>
      </c>
      <c r="J917" t="s">
        <v>17</v>
      </c>
      <c r="K917" t="s">
        <v>150</v>
      </c>
      <c r="L917" t="s">
        <v>157</v>
      </c>
    </row>
    <row r="918" spans="1:12" x14ac:dyDescent="0.25">
      <c r="A918" t="s">
        <v>1073</v>
      </c>
      <c r="B918">
        <v>4544</v>
      </c>
      <c r="C918">
        <v>1726</v>
      </c>
      <c r="D918">
        <v>9</v>
      </c>
      <c r="E918" t="s">
        <v>13</v>
      </c>
      <c r="F918" t="s">
        <v>82</v>
      </c>
      <c r="G918" t="s">
        <v>40</v>
      </c>
      <c r="H918" s="1">
        <v>45525</v>
      </c>
      <c r="I918" t="s">
        <v>1074</v>
      </c>
      <c r="J918" t="s">
        <v>71</v>
      </c>
      <c r="K918" t="s">
        <v>72</v>
      </c>
      <c r="L918" t="s">
        <v>114</v>
      </c>
    </row>
    <row r="919" spans="1:12" x14ac:dyDescent="0.25">
      <c r="A919" t="s">
        <v>1073</v>
      </c>
      <c r="B919">
        <v>5900</v>
      </c>
      <c r="C919">
        <v>1738</v>
      </c>
      <c r="D919">
        <v>20</v>
      </c>
      <c r="E919" t="s">
        <v>13</v>
      </c>
      <c r="F919" t="s">
        <v>82</v>
      </c>
      <c r="G919" t="s">
        <v>15</v>
      </c>
      <c r="H919" s="1">
        <v>45525</v>
      </c>
      <c r="I919" t="s">
        <v>1074</v>
      </c>
      <c r="J919" t="s">
        <v>71</v>
      </c>
      <c r="K919" t="s">
        <v>72</v>
      </c>
      <c r="L919" t="s">
        <v>114</v>
      </c>
    </row>
    <row r="920" spans="1:12" x14ac:dyDescent="0.25">
      <c r="A920" t="s">
        <v>1075</v>
      </c>
      <c r="B920">
        <v>8861</v>
      </c>
      <c r="C920">
        <v>3381</v>
      </c>
      <c r="D920">
        <v>19</v>
      </c>
      <c r="E920" t="s">
        <v>30</v>
      </c>
      <c r="F920" t="s">
        <v>57</v>
      </c>
      <c r="G920" t="s">
        <v>47</v>
      </c>
      <c r="H920" s="1">
        <v>44343</v>
      </c>
      <c r="I920" t="s">
        <v>1076</v>
      </c>
      <c r="J920" t="s">
        <v>42</v>
      </c>
      <c r="K920" t="s">
        <v>75</v>
      </c>
      <c r="L920" t="s">
        <v>108</v>
      </c>
    </row>
    <row r="921" spans="1:12" x14ac:dyDescent="0.25">
      <c r="A921" t="s">
        <v>1077</v>
      </c>
      <c r="B921">
        <v>8158</v>
      </c>
      <c r="C921">
        <v>2052</v>
      </c>
      <c r="D921">
        <v>13</v>
      </c>
      <c r="E921" t="s">
        <v>13</v>
      </c>
      <c r="F921" t="s">
        <v>82</v>
      </c>
      <c r="G921" t="s">
        <v>32</v>
      </c>
      <c r="H921" s="1">
        <v>44095</v>
      </c>
      <c r="I921" t="s">
        <v>1078</v>
      </c>
      <c r="J921" t="s">
        <v>98</v>
      </c>
      <c r="K921" t="s">
        <v>107</v>
      </c>
      <c r="L921" t="s">
        <v>389</v>
      </c>
    </row>
    <row r="922" spans="1:12" x14ac:dyDescent="0.25">
      <c r="A922" t="s">
        <v>1079</v>
      </c>
      <c r="B922">
        <v>3411</v>
      </c>
      <c r="C922">
        <v>1704</v>
      </c>
      <c r="D922">
        <v>14</v>
      </c>
      <c r="E922" t="s">
        <v>30</v>
      </c>
      <c r="F922" t="s">
        <v>31</v>
      </c>
      <c r="G922" t="s">
        <v>15</v>
      </c>
      <c r="H922" s="1">
        <v>45668</v>
      </c>
      <c r="I922" t="s">
        <v>1080</v>
      </c>
      <c r="J922" t="s">
        <v>42</v>
      </c>
      <c r="K922" t="s">
        <v>43</v>
      </c>
      <c r="L922" t="s">
        <v>308</v>
      </c>
    </row>
    <row r="923" spans="1:12" x14ac:dyDescent="0.25">
      <c r="A923" t="s">
        <v>1081</v>
      </c>
      <c r="B923">
        <v>9406</v>
      </c>
      <c r="C923">
        <v>1137</v>
      </c>
      <c r="D923">
        <v>16</v>
      </c>
      <c r="E923" t="s">
        <v>30</v>
      </c>
      <c r="F923" t="s">
        <v>57</v>
      </c>
      <c r="G923" t="s">
        <v>15</v>
      </c>
      <c r="H923" s="1">
        <v>44489</v>
      </c>
      <c r="I923" t="s">
        <v>1082</v>
      </c>
      <c r="J923" t="s">
        <v>71</v>
      </c>
      <c r="K923" t="s">
        <v>138</v>
      </c>
      <c r="L923" t="s">
        <v>37</v>
      </c>
    </row>
    <row r="924" spans="1:12" x14ac:dyDescent="0.25">
      <c r="A924" t="s">
        <v>1081</v>
      </c>
      <c r="B924">
        <v>1156</v>
      </c>
      <c r="C924">
        <v>74</v>
      </c>
      <c r="D924">
        <v>15</v>
      </c>
      <c r="E924" t="s">
        <v>13</v>
      </c>
      <c r="F924" t="s">
        <v>28</v>
      </c>
      <c r="G924" t="s">
        <v>40</v>
      </c>
      <c r="H924" s="1">
        <v>44489</v>
      </c>
      <c r="I924" t="s">
        <v>1082</v>
      </c>
      <c r="J924" t="s">
        <v>71</v>
      </c>
      <c r="K924" t="s">
        <v>138</v>
      </c>
      <c r="L924" t="s">
        <v>37</v>
      </c>
    </row>
    <row r="925" spans="1:12" x14ac:dyDescent="0.25">
      <c r="A925" t="s">
        <v>1083</v>
      </c>
      <c r="B925">
        <v>5354</v>
      </c>
      <c r="C925">
        <v>743</v>
      </c>
      <c r="D925">
        <v>10</v>
      </c>
      <c r="E925" t="s">
        <v>45</v>
      </c>
      <c r="F925" t="s">
        <v>109</v>
      </c>
      <c r="G925" t="s">
        <v>15</v>
      </c>
      <c r="H925" s="1">
        <v>44488</v>
      </c>
      <c r="I925" t="s">
        <v>1084</v>
      </c>
      <c r="J925" t="s">
        <v>21</v>
      </c>
      <c r="K925" t="s">
        <v>63</v>
      </c>
      <c r="L925" t="s">
        <v>37</v>
      </c>
    </row>
    <row r="926" spans="1:12" x14ac:dyDescent="0.25">
      <c r="A926" t="s">
        <v>1085</v>
      </c>
      <c r="B926">
        <v>8780</v>
      </c>
      <c r="C926">
        <v>3430</v>
      </c>
      <c r="D926">
        <v>4</v>
      </c>
      <c r="E926" t="s">
        <v>13</v>
      </c>
      <c r="F926" t="s">
        <v>14</v>
      </c>
      <c r="G926" t="s">
        <v>47</v>
      </c>
      <c r="H926" s="1">
        <v>45480</v>
      </c>
      <c r="I926" t="s">
        <v>1086</v>
      </c>
      <c r="J926" t="s">
        <v>71</v>
      </c>
      <c r="K926" t="s">
        <v>86</v>
      </c>
      <c r="L926" t="s">
        <v>215</v>
      </c>
    </row>
    <row r="927" spans="1:12" x14ac:dyDescent="0.25">
      <c r="A927" t="s">
        <v>1085</v>
      </c>
      <c r="B927">
        <v>8780</v>
      </c>
      <c r="C927">
        <v>3430</v>
      </c>
      <c r="D927">
        <v>4</v>
      </c>
      <c r="E927" t="s">
        <v>13</v>
      </c>
      <c r="F927" t="s">
        <v>14</v>
      </c>
      <c r="G927" t="s">
        <v>47</v>
      </c>
      <c r="H927" s="1">
        <v>45132</v>
      </c>
      <c r="I927" t="s">
        <v>1087</v>
      </c>
      <c r="J927" t="s">
        <v>71</v>
      </c>
      <c r="K927" t="s">
        <v>86</v>
      </c>
      <c r="L927" t="s">
        <v>105</v>
      </c>
    </row>
    <row r="928" spans="1:12" x14ac:dyDescent="0.25">
      <c r="A928" t="s">
        <v>1088</v>
      </c>
      <c r="B928">
        <v>6783</v>
      </c>
      <c r="C928">
        <v>3306</v>
      </c>
      <c r="D928">
        <v>8</v>
      </c>
      <c r="E928" t="s">
        <v>45</v>
      </c>
      <c r="F928" t="s">
        <v>60</v>
      </c>
      <c r="G928" t="s">
        <v>32</v>
      </c>
      <c r="H928" s="1">
        <v>43937</v>
      </c>
      <c r="I928" t="s">
        <v>1089</v>
      </c>
      <c r="J928" t="s">
        <v>98</v>
      </c>
      <c r="K928" t="s">
        <v>99</v>
      </c>
      <c r="L928" t="s">
        <v>162</v>
      </c>
    </row>
    <row r="929" spans="1:12" x14ac:dyDescent="0.25">
      <c r="A929" t="s">
        <v>1090</v>
      </c>
      <c r="B929">
        <v>1778</v>
      </c>
      <c r="C929">
        <v>285</v>
      </c>
      <c r="D929">
        <v>4</v>
      </c>
      <c r="E929" t="s">
        <v>30</v>
      </c>
      <c r="F929" t="s">
        <v>31</v>
      </c>
      <c r="G929" t="s">
        <v>47</v>
      </c>
      <c r="H929" s="1">
        <v>44016</v>
      </c>
      <c r="I929" t="s">
        <v>1091</v>
      </c>
      <c r="J929" t="s">
        <v>25</v>
      </c>
      <c r="K929" t="s">
        <v>51</v>
      </c>
      <c r="L929" t="s">
        <v>462</v>
      </c>
    </row>
    <row r="930" spans="1:12" x14ac:dyDescent="0.25">
      <c r="A930" t="s">
        <v>1092</v>
      </c>
      <c r="B930">
        <v>9399</v>
      </c>
      <c r="C930">
        <v>1949</v>
      </c>
      <c r="D930">
        <v>12</v>
      </c>
      <c r="E930" t="s">
        <v>13</v>
      </c>
      <c r="F930" t="s">
        <v>28</v>
      </c>
      <c r="G930" t="s">
        <v>15</v>
      </c>
      <c r="H930" s="1">
        <v>44697</v>
      </c>
      <c r="I930" t="s">
        <v>1093</v>
      </c>
      <c r="J930" t="s">
        <v>25</v>
      </c>
      <c r="K930" t="s">
        <v>68</v>
      </c>
      <c r="L930" t="s">
        <v>180</v>
      </c>
    </row>
    <row r="931" spans="1:12" x14ac:dyDescent="0.25">
      <c r="A931" t="s">
        <v>1092</v>
      </c>
      <c r="B931">
        <v>7957</v>
      </c>
      <c r="C931">
        <v>965</v>
      </c>
      <c r="D931">
        <v>4</v>
      </c>
      <c r="E931" t="s">
        <v>45</v>
      </c>
      <c r="F931" t="s">
        <v>60</v>
      </c>
      <c r="G931" t="s">
        <v>47</v>
      </c>
      <c r="H931" s="1">
        <v>44697</v>
      </c>
      <c r="I931" t="s">
        <v>1093</v>
      </c>
      <c r="J931" t="s">
        <v>25</v>
      </c>
      <c r="K931" t="s">
        <v>68</v>
      </c>
      <c r="L931" t="s">
        <v>180</v>
      </c>
    </row>
    <row r="932" spans="1:12" x14ac:dyDescent="0.25">
      <c r="A932" t="s">
        <v>1094</v>
      </c>
      <c r="B932">
        <v>1638</v>
      </c>
      <c r="C932">
        <v>661</v>
      </c>
      <c r="D932">
        <v>13</v>
      </c>
      <c r="E932" t="s">
        <v>45</v>
      </c>
      <c r="F932" t="s">
        <v>49</v>
      </c>
      <c r="G932" t="s">
        <v>40</v>
      </c>
      <c r="H932" s="1">
        <v>45255</v>
      </c>
      <c r="I932" t="s">
        <v>1095</v>
      </c>
      <c r="J932" t="s">
        <v>21</v>
      </c>
      <c r="K932" t="s">
        <v>63</v>
      </c>
      <c r="L932" t="s">
        <v>52</v>
      </c>
    </row>
    <row r="933" spans="1:12" x14ac:dyDescent="0.25">
      <c r="A933" t="s">
        <v>1096</v>
      </c>
      <c r="B933">
        <v>1786</v>
      </c>
      <c r="C933">
        <v>224</v>
      </c>
      <c r="D933">
        <v>4</v>
      </c>
      <c r="E933" t="s">
        <v>45</v>
      </c>
      <c r="F933" t="s">
        <v>46</v>
      </c>
      <c r="G933" t="s">
        <v>65</v>
      </c>
      <c r="H933" s="1">
        <v>44425</v>
      </c>
      <c r="I933" t="s">
        <v>1097</v>
      </c>
      <c r="J933" t="s">
        <v>71</v>
      </c>
      <c r="K933" t="s">
        <v>72</v>
      </c>
      <c r="L933" t="s">
        <v>178</v>
      </c>
    </row>
    <row r="934" spans="1:12" x14ac:dyDescent="0.25">
      <c r="A934" t="s">
        <v>1098</v>
      </c>
      <c r="B934">
        <v>4751</v>
      </c>
      <c r="C934">
        <v>781</v>
      </c>
      <c r="D934">
        <v>9</v>
      </c>
      <c r="E934" t="s">
        <v>30</v>
      </c>
      <c r="F934" t="s">
        <v>64</v>
      </c>
      <c r="G934" t="s">
        <v>40</v>
      </c>
      <c r="H934" s="1">
        <v>45109</v>
      </c>
      <c r="I934" t="s">
        <v>1099</v>
      </c>
      <c r="J934" t="s">
        <v>25</v>
      </c>
      <c r="K934" t="s">
        <v>26</v>
      </c>
      <c r="L934" t="s">
        <v>105</v>
      </c>
    </row>
    <row r="935" spans="1:12" x14ac:dyDescent="0.25">
      <c r="A935" t="s">
        <v>1100</v>
      </c>
      <c r="B935">
        <v>8979</v>
      </c>
      <c r="C935">
        <v>4477</v>
      </c>
      <c r="D935">
        <v>4</v>
      </c>
      <c r="E935" t="s">
        <v>30</v>
      </c>
      <c r="F935" t="s">
        <v>64</v>
      </c>
      <c r="G935" t="s">
        <v>47</v>
      </c>
      <c r="H935" s="1">
        <v>44067</v>
      </c>
      <c r="I935" t="s">
        <v>1101</v>
      </c>
      <c r="J935" t="s">
        <v>21</v>
      </c>
      <c r="K935" t="s">
        <v>22</v>
      </c>
      <c r="L935" t="s">
        <v>185</v>
      </c>
    </row>
    <row r="936" spans="1:12" x14ac:dyDescent="0.25">
      <c r="A936" t="s">
        <v>1102</v>
      </c>
      <c r="B936">
        <v>2727</v>
      </c>
      <c r="C936">
        <v>663</v>
      </c>
      <c r="D936">
        <v>8</v>
      </c>
      <c r="E936" t="s">
        <v>13</v>
      </c>
      <c r="F936" t="s">
        <v>82</v>
      </c>
      <c r="G936" t="s">
        <v>47</v>
      </c>
      <c r="H936" s="1">
        <v>44872</v>
      </c>
      <c r="I936" t="s">
        <v>1103</v>
      </c>
      <c r="J936" t="s">
        <v>17</v>
      </c>
      <c r="K936" t="s">
        <v>18</v>
      </c>
      <c r="L936" t="s">
        <v>44</v>
      </c>
    </row>
    <row r="937" spans="1:12" x14ac:dyDescent="0.25">
      <c r="A937" t="s">
        <v>1104</v>
      </c>
      <c r="B937">
        <v>1093</v>
      </c>
      <c r="C937">
        <v>397</v>
      </c>
      <c r="D937">
        <v>17</v>
      </c>
      <c r="E937" t="s">
        <v>13</v>
      </c>
      <c r="F937" t="s">
        <v>28</v>
      </c>
      <c r="G937" t="s">
        <v>47</v>
      </c>
      <c r="H937" s="1">
        <v>45378</v>
      </c>
      <c r="I937" t="s">
        <v>1105</v>
      </c>
      <c r="J937" t="s">
        <v>21</v>
      </c>
      <c r="K937" t="s">
        <v>172</v>
      </c>
      <c r="L937" t="s">
        <v>338</v>
      </c>
    </row>
    <row r="938" spans="1:12" x14ac:dyDescent="0.25">
      <c r="A938" t="s">
        <v>1104</v>
      </c>
      <c r="B938">
        <v>1093</v>
      </c>
      <c r="C938">
        <v>397</v>
      </c>
      <c r="D938">
        <v>17</v>
      </c>
      <c r="E938" t="s">
        <v>13</v>
      </c>
      <c r="F938" t="s">
        <v>28</v>
      </c>
      <c r="G938" t="s">
        <v>47</v>
      </c>
      <c r="H938" s="1">
        <v>45536</v>
      </c>
      <c r="I938" t="s">
        <v>1106</v>
      </c>
      <c r="J938" t="s">
        <v>25</v>
      </c>
      <c r="K938" t="s">
        <v>26</v>
      </c>
      <c r="L938" t="s">
        <v>159</v>
      </c>
    </row>
    <row r="939" spans="1:12" x14ac:dyDescent="0.25">
      <c r="A939" t="s">
        <v>1104</v>
      </c>
      <c r="B939">
        <v>1093</v>
      </c>
      <c r="C939">
        <v>397</v>
      </c>
      <c r="D939">
        <v>17</v>
      </c>
      <c r="E939" t="s">
        <v>13</v>
      </c>
      <c r="F939" t="s">
        <v>28</v>
      </c>
      <c r="G939" t="s">
        <v>47</v>
      </c>
      <c r="H939" s="1">
        <v>44614</v>
      </c>
      <c r="I939" t="s">
        <v>1107</v>
      </c>
      <c r="J939" t="s">
        <v>98</v>
      </c>
      <c r="K939" t="s">
        <v>99</v>
      </c>
      <c r="L939" t="s">
        <v>137</v>
      </c>
    </row>
    <row r="940" spans="1:12" x14ac:dyDescent="0.25">
      <c r="A940" t="s">
        <v>1104</v>
      </c>
      <c r="B940">
        <v>2636</v>
      </c>
      <c r="C940">
        <v>88</v>
      </c>
      <c r="D940">
        <v>11</v>
      </c>
      <c r="E940" t="s">
        <v>30</v>
      </c>
      <c r="F940" t="s">
        <v>64</v>
      </c>
      <c r="G940" t="s">
        <v>32</v>
      </c>
      <c r="H940" s="1">
        <v>45378</v>
      </c>
      <c r="I940" t="s">
        <v>1105</v>
      </c>
      <c r="J940" t="s">
        <v>21</v>
      </c>
      <c r="K940" t="s">
        <v>172</v>
      </c>
      <c r="L940" t="s">
        <v>338</v>
      </c>
    </row>
    <row r="941" spans="1:12" x14ac:dyDescent="0.25">
      <c r="A941" t="s">
        <v>1104</v>
      </c>
      <c r="B941">
        <v>2636</v>
      </c>
      <c r="C941">
        <v>88</v>
      </c>
      <c r="D941">
        <v>11</v>
      </c>
      <c r="E941" t="s">
        <v>30</v>
      </c>
      <c r="F941" t="s">
        <v>64</v>
      </c>
      <c r="G941" t="s">
        <v>32</v>
      </c>
      <c r="H941" s="1">
        <v>45536</v>
      </c>
      <c r="I941" t="s">
        <v>1106</v>
      </c>
      <c r="J941" t="s">
        <v>25</v>
      </c>
      <c r="K941" t="s">
        <v>26</v>
      </c>
      <c r="L941" t="s">
        <v>159</v>
      </c>
    </row>
    <row r="942" spans="1:12" x14ac:dyDescent="0.25">
      <c r="A942" t="s">
        <v>1104</v>
      </c>
      <c r="B942">
        <v>2636</v>
      </c>
      <c r="C942">
        <v>88</v>
      </c>
      <c r="D942">
        <v>11</v>
      </c>
      <c r="E942" t="s">
        <v>30</v>
      </c>
      <c r="F942" t="s">
        <v>64</v>
      </c>
      <c r="G942" t="s">
        <v>32</v>
      </c>
      <c r="H942" s="1">
        <v>44614</v>
      </c>
      <c r="I942" t="s">
        <v>1107</v>
      </c>
      <c r="J942" t="s">
        <v>98</v>
      </c>
      <c r="K942" t="s">
        <v>99</v>
      </c>
      <c r="L942" t="s">
        <v>137</v>
      </c>
    </row>
    <row r="943" spans="1:12" x14ac:dyDescent="0.25">
      <c r="A943" t="s">
        <v>1108</v>
      </c>
      <c r="B943">
        <v>7344</v>
      </c>
      <c r="C943">
        <v>2251</v>
      </c>
      <c r="D943">
        <v>7</v>
      </c>
      <c r="E943" t="s">
        <v>13</v>
      </c>
      <c r="F943" t="s">
        <v>14</v>
      </c>
      <c r="G943" t="s">
        <v>32</v>
      </c>
      <c r="H943" s="1">
        <v>44603</v>
      </c>
      <c r="I943" t="s">
        <v>1109</v>
      </c>
      <c r="J943" t="s">
        <v>17</v>
      </c>
      <c r="K943" t="s">
        <v>18</v>
      </c>
      <c r="L943" t="s">
        <v>137</v>
      </c>
    </row>
    <row r="944" spans="1:12" x14ac:dyDescent="0.25">
      <c r="A944" t="s">
        <v>1108</v>
      </c>
      <c r="B944">
        <v>7306</v>
      </c>
      <c r="C944">
        <v>1547</v>
      </c>
      <c r="D944">
        <v>3</v>
      </c>
      <c r="E944" t="s">
        <v>30</v>
      </c>
      <c r="F944" t="s">
        <v>64</v>
      </c>
      <c r="G944" t="s">
        <v>65</v>
      </c>
      <c r="H944" s="1">
        <v>44603</v>
      </c>
      <c r="I944" t="s">
        <v>1109</v>
      </c>
      <c r="J944" t="s">
        <v>17</v>
      </c>
      <c r="K944" t="s">
        <v>18</v>
      </c>
      <c r="L944" t="s">
        <v>137</v>
      </c>
    </row>
    <row r="945" spans="1:12" x14ac:dyDescent="0.25">
      <c r="A945" t="s">
        <v>1108</v>
      </c>
      <c r="B945">
        <v>5832</v>
      </c>
      <c r="C945">
        <v>2588</v>
      </c>
      <c r="D945">
        <v>10</v>
      </c>
      <c r="E945" t="s">
        <v>13</v>
      </c>
      <c r="F945" t="s">
        <v>28</v>
      </c>
      <c r="G945" t="s">
        <v>65</v>
      </c>
      <c r="H945" s="1">
        <v>44603</v>
      </c>
      <c r="I945" t="s">
        <v>1109</v>
      </c>
      <c r="J945" t="s">
        <v>17</v>
      </c>
      <c r="K945" t="s">
        <v>18</v>
      </c>
      <c r="L945" t="s">
        <v>137</v>
      </c>
    </row>
    <row r="946" spans="1:12" x14ac:dyDescent="0.25">
      <c r="A946" t="s">
        <v>1110</v>
      </c>
      <c r="B946">
        <v>8572</v>
      </c>
      <c r="C946">
        <v>2041</v>
      </c>
      <c r="D946">
        <v>8</v>
      </c>
      <c r="E946" t="s">
        <v>45</v>
      </c>
      <c r="F946" t="s">
        <v>46</v>
      </c>
      <c r="G946" t="s">
        <v>40</v>
      </c>
      <c r="H946" s="1">
        <v>44343</v>
      </c>
      <c r="I946" t="s">
        <v>1111</v>
      </c>
      <c r="J946" t="s">
        <v>21</v>
      </c>
      <c r="K946" t="s">
        <v>63</v>
      </c>
      <c r="L946" t="s">
        <v>108</v>
      </c>
    </row>
    <row r="947" spans="1:12" x14ac:dyDescent="0.25">
      <c r="A947" t="s">
        <v>1110</v>
      </c>
      <c r="B947">
        <v>8572</v>
      </c>
      <c r="C947">
        <v>2041</v>
      </c>
      <c r="D947">
        <v>8</v>
      </c>
      <c r="E947" t="s">
        <v>45</v>
      </c>
      <c r="F947" t="s">
        <v>46</v>
      </c>
      <c r="G947" t="s">
        <v>40</v>
      </c>
      <c r="H947" s="1">
        <v>45112</v>
      </c>
      <c r="I947" t="s">
        <v>1112</v>
      </c>
      <c r="J947" t="s">
        <v>21</v>
      </c>
      <c r="K947" t="s">
        <v>63</v>
      </c>
      <c r="L947" t="s">
        <v>105</v>
      </c>
    </row>
    <row r="948" spans="1:12" x14ac:dyDescent="0.25">
      <c r="A948" t="s">
        <v>1110</v>
      </c>
      <c r="B948">
        <v>8572</v>
      </c>
      <c r="C948">
        <v>2041</v>
      </c>
      <c r="D948">
        <v>8</v>
      </c>
      <c r="E948" t="s">
        <v>45</v>
      </c>
      <c r="F948" t="s">
        <v>46</v>
      </c>
      <c r="G948" t="s">
        <v>40</v>
      </c>
      <c r="H948" s="1">
        <v>44131</v>
      </c>
      <c r="I948" t="s">
        <v>1113</v>
      </c>
      <c r="J948" t="s">
        <v>42</v>
      </c>
      <c r="K948" t="s">
        <v>75</v>
      </c>
      <c r="L948" t="s">
        <v>119</v>
      </c>
    </row>
    <row r="949" spans="1:12" x14ac:dyDescent="0.25">
      <c r="A949" t="s">
        <v>1110</v>
      </c>
      <c r="B949">
        <v>8059</v>
      </c>
      <c r="C949">
        <v>1834</v>
      </c>
      <c r="D949">
        <v>10</v>
      </c>
      <c r="E949" t="s">
        <v>13</v>
      </c>
      <c r="F949" t="s">
        <v>28</v>
      </c>
      <c r="G949" t="s">
        <v>47</v>
      </c>
      <c r="H949" s="1">
        <v>44343</v>
      </c>
      <c r="I949" t="s">
        <v>1111</v>
      </c>
      <c r="J949" t="s">
        <v>21</v>
      </c>
      <c r="K949" t="s">
        <v>63</v>
      </c>
      <c r="L949" t="s">
        <v>108</v>
      </c>
    </row>
    <row r="950" spans="1:12" x14ac:dyDescent="0.25">
      <c r="A950" t="s">
        <v>1110</v>
      </c>
      <c r="B950">
        <v>8059</v>
      </c>
      <c r="C950">
        <v>1834</v>
      </c>
      <c r="D950">
        <v>10</v>
      </c>
      <c r="E950" t="s">
        <v>13</v>
      </c>
      <c r="F950" t="s">
        <v>28</v>
      </c>
      <c r="G950" t="s">
        <v>47</v>
      </c>
      <c r="H950" s="1">
        <v>45112</v>
      </c>
      <c r="I950" t="s">
        <v>1112</v>
      </c>
      <c r="J950" t="s">
        <v>21</v>
      </c>
      <c r="K950" t="s">
        <v>63</v>
      </c>
      <c r="L950" t="s">
        <v>105</v>
      </c>
    </row>
    <row r="951" spans="1:12" x14ac:dyDescent="0.25">
      <c r="A951" t="s">
        <v>1110</v>
      </c>
      <c r="B951">
        <v>8059</v>
      </c>
      <c r="C951">
        <v>1834</v>
      </c>
      <c r="D951">
        <v>10</v>
      </c>
      <c r="E951" t="s">
        <v>13</v>
      </c>
      <c r="F951" t="s">
        <v>28</v>
      </c>
      <c r="G951" t="s">
        <v>47</v>
      </c>
      <c r="H951" s="1">
        <v>44131</v>
      </c>
      <c r="I951" t="s">
        <v>1113</v>
      </c>
      <c r="J951" t="s">
        <v>42</v>
      </c>
      <c r="K951" t="s">
        <v>75</v>
      </c>
      <c r="L951" t="s">
        <v>119</v>
      </c>
    </row>
    <row r="952" spans="1:12" x14ac:dyDescent="0.25">
      <c r="A952" t="s">
        <v>1114</v>
      </c>
      <c r="B952">
        <v>3661</v>
      </c>
      <c r="C952">
        <v>436</v>
      </c>
      <c r="D952">
        <v>13</v>
      </c>
      <c r="E952" t="s">
        <v>45</v>
      </c>
      <c r="F952" t="s">
        <v>60</v>
      </c>
      <c r="G952" t="s">
        <v>40</v>
      </c>
      <c r="H952" s="1">
        <v>44952</v>
      </c>
      <c r="I952" t="s">
        <v>1115</v>
      </c>
      <c r="J952" t="s">
        <v>71</v>
      </c>
      <c r="K952" t="s">
        <v>86</v>
      </c>
      <c r="L952" t="s">
        <v>333</v>
      </c>
    </row>
    <row r="953" spans="1:12" x14ac:dyDescent="0.25">
      <c r="A953" t="s">
        <v>1116</v>
      </c>
      <c r="B953">
        <v>2451</v>
      </c>
      <c r="C953">
        <v>342</v>
      </c>
      <c r="D953">
        <v>8</v>
      </c>
      <c r="E953" t="s">
        <v>30</v>
      </c>
      <c r="F953" t="s">
        <v>64</v>
      </c>
      <c r="G953" t="s">
        <v>40</v>
      </c>
      <c r="H953" s="1">
        <v>44445</v>
      </c>
      <c r="I953" t="s">
        <v>1117</v>
      </c>
      <c r="J953" t="s">
        <v>42</v>
      </c>
      <c r="K953" t="s">
        <v>43</v>
      </c>
      <c r="L953" t="s">
        <v>224</v>
      </c>
    </row>
    <row r="954" spans="1:12" x14ac:dyDescent="0.25">
      <c r="A954" t="s">
        <v>1116</v>
      </c>
      <c r="B954">
        <v>2451</v>
      </c>
      <c r="C954">
        <v>342</v>
      </c>
      <c r="D954">
        <v>8</v>
      </c>
      <c r="E954" t="s">
        <v>30</v>
      </c>
      <c r="F954" t="s">
        <v>64</v>
      </c>
      <c r="G954" t="s">
        <v>40</v>
      </c>
      <c r="H954" s="1">
        <v>44512</v>
      </c>
      <c r="I954" t="s">
        <v>1118</v>
      </c>
      <c r="J954" t="s">
        <v>98</v>
      </c>
      <c r="K954" t="s">
        <v>107</v>
      </c>
      <c r="L954" t="s">
        <v>175</v>
      </c>
    </row>
    <row r="955" spans="1:12" x14ac:dyDescent="0.25">
      <c r="A955" t="s">
        <v>1116</v>
      </c>
      <c r="B955">
        <v>2451</v>
      </c>
      <c r="C955">
        <v>342</v>
      </c>
      <c r="D955">
        <v>8</v>
      </c>
      <c r="E955" t="s">
        <v>30</v>
      </c>
      <c r="F955" t="s">
        <v>64</v>
      </c>
      <c r="G955" t="s">
        <v>40</v>
      </c>
      <c r="H955" s="1">
        <v>45503</v>
      </c>
      <c r="I955" t="s">
        <v>1119</v>
      </c>
      <c r="J955" t="s">
        <v>71</v>
      </c>
      <c r="K955" t="s">
        <v>138</v>
      </c>
      <c r="L955" t="s">
        <v>215</v>
      </c>
    </row>
    <row r="956" spans="1:12" x14ac:dyDescent="0.25">
      <c r="A956" t="s">
        <v>1120</v>
      </c>
      <c r="B956">
        <v>7067</v>
      </c>
      <c r="C956">
        <v>1943</v>
      </c>
      <c r="D956">
        <v>16</v>
      </c>
      <c r="E956" t="s">
        <v>45</v>
      </c>
      <c r="F956" t="s">
        <v>46</v>
      </c>
      <c r="G956" t="s">
        <v>47</v>
      </c>
      <c r="H956" s="1">
        <v>44635</v>
      </c>
      <c r="I956" t="s">
        <v>1121</v>
      </c>
      <c r="J956" t="s">
        <v>42</v>
      </c>
      <c r="K956" t="s">
        <v>92</v>
      </c>
      <c r="L956" t="s">
        <v>134</v>
      </c>
    </row>
    <row r="957" spans="1:12" x14ac:dyDescent="0.25">
      <c r="A957" t="s">
        <v>1122</v>
      </c>
      <c r="B957">
        <v>4307</v>
      </c>
      <c r="C957">
        <v>615</v>
      </c>
      <c r="D957">
        <v>3</v>
      </c>
      <c r="E957" t="s">
        <v>13</v>
      </c>
      <c r="F957" t="s">
        <v>14</v>
      </c>
      <c r="G957" t="s">
        <v>15</v>
      </c>
      <c r="H957" s="1">
        <v>45366</v>
      </c>
      <c r="I957" t="s">
        <v>1123</v>
      </c>
      <c r="J957" t="s">
        <v>25</v>
      </c>
      <c r="K957" t="s">
        <v>51</v>
      </c>
      <c r="L957" t="s">
        <v>338</v>
      </c>
    </row>
    <row r="958" spans="1:12" x14ac:dyDescent="0.25">
      <c r="A958" t="s">
        <v>1122</v>
      </c>
      <c r="B958">
        <v>4307</v>
      </c>
      <c r="C958">
        <v>615</v>
      </c>
      <c r="D958">
        <v>3</v>
      </c>
      <c r="E958" t="s">
        <v>13</v>
      </c>
      <c r="F958" t="s">
        <v>14</v>
      </c>
      <c r="G958" t="s">
        <v>15</v>
      </c>
      <c r="H958" s="1">
        <v>44145</v>
      </c>
      <c r="I958" t="s">
        <v>1124</v>
      </c>
      <c r="J958" t="s">
        <v>21</v>
      </c>
      <c r="K958" t="s">
        <v>63</v>
      </c>
      <c r="L958" t="s">
        <v>80</v>
      </c>
    </row>
    <row r="959" spans="1:12" x14ac:dyDescent="0.25">
      <c r="A959" t="s">
        <v>1122</v>
      </c>
      <c r="B959">
        <v>5694</v>
      </c>
      <c r="C959">
        <v>1134</v>
      </c>
      <c r="D959">
        <v>5</v>
      </c>
      <c r="E959" t="s">
        <v>45</v>
      </c>
      <c r="F959" t="s">
        <v>49</v>
      </c>
      <c r="G959" t="s">
        <v>40</v>
      </c>
      <c r="H959" s="1">
        <v>45366</v>
      </c>
      <c r="I959" t="s">
        <v>1123</v>
      </c>
      <c r="J959" t="s">
        <v>25</v>
      </c>
      <c r="K959" t="s">
        <v>51</v>
      </c>
      <c r="L959" t="s">
        <v>338</v>
      </c>
    </row>
    <row r="960" spans="1:12" x14ac:dyDescent="0.25">
      <c r="A960" t="s">
        <v>1122</v>
      </c>
      <c r="B960">
        <v>5694</v>
      </c>
      <c r="C960">
        <v>1134</v>
      </c>
      <c r="D960">
        <v>5</v>
      </c>
      <c r="E960" t="s">
        <v>45</v>
      </c>
      <c r="F960" t="s">
        <v>49</v>
      </c>
      <c r="G960" t="s">
        <v>40</v>
      </c>
      <c r="H960" s="1">
        <v>44145</v>
      </c>
      <c r="I960" t="s">
        <v>1124</v>
      </c>
      <c r="J960" t="s">
        <v>21</v>
      </c>
      <c r="K960" t="s">
        <v>63</v>
      </c>
      <c r="L960" t="s">
        <v>80</v>
      </c>
    </row>
    <row r="961" spans="1:12" x14ac:dyDescent="0.25">
      <c r="A961" t="s">
        <v>1125</v>
      </c>
      <c r="B961">
        <v>962</v>
      </c>
      <c r="C961">
        <v>298</v>
      </c>
      <c r="D961">
        <v>18</v>
      </c>
      <c r="E961" t="s">
        <v>30</v>
      </c>
      <c r="F961" t="s">
        <v>78</v>
      </c>
      <c r="G961" t="s">
        <v>47</v>
      </c>
      <c r="H961" s="1">
        <v>44765</v>
      </c>
      <c r="I961" t="s">
        <v>1126</v>
      </c>
      <c r="J961" t="s">
        <v>21</v>
      </c>
      <c r="K961" t="s">
        <v>63</v>
      </c>
      <c r="L961" t="s">
        <v>418</v>
      </c>
    </row>
    <row r="962" spans="1:12" x14ac:dyDescent="0.25">
      <c r="A962" t="s">
        <v>1127</v>
      </c>
      <c r="B962">
        <v>2995</v>
      </c>
      <c r="C962">
        <v>220</v>
      </c>
      <c r="D962">
        <v>14</v>
      </c>
      <c r="E962" t="s">
        <v>45</v>
      </c>
      <c r="F962" t="s">
        <v>109</v>
      </c>
      <c r="G962" t="s">
        <v>47</v>
      </c>
      <c r="H962" s="1">
        <v>45548</v>
      </c>
      <c r="I962" t="s">
        <v>1128</v>
      </c>
      <c r="J962" t="s">
        <v>25</v>
      </c>
      <c r="K962" t="s">
        <v>26</v>
      </c>
      <c r="L962" t="s">
        <v>159</v>
      </c>
    </row>
    <row r="963" spans="1:12" x14ac:dyDescent="0.25">
      <c r="A963" t="s">
        <v>1127</v>
      </c>
      <c r="B963">
        <v>2047</v>
      </c>
      <c r="C963">
        <v>914</v>
      </c>
      <c r="D963">
        <v>5</v>
      </c>
      <c r="E963" t="s">
        <v>30</v>
      </c>
      <c r="F963" t="s">
        <v>57</v>
      </c>
      <c r="G963" t="s">
        <v>32</v>
      </c>
      <c r="H963" s="1">
        <v>45548</v>
      </c>
      <c r="I963" t="s">
        <v>1128</v>
      </c>
      <c r="J963" t="s">
        <v>25</v>
      </c>
      <c r="K963" t="s">
        <v>26</v>
      </c>
      <c r="L963" t="s">
        <v>159</v>
      </c>
    </row>
    <row r="964" spans="1:12" x14ac:dyDescent="0.25">
      <c r="A964" t="s">
        <v>1129</v>
      </c>
      <c r="B964">
        <v>2078</v>
      </c>
      <c r="C964">
        <v>612</v>
      </c>
      <c r="D964">
        <v>6</v>
      </c>
      <c r="E964" t="s">
        <v>13</v>
      </c>
      <c r="F964" t="s">
        <v>39</v>
      </c>
      <c r="G964" t="s">
        <v>65</v>
      </c>
      <c r="H964" s="1">
        <v>44586</v>
      </c>
      <c r="I964" t="s">
        <v>1130</v>
      </c>
      <c r="J964" t="s">
        <v>71</v>
      </c>
      <c r="K964" t="s">
        <v>86</v>
      </c>
      <c r="L964" t="s">
        <v>87</v>
      </c>
    </row>
    <row r="965" spans="1:12" x14ac:dyDescent="0.25">
      <c r="A965" t="s">
        <v>1131</v>
      </c>
      <c r="B965">
        <v>2737</v>
      </c>
      <c r="C965">
        <v>1253</v>
      </c>
      <c r="D965">
        <v>3</v>
      </c>
      <c r="E965" t="s">
        <v>13</v>
      </c>
      <c r="F965" t="s">
        <v>28</v>
      </c>
      <c r="G965" t="s">
        <v>40</v>
      </c>
      <c r="H965" s="1">
        <v>44305</v>
      </c>
      <c r="I965" t="s">
        <v>1132</v>
      </c>
      <c r="J965" t="s">
        <v>25</v>
      </c>
      <c r="K965" t="s">
        <v>51</v>
      </c>
      <c r="L965" t="s">
        <v>139</v>
      </c>
    </row>
    <row r="966" spans="1:12" x14ac:dyDescent="0.25">
      <c r="A966" t="s">
        <v>1133</v>
      </c>
      <c r="B966">
        <v>8194</v>
      </c>
      <c r="C966">
        <v>2881</v>
      </c>
      <c r="D966">
        <v>6</v>
      </c>
      <c r="E966" t="s">
        <v>30</v>
      </c>
      <c r="F966" t="s">
        <v>64</v>
      </c>
      <c r="G966" t="s">
        <v>32</v>
      </c>
      <c r="H966" s="1">
        <v>44395</v>
      </c>
      <c r="I966" t="s">
        <v>1134</v>
      </c>
      <c r="J966" t="s">
        <v>71</v>
      </c>
      <c r="K966" t="s">
        <v>138</v>
      </c>
      <c r="L966" t="s">
        <v>27</v>
      </c>
    </row>
    <row r="967" spans="1:12" x14ac:dyDescent="0.25">
      <c r="A967" t="s">
        <v>1135</v>
      </c>
      <c r="B967">
        <v>9914</v>
      </c>
      <c r="C967">
        <v>3858</v>
      </c>
      <c r="D967">
        <v>16</v>
      </c>
      <c r="E967" t="s">
        <v>45</v>
      </c>
      <c r="F967" t="s">
        <v>60</v>
      </c>
      <c r="G967" t="s">
        <v>47</v>
      </c>
      <c r="H967" s="1">
        <v>44736</v>
      </c>
      <c r="I967" t="s">
        <v>1136</v>
      </c>
      <c r="J967" t="s">
        <v>25</v>
      </c>
      <c r="K967" t="s">
        <v>26</v>
      </c>
      <c r="L967" t="s">
        <v>165</v>
      </c>
    </row>
    <row r="968" spans="1:12" x14ac:dyDescent="0.25">
      <c r="A968" t="s">
        <v>1135</v>
      </c>
      <c r="B968">
        <v>9914</v>
      </c>
      <c r="C968">
        <v>3858</v>
      </c>
      <c r="D968">
        <v>16</v>
      </c>
      <c r="E968" t="s">
        <v>45</v>
      </c>
      <c r="F968" t="s">
        <v>60</v>
      </c>
      <c r="G968" t="s">
        <v>47</v>
      </c>
      <c r="H968" s="1">
        <v>45451</v>
      </c>
      <c r="I968" t="s">
        <v>1137</v>
      </c>
      <c r="J968" t="s">
        <v>25</v>
      </c>
      <c r="K968" t="s">
        <v>68</v>
      </c>
      <c r="L968" t="s">
        <v>262</v>
      </c>
    </row>
    <row r="969" spans="1:12" x14ac:dyDescent="0.25">
      <c r="A969" t="s">
        <v>1135</v>
      </c>
      <c r="B969">
        <v>5470</v>
      </c>
      <c r="C969">
        <v>292</v>
      </c>
      <c r="D969">
        <v>7</v>
      </c>
      <c r="E969" t="s">
        <v>30</v>
      </c>
      <c r="F969" t="s">
        <v>31</v>
      </c>
      <c r="G969" t="s">
        <v>32</v>
      </c>
      <c r="H969" s="1">
        <v>44736</v>
      </c>
      <c r="I969" t="s">
        <v>1136</v>
      </c>
      <c r="J969" t="s">
        <v>25</v>
      </c>
      <c r="K969" t="s">
        <v>26</v>
      </c>
      <c r="L969" t="s">
        <v>165</v>
      </c>
    </row>
    <row r="970" spans="1:12" x14ac:dyDescent="0.25">
      <c r="A970" t="s">
        <v>1135</v>
      </c>
      <c r="B970">
        <v>5470</v>
      </c>
      <c r="C970">
        <v>292</v>
      </c>
      <c r="D970">
        <v>7</v>
      </c>
      <c r="E970" t="s">
        <v>30</v>
      </c>
      <c r="F970" t="s">
        <v>31</v>
      </c>
      <c r="G970" t="s">
        <v>32</v>
      </c>
      <c r="H970" s="1">
        <v>45451</v>
      </c>
      <c r="I970" t="s">
        <v>1137</v>
      </c>
      <c r="J970" t="s">
        <v>25</v>
      </c>
      <c r="K970" t="s">
        <v>68</v>
      </c>
      <c r="L970" t="s">
        <v>262</v>
      </c>
    </row>
    <row r="971" spans="1:12" x14ac:dyDescent="0.25">
      <c r="A971" t="s">
        <v>1135</v>
      </c>
      <c r="B971">
        <v>1496</v>
      </c>
      <c r="C971">
        <v>662</v>
      </c>
      <c r="D971">
        <v>17</v>
      </c>
      <c r="E971" t="s">
        <v>45</v>
      </c>
      <c r="F971" t="s">
        <v>109</v>
      </c>
      <c r="G971" t="s">
        <v>15</v>
      </c>
      <c r="H971" s="1">
        <v>44736</v>
      </c>
      <c r="I971" t="s">
        <v>1136</v>
      </c>
      <c r="J971" t="s">
        <v>25</v>
      </c>
      <c r="K971" t="s">
        <v>26</v>
      </c>
      <c r="L971" t="s">
        <v>165</v>
      </c>
    </row>
    <row r="972" spans="1:12" x14ac:dyDescent="0.25">
      <c r="A972" t="s">
        <v>1135</v>
      </c>
      <c r="B972">
        <v>1496</v>
      </c>
      <c r="C972">
        <v>662</v>
      </c>
      <c r="D972">
        <v>17</v>
      </c>
      <c r="E972" t="s">
        <v>45</v>
      </c>
      <c r="F972" t="s">
        <v>109</v>
      </c>
      <c r="G972" t="s">
        <v>15</v>
      </c>
      <c r="H972" s="1">
        <v>45451</v>
      </c>
      <c r="I972" t="s">
        <v>1137</v>
      </c>
      <c r="J972" t="s">
        <v>25</v>
      </c>
      <c r="K972" t="s">
        <v>68</v>
      </c>
      <c r="L972" t="s">
        <v>262</v>
      </c>
    </row>
    <row r="973" spans="1:12" x14ac:dyDescent="0.25">
      <c r="A973" t="s">
        <v>1138</v>
      </c>
      <c r="B973">
        <v>3228</v>
      </c>
      <c r="C973">
        <v>476</v>
      </c>
      <c r="D973">
        <v>9</v>
      </c>
      <c r="E973" t="s">
        <v>30</v>
      </c>
      <c r="F973" t="s">
        <v>64</v>
      </c>
      <c r="G973" t="s">
        <v>65</v>
      </c>
      <c r="H973" s="1">
        <v>44833</v>
      </c>
      <c r="I973" t="s">
        <v>1139</v>
      </c>
      <c r="J973" t="s">
        <v>25</v>
      </c>
      <c r="K973" t="s">
        <v>51</v>
      </c>
      <c r="L973" t="s">
        <v>131</v>
      </c>
    </row>
    <row r="974" spans="1:12" x14ac:dyDescent="0.25">
      <c r="A974" t="s">
        <v>1140</v>
      </c>
      <c r="B974">
        <v>3918</v>
      </c>
      <c r="C974">
        <v>749</v>
      </c>
      <c r="D974">
        <v>8</v>
      </c>
      <c r="E974" t="s">
        <v>13</v>
      </c>
      <c r="F974" t="s">
        <v>39</v>
      </c>
      <c r="G974" t="s">
        <v>47</v>
      </c>
      <c r="H974" s="1">
        <v>45056</v>
      </c>
      <c r="I974" t="s">
        <v>1141</v>
      </c>
      <c r="J974" t="s">
        <v>42</v>
      </c>
      <c r="K974" t="s">
        <v>75</v>
      </c>
      <c r="L974" t="s">
        <v>127</v>
      </c>
    </row>
    <row r="975" spans="1:12" x14ac:dyDescent="0.25">
      <c r="A975" t="s">
        <v>1140</v>
      </c>
      <c r="B975">
        <v>3918</v>
      </c>
      <c r="C975">
        <v>749</v>
      </c>
      <c r="D975">
        <v>8</v>
      </c>
      <c r="E975" t="s">
        <v>13</v>
      </c>
      <c r="F975" t="s">
        <v>39</v>
      </c>
      <c r="G975" t="s">
        <v>47</v>
      </c>
      <c r="H975" s="1">
        <v>43953</v>
      </c>
      <c r="I975" t="s">
        <v>1142</v>
      </c>
      <c r="J975" t="s">
        <v>71</v>
      </c>
      <c r="K975" t="s">
        <v>138</v>
      </c>
      <c r="L975" t="s">
        <v>59</v>
      </c>
    </row>
    <row r="976" spans="1:12" x14ac:dyDescent="0.25">
      <c r="A976" t="s">
        <v>1143</v>
      </c>
      <c r="B976">
        <v>9921</v>
      </c>
      <c r="C976">
        <v>1451</v>
      </c>
      <c r="D976">
        <v>15</v>
      </c>
      <c r="E976" t="s">
        <v>45</v>
      </c>
      <c r="F976" t="s">
        <v>60</v>
      </c>
      <c r="G976" t="s">
        <v>40</v>
      </c>
      <c r="H976" s="1">
        <v>44298</v>
      </c>
      <c r="I976" t="s">
        <v>1144</v>
      </c>
      <c r="J976" t="s">
        <v>21</v>
      </c>
      <c r="K976" t="s">
        <v>22</v>
      </c>
      <c r="L976" t="s">
        <v>139</v>
      </c>
    </row>
    <row r="977" spans="1:12" x14ac:dyDescent="0.25">
      <c r="A977" t="s">
        <v>1145</v>
      </c>
      <c r="B977">
        <v>9694</v>
      </c>
      <c r="C977">
        <v>4361</v>
      </c>
      <c r="D977">
        <v>1</v>
      </c>
      <c r="E977" t="s">
        <v>45</v>
      </c>
      <c r="F977" t="s">
        <v>49</v>
      </c>
      <c r="G977" t="s">
        <v>40</v>
      </c>
      <c r="H977" s="1">
        <v>45234</v>
      </c>
      <c r="I977" t="s">
        <v>1146</v>
      </c>
      <c r="J977" t="s">
        <v>21</v>
      </c>
      <c r="K977" t="s">
        <v>63</v>
      </c>
      <c r="L977" t="s">
        <v>52</v>
      </c>
    </row>
    <row r="978" spans="1:12" x14ac:dyDescent="0.25">
      <c r="A978" t="s">
        <v>1147</v>
      </c>
      <c r="B978">
        <v>5028</v>
      </c>
      <c r="C978">
        <v>1553</v>
      </c>
      <c r="D978">
        <v>13</v>
      </c>
      <c r="E978" t="s">
        <v>30</v>
      </c>
      <c r="F978" t="s">
        <v>64</v>
      </c>
      <c r="G978" t="s">
        <v>40</v>
      </c>
      <c r="H978" s="1">
        <v>43955</v>
      </c>
      <c r="I978" t="s">
        <v>1148</v>
      </c>
      <c r="J978" t="s">
        <v>17</v>
      </c>
      <c r="K978" t="s">
        <v>150</v>
      </c>
      <c r="L978" t="s">
        <v>59</v>
      </c>
    </row>
    <row r="979" spans="1:12" x14ac:dyDescent="0.25">
      <c r="A979" t="s">
        <v>1149</v>
      </c>
      <c r="B979">
        <v>594</v>
      </c>
      <c r="C979">
        <v>67</v>
      </c>
      <c r="D979">
        <v>19</v>
      </c>
      <c r="E979" t="s">
        <v>30</v>
      </c>
      <c r="F979" t="s">
        <v>64</v>
      </c>
      <c r="G979" t="s">
        <v>32</v>
      </c>
      <c r="H979" s="1">
        <v>45179</v>
      </c>
      <c r="I979" t="s">
        <v>1150</v>
      </c>
      <c r="J979" t="s">
        <v>25</v>
      </c>
      <c r="K979" t="s">
        <v>26</v>
      </c>
      <c r="L979" t="s">
        <v>273</v>
      </c>
    </row>
    <row r="980" spans="1:12" x14ac:dyDescent="0.25">
      <c r="A980" t="s">
        <v>1149</v>
      </c>
      <c r="B980">
        <v>594</v>
      </c>
      <c r="C980">
        <v>67</v>
      </c>
      <c r="D980">
        <v>19</v>
      </c>
      <c r="E980" t="s">
        <v>30</v>
      </c>
      <c r="F980" t="s">
        <v>64</v>
      </c>
      <c r="G980" t="s">
        <v>32</v>
      </c>
      <c r="H980" s="1">
        <v>45296</v>
      </c>
      <c r="I980" t="s">
        <v>1151</v>
      </c>
      <c r="J980" t="s">
        <v>17</v>
      </c>
      <c r="K980" t="s">
        <v>18</v>
      </c>
      <c r="L980" t="s">
        <v>76</v>
      </c>
    </row>
    <row r="981" spans="1:12" x14ac:dyDescent="0.25">
      <c r="A981" t="s">
        <v>1149</v>
      </c>
      <c r="B981">
        <v>594</v>
      </c>
      <c r="C981">
        <v>67</v>
      </c>
      <c r="D981">
        <v>19</v>
      </c>
      <c r="E981" t="s">
        <v>30</v>
      </c>
      <c r="F981" t="s">
        <v>64</v>
      </c>
      <c r="G981" t="s">
        <v>32</v>
      </c>
      <c r="H981" s="1">
        <v>45420</v>
      </c>
      <c r="I981" t="s">
        <v>1152</v>
      </c>
      <c r="J981" t="s">
        <v>71</v>
      </c>
      <c r="K981" t="s">
        <v>86</v>
      </c>
      <c r="L981" t="s">
        <v>35</v>
      </c>
    </row>
    <row r="982" spans="1:12" x14ac:dyDescent="0.25">
      <c r="A982" t="s">
        <v>1153</v>
      </c>
      <c r="B982">
        <v>5954</v>
      </c>
      <c r="C982">
        <v>2618</v>
      </c>
      <c r="D982">
        <v>11</v>
      </c>
      <c r="E982" t="s">
        <v>45</v>
      </c>
      <c r="F982" t="s">
        <v>46</v>
      </c>
      <c r="G982" t="s">
        <v>65</v>
      </c>
      <c r="H982" s="1">
        <v>45381</v>
      </c>
      <c r="I982" t="s">
        <v>1154</v>
      </c>
      <c r="J982" t="s">
        <v>98</v>
      </c>
      <c r="K982" t="s">
        <v>107</v>
      </c>
      <c r="L982" t="s">
        <v>338</v>
      </c>
    </row>
    <row r="983" spans="1:12" x14ac:dyDescent="0.25">
      <c r="A983" t="s">
        <v>1155</v>
      </c>
      <c r="B983">
        <v>3518</v>
      </c>
      <c r="C983">
        <v>1051</v>
      </c>
      <c r="D983">
        <v>3</v>
      </c>
      <c r="E983" t="s">
        <v>45</v>
      </c>
      <c r="F983" t="s">
        <v>109</v>
      </c>
      <c r="G983" t="s">
        <v>15</v>
      </c>
      <c r="H983" s="1">
        <v>44084</v>
      </c>
      <c r="I983" t="s">
        <v>1156</v>
      </c>
      <c r="J983" t="s">
        <v>42</v>
      </c>
      <c r="K983" t="s">
        <v>92</v>
      </c>
      <c r="L983" t="s">
        <v>389</v>
      </c>
    </row>
    <row r="984" spans="1:12" x14ac:dyDescent="0.25">
      <c r="A984" t="s">
        <v>1155</v>
      </c>
      <c r="B984">
        <v>4157</v>
      </c>
      <c r="C984">
        <v>1874</v>
      </c>
      <c r="D984">
        <v>8</v>
      </c>
      <c r="E984" t="s">
        <v>13</v>
      </c>
      <c r="F984" t="s">
        <v>39</v>
      </c>
      <c r="G984" t="s">
        <v>40</v>
      </c>
      <c r="H984" s="1">
        <v>44084</v>
      </c>
      <c r="I984" t="s">
        <v>1156</v>
      </c>
      <c r="J984" t="s">
        <v>42</v>
      </c>
      <c r="K984" t="s">
        <v>92</v>
      </c>
      <c r="L984" t="s">
        <v>389</v>
      </c>
    </row>
    <row r="985" spans="1:12" x14ac:dyDescent="0.25">
      <c r="A985" t="s">
        <v>1157</v>
      </c>
      <c r="B985">
        <v>3747</v>
      </c>
      <c r="C985">
        <v>410</v>
      </c>
      <c r="D985">
        <v>5</v>
      </c>
      <c r="E985" t="s">
        <v>30</v>
      </c>
      <c r="F985" t="s">
        <v>57</v>
      </c>
      <c r="G985" t="s">
        <v>47</v>
      </c>
      <c r="H985" s="1">
        <v>44024</v>
      </c>
      <c r="I985" t="s">
        <v>1158</v>
      </c>
      <c r="J985" t="s">
        <v>21</v>
      </c>
      <c r="K985" t="s">
        <v>63</v>
      </c>
      <c r="L985" t="s">
        <v>462</v>
      </c>
    </row>
    <row r="986" spans="1:12" x14ac:dyDescent="0.25">
      <c r="A986" t="s">
        <v>1157</v>
      </c>
      <c r="B986">
        <v>3747</v>
      </c>
      <c r="C986">
        <v>410</v>
      </c>
      <c r="D986">
        <v>5</v>
      </c>
      <c r="E986" t="s">
        <v>30</v>
      </c>
      <c r="F986" t="s">
        <v>57</v>
      </c>
      <c r="G986" t="s">
        <v>47</v>
      </c>
      <c r="H986" s="1">
        <v>44903</v>
      </c>
      <c r="I986" t="s">
        <v>1159</v>
      </c>
      <c r="J986" t="s">
        <v>25</v>
      </c>
      <c r="K986" t="s">
        <v>26</v>
      </c>
      <c r="L986" t="s">
        <v>152</v>
      </c>
    </row>
    <row r="987" spans="1:12" x14ac:dyDescent="0.25">
      <c r="A987" t="s">
        <v>1157</v>
      </c>
      <c r="B987">
        <v>3747</v>
      </c>
      <c r="C987">
        <v>410</v>
      </c>
      <c r="D987">
        <v>5</v>
      </c>
      <c r="E987" t="s">
        <v>30</v>
      </c>
      <c r="F987" t="s">
        <v>57</v>
      </c>
      <c r="G987" t="s">
        <v>47</v>
      </c>
      <c r="H987" s="1">
        <v>45378</v>
      </c>
      <c r="I987" t="s">
        <v>1160</v>
      </c>
      <c r="J987" t="s">
        <v>98</v>
      </c>
      <c r="K987" t="s">
        <v>99</v>
      </c>
      <c r="L987" t="s">
        <v>338</v>
      </c>
    </row>
    <row r="988" spans="1:12" x14ac:dyDescent="0.25">
      <c r="A988" t="s">
        <v>1157</v>
      </c>
      <c r="B988">
        <v>3747</v>
      </c>
      <c r="C988">
        <v>410</v>
      </c>
      <c r="D988">
        <v>5</v>
      </c>
      <c r="E988" t="s">
        <v>30</v>
      </c>
      <c r="F988" t="s">
        <v>57</v>
      </c>
      <c r="G988" t="s">
        <v>47</v>
      </c>
      <c r="H988" s="1">
        <v>44974</v>
      </c>
      <c r="I988" t="s">
        <v>1161</v>
      </c>
      <c r="J988" t="s">
        <v>21</v>
      </c>
      <c r="K988" t="s">
        <v>22</v>
      </c>
      <c r="L988" t="s">
        <v>93</v>
      </c>
    </row>
    <row r="989" spans="1:12" x14ac:dyDescent="0.25">
      <c r="A989" t="s">
        <v>1157</v>
      </c>
      <c r="B989">
        <v>3747</v>
      </c>
      <c r="C989">
        <v>410</v>
      </c>
      <c r="D989">
        <v>5</v>
      </c>
      <c r="E989" t="s">
        <v>30</v>
      </c>
      <c r="F989" t="s">
        <v>57</v>
      </c>
      <c r="G989" t="s">
        <v>47</v>
      </c>
      <c r="H989" s="1">
        <v>44398</v>
      </c>
      <c r="I989" t="s">
        <v>1162</v>
      </c>
      <c r="J989" t="s">
        <v>42</v>
      </c>
      <c r="K989" t="s">
        <v>43</v>
      </c>
      <c r="L989" t="s">
        <v>27</v>
      </c>
    </row>
    <row r="990" spans="1:12" x14ac:dyDescent="0.25">
      <c r="A990" t="s">
        <v>1157</v>
      </c>
      <c r="B990">
        <v>3194</v>
      </c>
      <c r="C990">
        <v>534</v>
      </c>
      <c r="D990">
        <v>4</v>
      </c>
      <c r="E990" t="s">
        <v>30</v>
      </c>
      <c r="F990" t="s">
        <v>78</v>
      </c>
      <c r="G990" t="s">
        <v>15</v>
      </c>
      <c r="H990" s="1">
        <v>44024</v>
      </c>
      <c r="I990" t="s">
        <v>1158</v>
      </c>
      <c r="J990" t="s">
        <v>21</v>
      </c>
      <c r="K990" t="s">
        <v>63</v>
      </c>
      <c r="L990" t="s">
        <v>462</v>
      </c>
    </row>
    <row r="991" spans="1:12" x14ac:dyDescent="0.25">
      <c r="A991" t="s">
        <v>1157</v>
      </c>
      <c r="B991">
        <v>3194</v>
      </c>
      <c r="C991">
        <v>534</v>
      </c>
      <c r="D991">
        <v>4</v>
      </c>
      <c r="E991" t="s">
        <v>30</v>
      </c>
      <c r="F991" t="s">
        <v>78</v>
      </c>
      <c r="G991" t="s">
        <v>15</v>
      </c>
      <c r="H991" s="1">
        <v>44903</v>
      </c>
      <c r="I991" t="s">
        <v>1159</v>
      </c>
      <c r="J991" t="s">
        <v>25</v>
      </c>
      <c r="K991" t="s">
        <v>26</v>
      </c>
      <c r="L991" t="s">
        <v>152</v>
      </c>
    </row>
    <row r="992" spans="1:12" x14ac:dyDescent="0.25">
      <c r="A992" t="s">
        <v>1157</v>
      </c>
      <c r="B992">
        <v>3194</v>
      </c>
      <c r="C992">
        <v>534</v>
      </c>
      <c r="D992">
        <v>4</v>
      </c>
      <c r="E992" t="s">
        <v>30</v>
      </c>
      <c r="F992" t="s">
        <v>78</v>
      </c>
      <c r="G992" t="s">
        <v>15</v>
      </c>
      <c r="H992" s="1">
        <v>45378</v>
      </c>
      <c r="I992" t="s">
        <v>1160</v>
      </c>
      <c r="J992" t="s">
        <v>98</v>
      </c>
      <c r="K992" t="s">
        <v>99</v>
      </c>
      <c r="L992" t="s">
        <v>338</v>
      </c>
    </row>
    <row r="993" spans="1:12" x14ac:dyDescent="0.25">
      <c r="A993" t="s">
        <v>1157</v>
      </c>
      <c r="B993">
        <v>3194</v>
      </c>
      <c r="C993">
        <v>534</v>
      </c>
      <c r="D993">
        <v>4</v>
      </c>
      <c r="E993" t="s">
        <v>30</v>
      </c>
      <c r="F993" t="s">
        <v>78</v>
      </c>
      <c r="G993" t="s">
        <v>15</v>
      </c>
      <c r="H993" s="1">
        <v>44974</v>
      </c>
      <c r="I993" t="s">
        <v>1161</v>
      </c>
      <c r="J993" t="s">
        <v>21</v>
      </c>
      <c r="K993" t="s">
        <v>22</v>
      </c>
      <c r="L993" t="s">
        <v>93</v>
      </c>
    </row>
    <row r="994" spans="1:12" x14ac:dyDescent="0.25">
      <c r="A994" t="s">
        <v>1157</v>
      </c>
      <c r="B994">
        <v>3194</v>
      </c>
      <c r="C994">
        <v>534</v>
      </c>
      <c r="D994">
        <v>4</v>
      </c>
      <c r="E994" t="s">
        <v>30</v>
      </c>
      <c r="F994" t="s">
        <v>78</v>
      </c>
      <c r="G994" t="s">
        <v>15</v>
      </c>
      <c r="H994" s="1">
        <v>44398</v>
      </c>
      <c r="I994" t="s">
        <v>1162</v>
      </c>
      <c r="J994" t="s">
        <v>42</v>
      </c>
      <c r="K994" t="s">
        <v>43</v>
      </c>
      <c r="L994" t="s">
        <v>27</v>
      </c>
    </row>
    <row r="995" spans="1:12" x14ac:dyDescent="0.25">
      <c r="A995" t="s">
        <v>1163</v>
      </c>
      <c r="B995">
        <v>8548</v>
      </c>
      <c r="C995">
        <v>2305</v>
      </c>
      <c r="D995">
        <v>1</v>
      </c>
      <c r="E995" t="s">
        <v>30</v>
      </c>
      <c r="F995" t="s">
        <v>78</v>
      </c>
      <c r="G995" t="s">
        <v>65</v>
      </c>
      <c r="H995" s="1">
        <v>44864</v>
      </c>
      <c r="I995" t="s">
        <v>1164</v>
      </c>
      <c r="J995" t="s">
        <v>17</v>
      </c>
      <c r="K995" t="s">
        <v>150</v>
      </c>
      <c r="L995" t="s">
        <v>96</v>
      </c>
    </row>
    <row r="996" spans="1:12" x14ac:dyDescent="0.25">
      <c r="A996" t="s">
        <v>1165</v>
      </c>
      <c r="B996">
        <v>6089</v>
      </c>
      <c r="C996">
        <v>139</v>
      </c>
      <c r="D996">
        <v>19</v>
      </c>
      <c r="E996" t="s">
        <v>45</v>
      </c>
      <c r="F996" t="s">
        <v>46</v>
      </c>
      <c r="G996" t="s">
        <v>32</v>
      </c>
      <c r="H996" s="1">
        <v>44196</v>
      </c>
      <c r="I996" t="s">
        <v>1166</v>
      </c>
      <c r="J996" t="s">
        <v>98</v>
      </c>
      <c r="K996" t="s">
        <v>107</v>
      </c>
      <c r="L996" t="s">
        <v>287</v>
      </c>
    </row>
    <row r="997" spans="1:12" x14ac:dyDescent="0.25">
      <c r="A997" t="s">
        <v>1165</v>
      </c>
      <c r="B997">
        <v>6089</v>
      </c>
      <c r="C997">
        <v>139</v>
      </c>
      <c r="D997">
        <v>19</v>
      </c>
      <c r="E997" t="s">
        <v>45</v>
      </c>
      <c r="F997" t="s">
        <v>46</v>
      </c>
      <c r="G997" t="s">
        <v>32</v>
      </c>
      <c r="H997" s="1">
        <v>44666</v>
      </c>
      <c r="I997" t="s">
        <v>1167</v>
      </c>
      <c r="J997" t="s">
        <v>98</v>
      </c>
      <c r="K997" t="s">
        <v>117</v>
      </c>
      <c r="L997" t="s">
        <v>187</v>
      </c>
    </row>
    <row r="998" spans="1:12" x14ac:dyDescent="0.25">
      <c r="A998" t="s">
        <v>1165</v>
      </c>
      <c r="B998">
        <v>6089</v>
      </c>
      <c r="C998">
        <v>139</v>
      </c>
      <c r="D998">
        <v>19</v>
      </c>
      <c r="E998" t="s">
        <v>45</v>
      </c>
      <c r="F998" t="s">
        <v>46</v>
      </c>
      <c r="G998" t="s">
        <v>32</v>
      </c>
      <c r="H998" s="1">
        <v>45021</v>
      </c>
      <c r="I998" t="s">
        <v>1168</v>
      </c>
      <c r="J998" t="s">
        <v>21</v>
      </c>
      <c r="K998" t="s">
        <v>22</v>
      </c>
      <c r="L998" t="s">
        <v>145</v>
      </c>
    </row>
    <row r="999" spans="1:12" x14ac:dyDescent="0.25">
      <c r="A999" t="s">
        <v>1165</v>
      </c>
      <c r="B999">
        <v>2586</v>
      </c>
      <c r="C999">
        <v>800</v>
      </c>
      <c r="D999">
        <v>16</v>
      </c>
      <c r="E999" t="s">
        <v>45</v>
      </c>
      <c r="F999" t="s">
        <v>46</v>
      </c>
      <c r="G999" t="s">
        <v>15</v>
      </c>
      <c r="H999" s="1">
        <v>44196</v>
      </c>
      <c r="I999" t="s">
        <v>1166</v>
      </c>
      <c r="J999" t="s">
        <v>98</v>
      </c>
      <c r="K999" t="s">
        <v>107</v>
      </c>
      <c r="L999" t="s">
        <v>287</v>
      </c>
    </row>
    <row r="1000" spans="1:12" x14ac:dyDescent="0.25">
      <c r="A1000" t="s">
        <v>1165</v>
      </c>
      <c r="B1000">
        <v>2586</v>
      </c>
      <c r="C1000">
        <v>800</v>
      </c>
      <c r="D1000">
        <v>16</v>
      </c>
      <c r="E1000" t="s">
        <v>45</v>
      </c>
      <c r="F1000" t="s">
        <v>46</v>
      </c>
      <c r="G1000" t="s">
        <v>15</v>
      </c>
      <c r="H1000" s="1">
        <v>44666</v>
      </c>
      <c r="I1000" t="s">
        <v>1167</v>
      </c>
      <c r="J1000" t="s">
        <v>98</v>
      </c>
      <c r="K1000" t="s">
        <v>117</v>
      </c>
      <c r="L1000" t="s">
        <v>187</v>
      </c>
    </row>
    <row r="1001" spans="1:12" x14ac:dyDescent="0.25">
      <c r="A1001" t="s">
        <v>1165</v>
      </c>
      <c r="B1001">
        <v>2586</v>
      </c>
      <c r="C1001">
        <v>800</v>
      </c>
      <c r="D1001">
        <v>16</v>
      </c>
      <c r="E1001" t="s">
        <v>45</v>
      </c>
      <c r="F1001" t="s">
        <v>46</v>
      </c>
      <c r="G1001" t="s">
        <v>15</v>
      </c>
      <c r="H1001" s="1">
        <v>45021</v>
      </c>
      <c r="I1001" t="s">
        <v>1168</v>
      </c>
      <c r="J1001" t="s">
        <v>21</v>
      </c>
      <c r="K1001" t="s">
        <v>22</v>
      </c>
      <c r="L1001" t="s">
        <v>145</v>
      </c>
    </row>
    <row r="1002" spans="1:12" x14ac:dyDescent="0.25">
      <c r="A1002" t="s">
        <v>1165</v>
      </c>
      <c r="B1002">
        <v>3757</v>
      </c>
      <c r="C1002">
        <v>1626</v>
      </c>
      <c r="D1002">
        <v>9</v>
      </c>
      <c r="E1002" t="s">
        <v>30</v>
      </c>
      <c r="F1002" t="s">
        <v>64</v>
      </c>
      <c r="G1002" t="s">
        <v>15</v>
      </c>
      <c r="H1002" s="1">
        <v>44196</v>
      </c>
      <c r="I1002" t="s">
        <v>1166</v>
      </c>
      <c r="J1002" t="s">
        <v>98</v>
      </c>
      <c r="K1002" t="s">
        <v>107</v>
      </c>
      <c r="L1002" t="s">
        <v>287</v>
      </c>
    </row>
    <row r="1003" spans="1:12" x14ac:dyDescent="0.25">
      <c r="A1003" t="s">
        <v>1165</v>
      </c>
      <c r="B1003">
        <v>3757</v>
      </c>
      <c r="C1003">
        <v>1626</v>
      </c>
      <c r="D1003">
        <v>9</v>
      </c>
      <c r="E1003" t="s">
        <v>30</v>
      </c>
      <c r="F1003" t="s">
        <v>64</v>
      </c>
      <c r="G1003" t="s">
        <v>15</v>
      </c>
      <c r="H1003" s="1">
        <v>44666</v>
      </c>
      <c r="I1003" t="s">
        <v>1167</v>
      </c>
      <c r="J1003" t="s">
        <v>98</v>
      </c>
      <c r="K1003" t="s">
        <v>117</v>
      </c>
      <c r="L1003" t="s">
        <v>187</v>
      </c>
    </row>
    <row r="1004" spans="1:12" x14ac:dyDescent="0.25">
      <c r="A1004" t="s">
        <v>1165</v>
      </c>
      <c r="B1004">
        <v>3757</v>
      </c>
      <c r="C1004">
        <v>1626</v>
      </c>
      <c r="D1004">
        <v>9</v>
      </c>
      <c r="E1004" t="s">
        <v>30</v>
      </c>
      <c r="F1004" t="s">
        <v>64</v>
      </c>
      <c r="G1004" t="s">
        <v>15</v>
      </c>
      <c r="H1004" s="1">
        <v>45021</v>
      </c>
      <c r="I1004" t="s">
        <v>1168</v>
      </c>
      <c r="J1004" t="s">
        <v>21</v>
      </c>
      <c r="K1004" t="s">
        <v>22</v>
      </c>
      <c r="L1004" t="s">
        <v>145</v>
      </c>
    </row>
    <row r="1005" spans="1:12" x14ac:dyDescent="0.25">
      <c r="A1005" t="s">
        <v>1169</v>
      </c>
      <c r="B1005">
        <v>5193</v>
      </c>
      <c r="C1005">
        <v>2530</v>
      </c>
      <c r="D1005">
        <v>5</v>
      </c>
      <c r="E1005" t="s">
        <v>45</v>
      </c>
      <c r="F1005" t="s">
        <v>60</v>
      </c>
      <c r="G1005" t="s">
        <v>32</v>
      </c>
      <c r="H1005" s="1">
        <v>44498</v>
      </c>
      <c r="I1005" t="s">
        <v>1170</v>
      </c>
      <c r="J1005" t="s">
        <v>42</v>
      </c>
      <c r="K1005" t="s">
        <v>75</v>
      </c>
      <c r="L1005" t="s">
        <v>37</v>
      </c>
    </row>
    <row r="1006" spans="1:12" x14ac:dyDescent="0.25">
      <c r="A1006" t="s">
        <v>1169</v>
      </c>
      <c r="B1006">
        <v>5193</v>
      </c>
      <c r="C1006">
        <v>2530</v>
      </c>
      <c r="D1006">
        <v>5</v>
      </c>
      <c r="E1006" t="s">
        <v>45</v>
      </c>
      <c r="F1006" t="s">
        <v>60</v>
      </c>
      <c r="G1006" t="s">
        <v>32</v>
      </c>
      <c r="H1006" s="1">
        <v>45655</v>
      </c>
      <c r="I1006" t="s">
        <v>1171</v>
      </c>
      <c r="J1006" t="s">
        <v>17</v>
      </c>
      <c r="K1006" t="s">
        <v>18</v>
      </c>
      <c r="L1006" t="s">
        <v>23</v>
      </c>
    </row>
    <row r="1007" spans="1:12" x14ac:dyDescent="0.25">
      <c r="A1007" t="s">
        <v>1172</v>
      </c>
      <c r="B1007">
        <v>7493</v>
      </c>
      <c r="C1007">
        <v>96</v>
      </c>
      <c r="D1007">
        <v>3</v>
      </c>
      <c r="E1007" t="s">
        <v>13</v>
      </c>
      <c r="F1007" t="s">
        <v>14</v>
      </c>
      <c r="G1007" t="s">
        <v>15</v>
      </c>
      <c r="H1007" s="1">
        <v>44054</v>
      </c>
      <c r="I1007" t="s">
        <v>1173</v>
      </c>
      <c r="J1007" t="s">
        <v>98</v>
      </c>
      <c r="K1007" t="s">
        <v>117</v>
      </c>
      <c r="L1007" t="s">
        <v>185</v>
      </c>
    </row>
    <row r="1008" spans="1:12" x14ac:dyDescent="0.25">
      <c r="A1008" t="s">
        <v>1174</v>
      </c>
      <c r="B1008">
        <v>2062</v>
      </c>
      <c r="C1008">
        <v>848</v>
      </c>
      <c r="D1008">
        <v>6</v>
      </c>
      <c r="E1008" t="s">
        <v>30</v>
      </c>
      <c r="F1008" t="s">
        <v>57</v>
      </c>
      <c r="G1008" t="s">
        <v>47</v>
      </c>
      <c r="H1008" s="1">
        <v>45355</v>
      </c>
      <c r="I1008" t="s">
        <v>1175</v>
      </c>
      <c r="J1008" t="s">
        <v>17</v>
      </c>
      <c r="K1008" t="s">
        <v>150</v>
      </c>
      <c r="L1008" t="s">
        <v>338</v>
      </c>
    </row>
    <row r="1009" spans="1:12" x14ac:dyDescent="0.25">
      <c r="A1009" t="s">
        <v>1176</v>
      </c>
      <c r="B1009">
        <v>7163</v>
      </c>
      <c r="C1009">
        <v>1536</v>
      </c>
      <c r="D1009">
        <v>1</v>
      </c>
      <c r="E1009" t="s">
        <v>13</v>
      </c>
      <c r="F1009" t="s">
        <v>82</v>
      </c>
      <c r="G1009" t="s">
        <v>40</v>
      </c>
      <c r="H1009" s="1">
        <v>45216</v>
      </c>
      <c r="I1009" t="s">
        <v>1177</v>
      </c>
      <c r="J1009" t="s">
        <v>42</v>
      </c>
      <c r="K1009" t="s">
        <v>75</v>
      </c>
      <c r="L1009" t="s">
        <v>442</v>
      </c>
    </row>
    <row r="1010" spans="1:12" x14ac:dyDescent="0.25">
      <c r="A1010" t="s">
        <v>1178</v>
      </c>
      <c r="B1010">
        <v>4026</v>
      </c>
      <c r="C1010">
        <v>163</v>
      </c>
      <c r="D1010">
        <v>6</v>
      </c>
      <c r="E1010" t="s">
        <v>13</v>
      </c>
      <c r="F1010" t="s">
        <v>82</v>
      </c>
      <c r="G1010" t="s">
        <v>65</v>
      </c>
      <c r="H1010" s="1">
        <v>45135</v>
      </c>
      <c r="I1010" t="s">
        <v>1179</v>
      </c>
      <c r="J1010" t="s">
        <v>25</v>
      </c>
      <c r="K1010" t="s">
        <v>51</v>
      </c>
      <c r="L1010" t="s">
        <v>105</v>
      </c>
    </row>
    <row r="1011" spans="1:12" x14ac:dyDescent="0.25">
      <c r="A1011" t="s">
        <v>1180</v>
      </c>
      <c r="B1011">
        <v>1894</v>
      </c>
      <c r="C1011">
        <v>275</v>
      </c>
      <c r="D1011">
        <v>5</v>
      </c>
      <c r="E1011" t="s">
        <v>45</v>
      </c>
      <c r="F1011" t="s">
        <v>49</v>
      </c>
      <c r="G1011" t="s">
        <v>47</v>
      </c>
      <c r="H1011" s="1">
        <v>44527</v>
      </c>
      <c r="I1011" t="s">
        <v>1181</v>
      </c>
      <c r="J1011" t="s">
        <v>17</v>
      </c>
      <c r="K1011" t="s">
        <v>18</v>
      </c>
      <c r="L1011" t="s">
        <v>175</v>
      </c>
    </row>
    <row r="1012" spans="1:12" x14ac:dyDescent="0.25">
      <c r="A1012" t="s">
        <v>1180</v>
      </c>
      <c r="B1012">
        <v>7144</v>
      </c>
      <c r="C1012">
        <v>192</v>
      </c>
      <c r="D1012">
        <v>13</v>
      </c>
      <c r="E1012" t="s">
        <v>13</v>
      </c>
      <c r="F1012" t="s">
        <v>14</v>
      </c>
      <c r="G1012" t="s">
        <v>47</v>
      </c>
      <c r="H1012" s="1">
        <v>44527</v>
      </c>
      <c r="I1012" t="s">
        <v>1181</v>
      </c>
      <c r="J1012" t="s">
        <v>17</v>
      </c>
      <c r="K1012" t="s">
        <v>18</v>
      </c>
      <c r="L1012" t="s">
        <v>175</v>
      </c>
    </row>
    <row r="1013" spans="1:12" x14ac:dyDescent="0.25">
      <c r="A1013" t="s">
        <v>1182</v>
      </c>
      <c r="B1013">
        <v>3482</v>
      </c>
      <c r="C1013">
        <v>1554</v>
      </c>
      <c r="D1013">
        <v>15</v>
      </c>
      <c r="E1013" t="s">
        <v>13</v>
      </c>
      <c r="F1013" t="s">
        <v>39</v>
      </c>
      <c r="G1013" t="s">
        <v>32</v>
      </c>
      <c r="H1013" s="1">
        <v>44083</v>
      </c>
      <c r="I1013" t="s">
        <v>1183</v>
      </c>
      <c r="J1013" t="s">
        <v>98</v>
      </c>
      <c r="K1013" t="s">
        <v>99</v>
      </c>
      <c r="L1013" t="s">
        <v>389</v>
      </c>
    </row>
    <row r="1014" spans="1:12" x14ac:dyDescent="0.25">
      <c r="A1014" t="s">
        <v>1184</v>
      </c>
      <c r="B1014">
        <v>4172</v>
      </c>
      <c r="C1014">
        <v>235</v>
      </c>
      <c r="D1014">
        <v>5</v>
      </c>
      <c r="E1014" t="s">
        <v>30</v>
      </c>
      <c r="F1014" t="s">
        <v>64</v>
      </c>
      <c r="G1014" t="s">
        <v>40</v>
      </c>
      <c r="H1014" s="1">
        <v>44349</v>
      </c>
      <c r="I1014" t="s">
        <v>1185</v>
      </c>
      <c r="J1014" t="s">
        <v>98</v>
      </c>
      <c r="K1014" t="s">
        <v>117</v>
      </c>
      <c r="L1014" t="s">
        <v>125</v>
      </c>
    </row>
    <row r="1015" spans="1:12" x14ac:dyDescent="0.25">
      <c r="A1015" t="s">
        <v>1184</v>
      </c>
      <c r="B1015">
        <v>4172</v>
      </c>
      <c r="C1015">
        <v>235</v>
      </c>
      <c r="D1015">
        <v>5</v>
      </c>
      <c r="E1015" t="s">
        <v>30</v>
      </c>
      <c r="F1015" t="s">
        <v>64</v>
      </c>
      <c r="G1015" t="s">
        <v>40</v>
      </c>
      <c r="H1015" s="1">
        <v>44795</v>
      </c>
      <c r="I1015" t="s">
        <v>1186</v>
      </c>
      <c r="J1015" t="s">
        <v>17</v>
      </c>
      <c r="K1015" t="s">
        <v>34</v>
      </c>
      <c r="L1015" t="s">
        <v>209</v>
      </c>
    </row>
    <row r="1016" spans="1:12" x14ac:dyDescent="0.25">
      <c r="A1016" t="s">
        <v>1184</v>
      </c>
      <c r="B1016">
        <v>4172</v>
      </c>
      <c r="C1016">
        <v>235</v>
      </c>
      <c r="D1016">
        <v>5</v>
      </c>
      <c r="E1016" t="s">
        <v>30</v>
      </c>
      <c r="F1016" t="s">
        <v>64</v>
      </c>
      <c r="G1016" t="s">
        <v>40</v>
      </c>
      <c r="H1016" s="1">
        <v>45398</v>
      </c>
      <c r="I1016" t="s">
        <v>1187</v>
      </c>
      <c r="J1016" t="s">
        <v>21</v>
      </c>
      <c r="K1016" t="s">
        <v>63</v>
      </c>
      <c r="L1016" t="s">
        <v>235</v>
      </c>
    </row>
    <row r="1017" spans="1:12" x14ac:dyDescent="0.25">
      <c r="A1017" t="s">
        <v>1188</v>
      </c>
      <c r="B1017">
        <v>6265</v>
      </c>
      <c r="C1017">
        <v>155</v>
      </c>
      <c r="D1017">
        <v>8</v>
      </c>
      <c r="E1017" t="s">
        <v>45</v>
      </c>
      <c r="F1017" t="s">
        <v>60</v>
      </c>
      <c r="G1017" t="s">
        <v>65</v>
      </c>
      <c r="H1017" s="1">
        <v>44796</v>
      </c>
      <c r="I1017" t="s">
        <v>1189</v>
      </c>
      <c r="J1017" t="s">
        <v>98</v>
      </c>
      <c r="K1017" t="s">
        <v>107</v>
      </c>
      <c r="L1017" t="s">
        <v>209</v>
      </c>
    </row>
    <row r="1018" spans="1:12" x14ac:dyDescent="0.25">
      <c r="A1018" t="s">
        <v>1188</v>
      </c>
      <c r="B1018">
        <v>6265</v>
      </c>
      <c r="C1018">
        <v>155</v>
      </c>
      <c r="D1018">
        <v>8</v>
      </c>
      <c r="E1018" t="s">
        <v>45</v>
      </c>
      <c r="F1018" t="s">
        <v>60</v>
      </c>
      <c r="G1018" t="s">
        <v>65</v>
      </c>
      <c r="H1018" s="1">
        <v>44267</v>
      </c>
      <c r="I1018" t="s">
        <v>1190</v>
      </c>
      <c r="J1018" t="s">
        <v>98</v>
      </c>
      <c r="K1018" t="s">
        <v>117</v>
      </c>
      <c r="L1018" t="s">
        <v>167</v>
      </c>
    </row>
    <row r="1019" spans="1:12" x14ac:dyDescent="0.25">
      <c r="A1019" t="s">
        <v>1191</v>
      </c>
      <c r="B1019">
        <v>2931</v>
      </c>
      <c r="C1019">
        <v>212</v>
      </c>
      <c r="D1019">
        <v>7</v>
      </c>
      <c r="E1019" t="s">
        <v>13</v>
      </c>
      <c r="F1019" t="s">
        <v>14</v>
      </c>
      <c r="G1019" t="s">
        <v>47</v>
      </c>
      <c r="H1019" s="1">
        <v>45469</v>
      </c>
      <c r="I1019" t="s">
        <v>1192</v>
      </c>
      <c r="J1019" t="s">
        <v>21</v>
      </c>
      <c r="K1019" t="s">
        <v>172</v>
      </c>
      <c r="L1019" t="s">
        <v>262</v>
      </c>
    </row>
    <row r="1020" spans="1:12" x14ac:dyDescent="0.25">
      <c r="A1020" t="s">
        <v>1191</v>
      </c>
      <c r="B1020">
        <v>2931</v>
      </c>
      <c r="C1020">
        <v>212</v>
      </c>
      <c r="D1020">
        <v>7</v>
      </c>
      <c r="E1020" t="s">
        <v>13</v>
      </c>
      <c r="F1020" t="s">
        <v>14</v>
      </c>
      <c r="G1020" t="s">
        <v>47</v>
      </c>
      <c r="H1020" s="1">
        <v>45268</v>
      </c>
      <c r="I1020" t="s">
        <v>1193</v>
      </c>
      <c r="J1020" t="s">
        <v>17</v>
      </c>
      <c r="K1020" t="s">
        <v>150</v>
      </c>
      <c r="L1020" t="s">
        <v>102</v>
      </c>
    </row>
    <row r="1021" spans="1:12" x14ac:dyDescent="0.25">
      <c r="A1021" t="s">
        <v>1194</v>
      </c>
      <c r="B1021">
        <v>1146</v>
      </c>
      <c r="C1021">
        <v>188</v>
      </c>
      <c r="D1021">
        <v>9</v>
      </c>
      <c r="E1021" t="s">
        <v>45</v>
      </c>
      <c r="F1021" t="s">
        <v>49</v>
      </c>
      <c r="G1021" t="s">
        <v>32</v>
      </c>
      <c r="H1021" s="1">
        <v>45623</v>
      </c>
      <c r="I1021" t="s">
        <v>1195</v>
      </c>
      <c r="J1021" t="s">
        <v>17</v>
      </c>
      <c r="K1021" t="s">
        <v>150</v>
      </c>
      <c r="L1021" t="s">
        <v>255</v>
      </c>
    </row>
    <row r="1022" spans="1:12" x14ac:dyDescent="0.25">
      <c r="A1022" t="s">
        <v>1196</v>
      </c>
      <c r="B1022">
        <v>9215</v>
      </c>
      <c r="C1022">
        <v>767</v>
      </c>
      <c r="D1022">
        <v>13</v>
      </c>
      <c r="E1022" t="s">
        <v>13</v>
      </c>
      <c r="F1022" t="s">
        <v>28</v>
      </c>
      <c r="G1022" t="s">
        <v>65</v>
      </c>
      <c r="H1022" s="1">
        <v>44571</v>
      </c>
      <c r="I1022" t="s">
        <v>1197</v>
      </c>
      <c r="J1022" t="s">
        <v>17</v>
      </c>
      <c r="K1022" t="s">
        <v>150</v>
      </c>
      <c r="L1022" t="s">
        <v>87</v>
      </c>
    </row>
    <row r="1023" spans="1:12" x14ac:dyDescent="0.25">
      <c r="A1023" t="s">
        <v>1196</v>
      </c>
      <c r="B1023">
        <v>9215</v>
      </c>
      <c r="C1023">
        <v>767</v>
      </c>
      <c r="D1023">
        <v>13</v>
      </c>
      <c r="E1023" t="s">
        <v>13</v>
      </c>
      <c r="F1023" t="s">
        <v>28</v>
      </c>
      <c r="G1023" t="s">
        <v>65</v>
      </c>
      <c r="H1023" s="1">
        <v>44501</v>
      </c>
      <c r="I1023" t="s">
        <v>1198</v>
      </c>
      <c r="J1023" t="s">
        <v>42</v>
      </c>
      <c r="K1023" t="s">
        <v>92</v>
      </c>
      <c r="L1023" t="s">
        <v>175</v>
      </c>
    </row>
    <row r="1024" spans="1:12" x14ac:dyDescent="0.25">
      <c r="A1024" t="s">
        <v>1199</v>
      </c>
      <c r="B1024">
        <v>7895</v>
      </c>
      <c r="C1024">
        <v>1005</v>
      </c>
      <c r="D1024">
        <v>1</v>
      </c>
      <c r="E1024" t="s">
        <v>45</v>
      </c>
      <c r="F1024" t="s">
        <v>49</v>
      </c>
      <c r="G1024" t="s">
        <v>47</v>
      </c>
      <c r="H1024" s="1">
        <v>45227</v>
      </c>
      <c r="I1024" t="s">
        <v>1200</v>
      </c>
      <c r="J1024" t="s">
        <v>98</v>
      </c>
      <c r="K1024" t="s">
        <v>107</v>
      </c>
      <c r="L1024" t="s">
        <v>442</v>
      </c>
    </row>
    <row r="1025" spans="1:12" x14ac:dyDescent="0.25">
      <c r="A1025" t="s">
        <v>1199</v>
      </c>
      <c r="B1025">
        <v>7895</v>
      </c>
      <c r="C1025">
        <v>1005</v>
      </c>
      <c r="D1025">
        <v>1</v>
      </c>
      <c r="E1025" t="s">
        <v>45</v>
      </c>
      <c r="F1025" t="s">
        <v>49</v>
      </c>
      <c r="G1025" t="s">
        <v>47</v>
      </c>
      <c r="H1025" s="1">
        <v>45717</v>
      </c>
      <c r="I1025" t="s">
        <v>1201</v>
      </c>
      <c r="J1025" t="s">
        <v>42</v>
      </c>
      <c r="K1025" t="s">
        <v>75</v>
      </c>
      <c r="L1025" t="s">
        <v>157</v>
      </c>
    </row>
    <row r="1026" spans="1:12" x14ac:dyDescent="0.25">
      <c r="A1026" t="s">
        <v>1199</v>
      </c>
      <c r="B1026">
        <v>2740</v>
      </c>
      <c r="C1026">
        <v>558</v>
      </c>
      <c r="D1026">
        <v>8</v>
      </c>
      <c r="E1026" t="s">
        <v>30</v>
      </c>
      <c r="F1026" t="s">
        <v>31</v>
      </c>
      <c r="G1026" t="s">
        <v>15</v>
      </c>
      <c r="H1026" s="1">
        <v>45227</v>
      </c>
      <c r="I1026" t="s">
        <v>1200</v>
      </c>
      <c r="J1026" t="s">
        <v>98</v>
      </c>
      <c r="K1026" t="s">
        <v>107</v>
      </c>
      <c r="L1026" t="s">
        <v>442</v>
      </c>
    </row>
    <row r="1027" spans="1:12" x14ac:dyDescent="0.25">
      <c r="A1027" t="s">
        <v>1199</v>
      </c>
      <c r="B1027">
        <v>2740</v>
      </c>
      <c r="C1027">
        <v>558</v>
      </c>
      <c r="D1027">
        <v>8</v>
      </c>
      <c r="E1027" t="s">
        <v>30</v>
      </c>
      <c r="F1027" t="s">
        <v>31</v>
      </c>
      <c r="G1027" t="s">
        <v>15</v>
      </c>
      <c r="H1027" s="1">
        <v>45717</v>
      </c>
      <c r="I1027" t="s">
        <v>1201</v>
      </c>
      <c r="J1027" t="s">
        <v>42</v>
      </c>
      <c r="K1027" t="s">
        <v>75</v>
      </c>
      <c r="L1027" t="s">
        <v>157</v>
      </c>
    </row>
    <row r="1028" spans="1:12" x14ac:dyDescent="0.25">
      <c r="A1028" t="s">
        <v>1202</v>
      </c>
      <c r="B1028">
        <v>5338</v>
      </c>
      <c r="C1028">
        <v>1354</v>
      </c>
      <c r="D1028">
        <v>16</v>
      </c>
      <c r="E1028" t="s">
        <v>30</v>
      </c>
      <c r="F1028" t="s">
        <v>57</v>
      </c>
      <c r="G1028" t="s">
        <v>15</v>
      </c>
      <c r="H1028" s="1">
        <v>45505</v>
      </c>
      <c r="I1028" t="s">
        <v>1203</v>
      </c>
      <c r="J1028" t="s">
        <v>21</v>
      </c>
      <c r="K1028" t="s">
        <v>172</v>
      </c>
      <c r="L1028" t="s">
        <v>114</v>
      </c>
    </row>
    <row r="1029" spans="1:12" x14ac:dyDescent="0.25">
      <c r="A1029" t="s">
        <v>1202</v>
      </c>
      <c r="B1029">
        <v>5338</v>
      </c>
      <c r="C1029">
        <v>1354</v>
      </c>
      <c r="D1029">
        <v>16</v>
      </c>
      <c r="E1029" t="s">
        <v>30</v>
      </c>
      <c r="F1029" t="s">
        <v>57</v>
      </c>
      <c r="G1029" t="s">
        <v>15</v>
      </c>
      <c r="H1029" s="1">
        <v>45084</v>
      </c>
      <c r="I1029" t="s">
        <v>1204</v>
      </c>
      <c r="J1029" t="s">
        <v>25</v>
      </c>
      <c r="K1029" t="s">
        <v>26</v>
      </c>
      <c r="L1029" t="s">
        <v>19</v>
      </c>
    </row>
    <row r="1030" spans="1:12" x14ac:dyDescent="0.25">
      <c r="A1030" t="s">
        <v>1202</v>
      </c>
      <c r="B1030">
        <v>5338</v>
      </c>
      <c r="C1030">
        <v>1354</v>
      </c>
      <c r="D1030">
        <v>16</v>
      </c>
      <c r="E1030" t="s">
        <v>30</v>
      </c>
      <c r="F1030" t="s">
        <v>57</v>
      </c>
      <c r="G1030" t="s">
        <v>15</v>
      </c>
      <c r="H1030" s="1">
        <v>45586</v>
      </c>
      <c r="I1030" t="s">
        <v>1205</v>
      </c>
      <c r="J1030" t="s">
        <v>17</v>
      </c>
      <c r="K1030" t="s">
        <v>34</v>
      </c>
      <c r="L1030" t="s">
        <v>360</v>
      </c>
    </row>
    <row r="1031" spans="1:12" x14ac:dyDescent="0.25">
      <c r="A1031" t="s">
        <v>1202</v>
      </c>
      <c r="B1031">
        <v>5338</v>
      </c>
      <c r="C1031">
        <v>1354</v>
      </c>
      <c r="D1031">
        <v>16</v>
      </c>
      <c r="E1031" t="s">
        <v>30</v>
      </c>
      <c r="F1031" t="s">
        <v>57</v>
      </c>
      <c r="G1031" t="s">
        <v>15</v>
      </c>
      <c r="H1031" s="1">
        <v>44200</v>
      </c>
      <c r="I1031" t="s">
        <v>1206</v>
      </c>
      <c r="J1031" t="s">
        <v>25</v>
      </c>
      <c r="K1031" t="s">
        <v>26</v>
      </c>
      <c r="L1031" t="s">
        <v>276</v>
      </c>
    </row>
    <row r="1032" spans="1:12" x14ac:dyDescent="0.25">
      <c r="A1032" t="s">
        <v>1207</v>
      </c>
      <c r="B1032">
        <v>3095</v>
      </c>
      <c r="C1032">
        <v>941</v>
      </c>
      <c r="D1032">
        <v>2</v>
      </c>
      <c r="E1032" t="s">
        <v>30</v>
      </c>
      <c r="F1032" t="s">
        <v>31</v>
      </c>
      <c r="G1032" t="s">
        <v>40</v>
      </c>
      <c r="H1032" s="1">
        <v>44670</v>
      </c>
      <c r="I1032" t="s">
        <v>1208</v>
      </c>
      <c r="J1032" t="s">
        <v>98</v>
      </c>
      <c r="K1032" t="s">
        <v>117</v>
      </c>
      <c r="L1032" t="s">
        <v>187</v>
      </c>
    </row>
    <row r="1033" spans="1:12" x14ac:dyDescent="0.25">
      <c r="A1033" t="s">
        <v>1207</v>
      </c>
      <c r="B1033">
        <v>3095</v>
      </c>
      <c r="C1033">
        <v>941</v>
      </c>
      <c r="D1033">
        <v>2</v>
      </c>
      <c r="E1033" t="s">
        <v>30</v>
      </c>
      <c r="F1033" t="s">
        <v>31</v>
      </c>
      <c r="G1033" t="s">
        <v>40</v>
      </c>
      <c r="H1033" s="1">
        <v>44784</v>
      </c>
      <c r="I1033" t="s">
        <v>1209</v>
      </c>
      <c r="J1033" t="s">
        <v>71</v>
      </c>
      <c r="K1033" t="s">
        <v>86</v>
      </c>
      <c r="L1033" t="s">
        <v>209</v>
      </c>
    </row>
    <row r="1034" spans="1:12" x14ac:dyDescent="0.25">
      <c r="A1034" t="s">
        <v>1210</v>
      </c>
      <c r="B1034">
        <v>6017</v>
      </c>
      <c r="C1034">
        <v>2230</v>
      </c>
      <c r="D1034">
        <v>13</v>
      </c>
      <c r="E1034" t="s">
        <v>13</v>
      </c>
      <c r="F1034" t="s">
        <v>28</v>
      </c>
      <c r="G1034" t="s">
        <v>32</v>
      </c>
      <c r="H1034" s="1">
        <v>45142</v>
      </c>
      <c r="I1034" t="s">
        <v>1211</v>
      </c>
      <c r="J1034" t="s">
        <v>21</v>
      </c>
      <c r="K1034" t="s">
        <v>172</v>
      </c>
      <c r="L1034" t="s">
        <v>121</v>
      </c>
    </row>
    <row r="1035" spans="1:12" x14ac:dyDescent="0.25">
      <c r="A1035" t="s">
        <v>1212</v>
      </c>
      <c r="B1035">
        <v>4904</v>
      </c>
      <c r="C1035">
        <v>469</v>
      </c>
      <c r="D1035">
        <v>2</v>
      </c>
      <c r="E1035" t="s">
        <v>30</v>
      </c>
      <c r="F1035" t="s">
        <v>31</v>
      </c>
      <c r="G1035" t="s">
        <v>32</v>
      </c>
      <c r="H1035" s="1">
        <v>43946</v>
      </c>
      <c r="I1035" t="s">
        <v>1213</v>
      </c>
      <c r="J1035" t="s">
        <v>71</v>
      </c>
      <c r="K1035" t="s">
        <v>72</v>
      </c>
      <c r="L1035" t="s">
        <v>162</v>
      </c>
    </row>
    <row r="1036" spans="1:12" x14ac:dyDescent="0.25">
      <c r="A1036" t="s">
        <v>1212</v>
      </c>
      <c r="B1036">
        <v>3080</v>
      </c>
      <c r="C1036">
        <v>737</v>
      </c>
      <c r="D1036">
        <v>6</v>
      </c>
      <c r="E1036" t="s">
        <v>30</v>
      </c>
      <c r="F1036" t="s">
        <v>78</v>
      </c>
      <c r="G1036" t="s">
        <v>15</v>
      </c>
      <c r="H1036" s="1">
        <v>43946</v>
      </c>
      <c r="I1036" t="s">
        <v>1213</v>
      </c>
      <c r="J1036" t="s">
        <v>71</v>
      </c>
      <c r="K1036" t="s">
        <v>72</v>
      </c>
      <c r="L1036" t="s">
        <v>162</v>
      </c>
    </row>
    <row r="1037" spans="1:12" x14ac:dyDescent="0.25">
      <c r="A1037" t="s">
        <v>1214</v>
      </c>
      <c r="B1037">
        <v>1992</v>
      </c>
      <c r="C1037">
        <v>355</v>
      </c>
      <c r="D1037">
        <v>2</v>
      </c>
      <c r="E1037" t="s">
        <v>13</v>
      </c>
      <c r="F1037" t="s">
        <v>82</v>
      </c>
      <c r="G1037" t="s">
        <v>65</v>
      </c>
      <c r="H1037" s="1">
        <v>45640</v>
      </c>
      <c r="I1037" t="s">
        <v>1215</v>
      </c>
      <c r="J1037" t="s">
        <v>17</v>
      </c>
      <c r="K1037" t="s">
        <v>150</v>
      </c>
      <c r="L1037" t="s">
        <v>23</v>
      </c>
    </row>
    <row r="1038" spans="1:12" x14ac:dyDescent="0.25">
      <c r="A1038" t="s">
        <v>1216</v>
      </c>
      <c r="B1038">
        <v>5346</v>
      </c>
      <c r="C1038">
        <v>1246</v>
      </c>
      <c r="D1038">
        <v>17</v>
      </c>
      <c r="E1038" t="s">
        <v>45</v>
      </c>
      <c r="F1038" t="s">
        <v>60</v>
      </c>
      <c r="G1038" t="s">
        <v>40</v>
      </c>
      <c r="H1038" s="1">
        <v>44767</v>
      </c>
      <c r="I1038" t="s">
        <v>1217</v>
      </c>
      <c r="J1038" t="s">
        <v>17</v>
      </c>
      <c r="K1038" t="s">
        <v>34</v>
      </c>
      <c r="L1038" t="s">
        <v>418</v>
      </c>
    </row>
    <row r="1039" spans="1:12" x14ac:dyDescent="0.25">
      <c r="A1039" t="s">
        <v>1216</v>
      </c>
      <c r="B1039">
        <v>5346</v>
      </c>
      <c r="C1039">
        <v>1246</v>
      </c>
      <c r="D1039">
        <v>17</v>
      </c>
      <c r="E1039" t="s">
        <v>45</v>
      </c>
      <c r="F1039" t="s">
        <v>60</v>
      </c>
      <c r="G1039" t="s">
        <v>40</v>
      </c>
      <c r="H1039" s="1">
        <v>44688</v>
      </c>
      <c r="I1039" t="s">
        <v>1218</v>
      </c>
      <c r="J1039" t="s">
        <v>17</v>
      </c>
      <c r="K1039" t="s">
        <v>18</v>
      </c>
      <c r="L1039" t="s">
        <v>180</v>
      </c>
    </row>
    <row r="1040" spans="1:12" x14ac:dyDescent="0.25">
      <c r="A1040" t="s">
        <v>1219</v>
      </c>
      <c r="B1040">
        <v>8422</v>
      </c>
      <c r="C1040">
        <v>893</v>
      </c>
      <c r="D1040">
        <v>18</v>
      </c>
      <c r="E1040" t="s">
        <v>13</v>
      </c>
      <c r="F1040" t="s">
        <v>28</v>
      </c>
      <c r="G1040" t="s">
        <v>32</v>
      </c>
      <c r="H1040" s="1">
        <v>44784</v>
      </c>
      <c r="I1040" t="s">
        <v>1220</v>
      </c>
      <c r="J1040" t="s">
        <v>42</v>
      </c>
      <c r="K1040" t="s">
        <v>92</v>
      </c>
      <c r="L1040" t="s">
        <v>209</v>
      </c>
    </row>
    <row r="1041" spans="1:12" x14ac:dyDescent="0.25">
      <c r="A1041" t="s">
        <v>1219</v>
      </c>
      <c r="B1041">
        <v>8422</v>
      </c>
      <c r="C1041">
        <v>893</v>
      </c>
      <c r="D1041">
        <v>18</v>
      </c>
      <c r="E1041" t="s">
        <v>13</v>
      </c>
      <c r="F1041" t="s">
        <v>28</v>
      </c>
      <c r="G1041" t="s">
        <v>32</v>
      </c>
      <c r="H1041" s="1">
        <v>44785</v>
      </c>
      <c r="I1041" t="s">
        <v>1221</v>
      </c>
      <c r="J1041" t="s">
        <v>98</v>
      </c>
      <c r="K1041" t="s">
        <v>99</v>
      </c>
      <c r="L1041" t="s">
        <v>209</v>
      </c>
    </row>
    <row r="1042" spans="1:12" x14ac:dyDescent="0.25">
      <c r="A1042" t="s">
        <v>1219</v>
      </c>
      <c r="B1042">
        <v>6105</v>
      </c>
      <c r="C1042">
        <v>1447</v>
      </c>
      <c r="D1042">
        <v>8</v>
      </c>
      <c r="E1042" t="s">
        <v>45</v>
      </c>
      <c r="F1042" t="s">
        <v>109</v>
      </c>
      <c r="G1042" t="s">
        <v>47</v>
      </c>
      <c r="H1042" s="1">
        <v>44784</v>
      </c>
      <c r="I1042" t="s">
        <v>1220</v>
      </c>
      <c r="J1042" t="s">
        <v>42</v>
      </c>
      <c r="K1042" t="s">
        <v>92</v>
      </c>
      <c r="L1042" t="s">
        <v>209</v>
      </c>
    </row>
    <row r="1043" spans="1:12" x14ac:dyDescent="0.25">
      <c r="A1043" t="s">
        <v>1219</v>
      </c>
      <c r="B1043">
        <v>6105</v>
      </c>
      <c r="C1043">
        <v>1447</v>
      </c>
      <c r="D1043">
        <v>8</v>
      </c>
      <c r="E1043" t="s">
        <v>45</v>
      </c>
      <c r="F1043" t="s">
        <v>109</v>
      </c>
      <c r="G1043" t="s">
        <v>47</v>
      </c>
      <c r="H1043" s="1">
        <v>44785</v>
      </c>
      <c r="I1043" t="s">
        <v>1221</v>
      </c>
      <c r="J1043" t="s">
        <v>98</v>
      </c>
      <c r="K1043" t="s">
        <v>99</v>
      </c>
      <c r="L1043" t="s">
        <v>209</v>
      </c>
    </row>
    <row r="1044" spans="1:12" x14ac:dyDescent="0.25">
      <c r="A1044" t="s">
        <v>1222</v>
      </c>
      <c r="B1044">
        <v>670</v>
      </c>
      <c r="C1044">
        <v>85</v>
      </c>
      <c r="D1044">
        <v>9</v>
      </c>
      <c r="E1044" t="s">
        <v>30</v>
      </c>
      <c r="F1044" t="s">
        <v>31</v>
      </c>
      <c r="G1044" t="s">
        <v>40</v>
      </c>
      <c r="H1044" s="1">
        <v>45159</v>
      </c>
      <c r="I1044" t="s">
        <v>1223</v>
      </c>
      <c r="J1044" t="s">
        <v>71</v>
      </c>
      <c r="K1044" t="s">
        <v>138</v>
      </c>
      <c r="L1044" t="s">
        <v>121</v>
      </c>
    </row>
    <row r="1045" spans="1:12" x14ac:dyDescent="0.25">
      <c r="A1045" t="s">
        <v>1224</v>
      </c>
      <c r="B1045">
        <v>4057</v>
      </c>
      <c r="C1045">
        <v>1012</v>
      </c>
      <c r="D1045">
        <v>6</v>
      </c>
      <c r="E1045" t="s">
        <v>13</v>
      </c>
      <c r="F1045" t="s">
        <v>39</v>
      </c>
      <c r="G1045" t="s">
        <v>47</v>
      </c>
      <c r="H1045" s="1">
        <v>44816</v>
      </c>
      <c r="I1045" t="s">
        <v>1225</v>
      </c>
      <c r="J1045" t="s">
        <v>42</v>
      </c>
      <c r="K1045" t="s">
        <v>75</v>
      </c>
      <c r="L1045" t="s">
        <v>131</v>
      </c>
    </row>
    <row r="1046" spans="1:12" x14ac:dyDescent="0.25">
      <c r="A1046" t="s">
        <v>1226</v>
      </c>
      <c r="B1046">
        <v>8178</v>
      </c>
      <c r="C1046">
        <v>2462</v>
      </c>
      <c r="D1046">
        <v>10</v>
      </c>
      <c r="E1046" t="s">
        <v>30</v>
      </c>
      <c r="F1046" t="s">
        <v>31</v>
      </c>
      <c r="G1046" t="s">
        <v>15</v>
      </c>
      <c r="H1046" s="1">
        <v>45158</v>
      </c>
      <c r="I1046" t="s">
        <v>1227</v>
      </c>
      <c r="J1046" t="s">
        <v>42</v>
      </c>
      <c r="K1046" t="s">
        <v>43</v>
      </c>
      <c r="L1046" t="s">
        <v>121</v>
      </c>
    </row>
    <row r="1047" spans="1:12" x14ac:dyDescent="0.25">
      <c r="A1047" t="s">
        <v>1228</v>
      </c>
      <c r="B1047">
        <v>8752</v>
      </c>
      <c r="C1047">
        <v>1686</v>
      </c>
      <c r="D1047">
        <v>9</v>
      </c>
      <c r="E1047" t="s">
        <v>45</v>
      </c>
      <c r="F1047" t="s">
        <v>46</v>
      </c>
      <c r="G1047" t="s">
        <v>32</v>
      </c>
      <c r="H1047" s="1">
        <v>44192</v>
      </c>
      <c r="I1047" t="s">
        <v>1229</v>
      </c>
      <c r="J1047" t="s">
        <v>98</v>
      </c>
      <c r="K1047" t="s">
        <v>107</v>
      </c>
      <c r="L1047" t="s">
        <v>287</v>
      </c>
    </row>
    <row r="1048" spans="1:12" x14ac:dyDescent="0.25">
      <c r="A1048" t="s">
        <v>1228</v>
      </c>
      <c r="B1048">
        <v>8752</v>
      </c>
      <c r="C1048">
        <v>1686</v>
      </c>
      <c r="D1048">
        <v>9</v>
      </c>
      <c r="E1048" t="s">
        <v>45</v>
      </c>
      <c r="F1048" t="s">
        <v>46</v>
      </c>
      <c r="G1048" t="s">
        <v>32</v>
      </c>
      <c r="H1048" s="1">
        <v>45173</v>
      </c>
      <c r="I1048" t="s">
        <v>1230</v>
      </c>
      <c r="J1048" t="s">
        <v>21</v>
      </c>
      <c r="K1048" t="s">
        <v>172</v>
      </c>
      <c r="L1048" t="s">
        <v>273</v>
      </c>
    </row>
    <row r="1049" spans="1:12" x14ac:dyDescent="0.25">
      <c r="A1049" t="s">
        <v>1228</v>
      </c>
      <c r="B1049">
        <v>8752</v>
      </c>
      <c r="C1049">
        <v>1686</v>
      </c>
      <c r="D1049">
        <v>9</v>
      </c>
      <c r="E1049" t="s">
        <v>45</v>
      </c>
      <c r="F1049" t="s">
        <v>46</v>
      </c>
      <c r="G1049" t="s">
        <v>32</v>
      </c>
      <c r="H1049" s="1">
        <v>44569</v>
      </c>
      <c r="I1049" t="s">
        <v>1231</v>
      </c>
      <c r="J1049" t="s">
        <v>21</v>
      </c>
      <c r="K1049" t="s">
        <v>22</v>
      </c>
      <c r="L1049" t="s">
        <v>87</v>
      </c>
    </row>
    <row r="1050" spans="1:12" x14ac:dyDescent="0.25">
      <c r="A1050" t="s">
        <v>1232</v>
      </c>
      <c r="B1050">
        <v>8974</v>
      </c>
      <c r="C1050">
        <v>4441</v>
      </c>
      <c r="D1050">
        <v>16</v>
      </c>
      <c r="E1050" t="s">
        <v>13</v>
      </c>
      <c r="F1050" t="s">
        <v>28</v>
      </c>
      <c r="G1050" t="s">
        <v>40</v>
      </c>
      <c r="H1050" s="1">
        <v>45082</v>
      </c>
      <c r="I1050" t="s">
        <v>1233</v>
      </c>
      <c r="J1050" t="s">
        <v>25</v>
      </c>
      <c r="K1050" t="s">
        <v>51</v>
      </c>
      <c r="L1050" t="s">
        <v>19</v>
      </c>
    </row>
    <row r="1051" spans="1:12" x14ac:dyDescent="0.25">
      <c r="A1051" t="s">
        <v>1234</v>
      </c>
      <c r="B1051">
        <v>9090</v>
      </c>
      <c r="C1051">
        <v>3098</v>
      </c>
      <c r="D1051">
        <v>16</v>
      </c>
      <c r="E1051" t="s">
        <v>13</v>
      </c>
      <c r="F1051" t="s">
        <v>82</v>
      </c>
      <c r="G1051" t="s">
        <v>47</v>
      </c>
      <c r="H1051" s="1">
        <v>44287</v>
      </c>
      <c r="I1051" t="s">
        <v>1235</v>
      </c>
      <c r="J1051" t="s">
        <v>71</v>
      </c>
      <c r="K1051" t="s">
        <v>72</v>
      </c>
      <c r="L1051" t="s">
        <v>139</v>
      </c>
    </row>
    <row r="1052" spans="1:12" x14ac:dyDescent="0.25">
      <c r="A1052" t="s">
        <v>1234</v>
      </c>
      <c r="B1052">
        <v>9090</v>
      </c>
      <c r="C1052">
        <v>3098</v>
      </c>
      <c r="D1052">
        <v>16</v>
      </c>
      <c r="E1052" t="s">
        <v>13</v>
      </c>
      <c r="F1052" t="s">
        <v>82</v>
      </c>
      <c r="G1052" t="s">
        <v>47</v>
      </c>
      <c r="H1052" s="1">
        <v>45440</v>
      </c>
      <c r="I1052" t="s">
        <v>1236</v>
      </c>
      <c r="J1052" t="s">
        <v>21</v>
      </c>
      <c r="K1052" t="s">
        <v>63</v>
      </c>
      <c r="L1052" t="s">
        <v>35</v>
      </c>
    </row>
    <row r="1053" spans="1:12" x14ac:dyDescent="0.25">
      <c r="A1053" t="s">
        <v>1234</v>
      </c>
      <c r="B1053">
        <v>851</v>
      </c>
      <c r="C1053">
        <v>356</v>
      </c>
      <c r="D1053">
        <v>11</v>
      </c>
      <c r="E1053" t="s">
        <v>13</v>
      </c>
      <c r="F1053" t="s">
        <v>14</v>
      </c>
      <c r="G1053" t="s">
        <v>47</v>
      </c>
      <c r="H1053" s="1">
        <v>44287</v>
      </c>
      <c r="I1053" t="s">
        <v>1235</v>
      </c>
      <c r="J1053" t="s">
        <v>71</v>
      </c>
      <c r="K1053" t="s">
        <v>72</v>
      </c>
      <c r="L1053" t="s">
        <v>139</v>
      </c>
    </row>
    <row r="1054" spans="1:12" x14ac:dyDescent="0.25">
      <c r="A1054" t="s">
        <v>1234</v>
      </c>
      <c r="B1054">
        <v>851</v>
      </c>
      <c r="C1054">
        <v>356</v>
      </c>
      <c r="D1054">
        <v>11</v>
      </c>
      <c r="E1054" t="s">
        <v>13</v>
      </c>
      <c r="F1054" t="s">
        <v>14</v>
      </c>
      <c r="G1054" t="s">
        <v>47</v>
      </c>
      <c r="H1054" s="1">
        <v>45440</v>
      </c>
      <c r="I1054" t="s">
        <v>1236</v>
      </c>
      <c r="J1054" t="s">
        <v>21</v>
      </c>
      <c r="K1054" t="s">
        <v>63</v>
      </c>
      <c r="L1054" t="s">
        <v>35</v>
      </c>
    </row>
    <row r="1055" spans="1:12" x14ac:dyDescent="0.25">
      <c r="A1055" t="s">
        <v>1237</v>
      </c>
      <c r="B1055">
        <v>5427</v>
      </c>
      <c r="C1055">
        <v>728</v>
      </c>
      <c r="D1055">
        <v>3</v>
      </c>
      <c r="E1055" t="s">
        <v>13</v>
      </c>
      <c r="F1055" t="s">
        <v>82</v>
      </c>
      <c r="G1055" t="s">
        <v>15</v>
      </c>
      <c r="H1055" s="1">
        <v>44994</v>
      </c>
      <c r="I1055" t="s">
        <v>1238</v>
      </c>
      <c r="J1055" t="s">
        <v>17</v>
      </c>
      <c r="K1055" t="s">
        <v>18</v>
      </c>
      <c r="L1055" t="s">
        <v>245</v>
      </c>
    </row>
    <row r="1056" spans="1:12" x14ac:dyDescent="0.25">
      <c r="A1056" t="s">
        <v>1239</v>
      </c>
      <c r="B1056">
        <v>2695</v>
      </c>
      <c r="C1056">
        <v>914</v>
      </c>
      <c r="D1056">
        <v>15</v>
      </c>
      <c r="E1056" t="s">
        <v>45</v>
      </c>
      <c r="F1056" t="s">
        <v>109</v>
      </c>
      <c r="G1056" t="s">
        <v>32</v>
      </c>
      <c r="H1056" s="1">
        <v>44770</v>
      </c>
      <c r="I1056" t="s">
        <v>1240</v>
      </c>
      <c r="J1056" t="s">
        <v>21</v>
      </c>
      <c r="K1056" t="s">
        <v>172</v>
      </c>
      <c r="L1056" t="s">
        <v>418</v>
      </c>
    </row>
    <row r="1057" spans="1:12" x14ac:dyDescent="0.25">
      <c r="A1057" t="s">
        <v>1239</v>
      </c>
      <c r="B1057">
        <v>2695</v>
      </c>
      <c r="C1057">
        <v>914</v>
      </c>
      <c r="D1057">
        <v>15</v>
      </c>
      <c r="E1057" t="s">
        <v>45</v>
      </c>
      <c r="F1057" t="s">
        <v>109</v>
      </c>
      <c r="G1057" t="s">
        <v>32</v>
      </c>
      <c r="H1057" s="1">
        <v>44364</v>
      </c>
      <c r="I1057" t="s">
        <v>1241</v>
      </c>
      <c r="J1057" t="s">
        <v>42</v>
      </c>
      <c r="K1057" t="s">
        <v>43</v>
      </c>
      <c r="L1057" t="s">
        <v>125</v>
      </c>
    </row>
    <row r="1058" spans="1:12" x14ac:dyDescent="0.25">
      <c r="A1058" t="s">
        <v>1242</v>
      </c>
      <c r="B1058">
        <v>2386</v>
      </c>
      <c r="C1058">
        <v>999</v>
      </c>
      <c r="D1058">
        <v>3</v>
      </c>
      <c r="E1058" t="s">
        <v>30</v>
      </c>
      <c r="F1058" t="s">
        <v>31</v>
      </c>
      <c r="G1058" t="s">
        <v>65</v>
      </c>
      <c r="H1058" s="1">
        <v>45335</v>
      </c>
      <c r="I1058" t="s">
        <v>1243</v>
      </c>
      <c r="J1058" t="s">
        <v>17</v>
      </c>
      <c r="K1058" t="s">
        <v>18</v>
      </c>
      <c r="L1058" t="s">
        <v>218</v>
      </c>
    </row>
    <row r="1059" spans="1:12" x14ac:dyDescent="0.25">
      <c r="A1059" t="s">
        <v>1244</v>
      </c>
      <c r="B1059">
        <v>2284</v>
      </c>
      <c r="C1059">
        <v>149</v>
      </c>
      <c r="D1059">
        <v>20</v>
      </c>
      <c r="E1059" t="s">
        <v>30</v>
      </c>
      <c r="F1059" t="s">
        <v>31</v>
      </c>
      <c r="G1059" t="s">
        <v>32</v>
      </c>
      <c r="H1059" s="1">
        <v>44414</v>
      </c>
      <c r="I1059" t="s">
        <v>1245</v>
      </c>
      <c r="J1059" t="s">
        <v>25</v>
      </c>
      <c r="K1059" t="s">
        <v>68</v>
      </c>
      <c r="L1059" t="s">
        <v>178</v>
      </c>
    </row>
    <row r="1060" spans="1:12" x14ac:dyDescent="0.25">
      <c r="A1060" t="s">
        <v>1246</v>
      </c>
      <c r="B1060">
        <v>6034</v>
      </c>
      <c r="C1060">
        <v>608</v>
      </c>
      <c r="D1060">
        <v>8</v>
      </c>
      <c r="E1060" t="s">
        <v>13</v>
      </c>
      <c r="F1060" t="s">
        <v>82</v>
      </c>
      <c r="G1060" t="s">
        <v>40</v>
      </c>
      <c r="H1060" s="1">
        <v>44682</v>
      </c>
      <c r="I1060" t="s">
        <v>1247</v>
      </c>
      <c r="J1060" t="s">
        <v>71</v>
      </c>
      <c r="K1060" t="s">
        <v>138</v>
      </c>
      <c r="L1060" t="s">
        <v>180</v>
      </c>
    </row>
    <row r="1061" spans="1:12" x14ac:dyDescent="0.25">
      <c r="A1061" t="s">
        <v>1246</v>
      </c>
      <c r="B1061">
        <v>8956</v>
      </c>
      <c r="C1061">
        <v>3359</v>
      </c>
      <c r="D1061">
        <v>13</v>
      </c>
      <c r="E1061" t="s">
        <v>45</v>
      </c>
      <c r="F1061" t="s">
        <v>109</v>
      </c>
      <c r="G1061" t="s">
        <v>47</v>
      </c>
      <c r="H1061" s="1">
        <v>44682</v>
      </c>
      <c r="I1061" t="s">
        <v>1247</v>
      </c>
      <c r="J1061" t="s">
        <v>71</v>
      </c>
      <c r="K1061" t="s">
        <v>138</v>
      </c>
      <c r="L1061" t="s">
        <v>180</v>
      </c>
    </row>
    <row r="1062" spans="1:12" x14ac:dyDescent="0.25">
      <c r="A1062" t="s">
        <v>1248</v>
      </c>
      <c r="B1062">
        <v>7122</v>
      </c>
      <c r="C1062">
        <v>1982</v>
      </c>
      <c r="D1062">
        <v>7</v>
      </c>
      <c r="E1062" t="s">
        <v>30</v>
      </c>
      <c r="F1062" t="s">
        <v>57</v>
      </c>
      <c r="G1062" t="s">
        <v>40</v>
      </c>
      <c r="H1062" s="1">
        <v>45362</v>
      </c>
      <c r="I1062" t="s">
        <v>1249</v>
      </c>
      <c r="J1062" t="s">
        <v>21</v>
      </c>
      <c r="K1062" t="s">
        <v>172</v>
      </c>
      <c r="L1062" t="s">
        <v>338</v>
      </c>
    </row>
    <row r="1063" spans="1:12" x14ac:dyDescent="0.25">
      <c r="A1063" t="s">
        <v>1250</v>
      </c>
      <c r="B1063">
        <v>9775</v>
      </c>
      <c r="C1063">
        <v>4507</v>
      </c>
      <c r="D1063">
        <v>5</v>
      </c>
      <c r="E1063" t="s">
        <v>30</v>
      </c>
      <c r="F1063" t="s">
        <v>57</v>
      </c>
      <c r="G1063" t="s">
        <v>15</v>
      </c>
      <c r="H1063" s="1">
        <v>44018</v>
      </c>
      <c r="I1063" t="s">
        <v>1251</v>
      </c>
      <c r="J1063" t="s">
        <v>98</v>
      </c>
      <c r="K1063" t="s">
        <v>107</v>
      </c>
      <c r="L1063" t="s">
        <v>462</v>
      </c>
    </row>
    <row r="1064" spans="1:12" x14ac:dyDescent="0.25">
      <c r="A1064" t="s">
        <v>1252</v>
      </c>
      <c r="B1064">
        <v>3309</v>
      </c>
      <c r="C1064">
        <v>177</v>
      </c>
      <c r="D1064">
        <v>13</v>
      </c>
      <c r="E1064" t="s">
        <v>45</v>
      </c>
      <c r="F1064" t="s">
        <v>109</v>
      </c>
      <c r="G1064" t="s">
        <v>40</v>
      </c>
      <c r="H1064" s="1">
        <v>44182</v>
      </c>
      <c r="I1064" t="s">
        <v>1253</v>
      </c>
      <c r="J1064" t="s">
        <v>98</v>
      </c>
      <c r="K1064" t="s">
        <v>117</v>
      </c>
      <c r="L1064" t="s">
        <v>287</v>
      </c>
    </row>
    <row r="1065" spans="1:12" x14ac:dyDescent="0.25">
      <c r="A1065" t="s">
        <v>1254</v>
      </c>
      <c r="B1065">
        <v>4163</v>
      </c>
      <c r="C1065">
        <v>897</v>
      </c>
      <c r="D1065">
        <v>14</v>
      </c>
      <c r="E1065" t="s">
        <v>13</v>
      </c>
      <c r="F1065" t="s">
        <v>14</v>
      </c>
      <c r="G1065" t="s">
        <v>65</v>
      </c>
      <c r="H1065" s="1">
        <v>44803</v>
      </c>
      <c r="I1065" t="s">
        <v>1255</v>
      </c>
      <c r="J1065" t="s">
        <v>21</v>
      </c>
      <c r="K1065" t="s">
        <v>63</v>
      </c>
      <c r="L1065" t="s">
        <v>209</v>
      </c>
    </row>
    <row r="1066" spans="1:12" x14ac:dyDescent="0.25">
      <c r="A1066" t="s">
        <v>1254</v>
      </c>
      <c r="B1066">
        <v>4163</v>
      </c>
      <c r="C1066">
        <v>897</v>
      </c>
      <c r="D1066">
        <v>14</v>
      </c>
      <c r="E1066" t="s">
        <v>13</v>
      </c>
      <c r="F1066" t="s">
        <v>14</v>
      </c>
      <c r="G1066" t="s">
        <v>65</v>
      </c>
      <c r="H1066" s="1">
        <v>45715</v>
      </c>
      <c r="I1066" t="s">
        <v>1256</v>
      </c>
      <c r="J1066" t="s">
        <v>98</v>
      </c>
      <c r="K1066" t="s">
        <v>117</v>
      </c>
      <c r="L1066" t="s">
        <v>73</v>
      </c>
    </row>
    <row r="1067" spans="1:12" x14ac:dyDescent="0.25">
      <c r="A1067" t="s">
        <v>1254</v>
      </c>
      <c r="B1067">
        <v>4163</v>
      </c>
      <c r="C1067">
        <v>897</v>
      </c>
      <c r="D1067">
        <v>14</v>
      </c>
      <c r="E1067" t="s">
        <v>13</v>
      </c>
      <c r="F1067" t="s">
        <v>14</v>
      </c>
      <c r="G1067" t="s">
        <v>65</v>
      </c>
      <c r="H1067" s="1">
        <v>44352</v>
      </c>
      <c r="I1067" t="s">
        <v>1257</v>
      </c>
      <c r="J1067" t="s">
        <v>17</v>
      </c>
      <c r="K1067" t="s">
        <v>34</v>
      </c>
      <c r="L1067" t="s">
        <v>125</v>
      </c>
    </row>
    <row r="1068" spans="1:12" x14ac:dyDescent="0.25">
      <c r="A1068" t="s">
        <v>1258</v>
      </c>
      <c r="B1068">
        <v>5518</v>
      </c>
      <c r="C1068">
        <v>867</v>
      </c>
      <c r="D1068">
        <v>7</v>
      </c>
      <c r="E1068" t="s">
        <v>45</v>
      </c>
      <c r="F1068" t="s">
        <v>60</v>
      </c>
      <c r="G1068" t="s">
        <v>15</v>
      </c>
      <c r="H1068" s="1">
        <v>44917</v>
      </c>
      <c r="I1068" t="s">
        <v>1259</v>
      </c>
      <c r="J1068" t="s">
        <v>71</v>
      </c>
      <c r="K1068" t="s">
        <v>138</v>
      </c>
      <c r="L1068" t="s">
        <v>152</v>
      </c>
    </row>
    <row r="1069" spans="1:12" x14ac:dyDescent="0.25">
      <c r="A1069" t="s">
        <v>1260</v>
      </c>
      <c r="B1069">
        <v>7566</v>
      </c>
      <c r="C1069">
        <v>606</v>
      </c>
      <c r="D1069">
        <v>6</v>
      </c>
      <c r="E1069" t="s">
        <v>13</v>
      </c>
      <c r="F1069" t="s">
        <v>82</v>
      </c>
      <c r="G1069" t="s">
        <v>32</v>
      </c>
      <c r="H1069" s="1">
        <v>45682</v>
      </c>
      <c r="I1069" t="s">
        <v>1261</v>
      </c>
      <c r="J1069" t="s">
        <v>98</v>
      </c>
      <c r="K1069" t="s">
        <v>99</v>
      </c>
      <c r="L1069" t="s">
        <v>308</v>
      </c>
    </row>
    <row r="1070" spans="1:12" x14ac:dyDescent="0.25">
      <c r="A1070" t="s">
        <v>1260</v>
      </c>
      <c r="B1070">
        <v>7566</v>
      </c>
      <c r="C1070">
        <v>606</v>
      </c>
      <c r="D1070">
        <v>6</v>
      </c>
      <c r="E1070" t="s">
        <v>13</v>
      </c>
      <c r="F1070" t="s">
        <v>82</v>
      </c>
      <c r="G1070" t="s">
        <v>32</v>
      </c>
      <c r="H1070" s="1">
        <v>45702</v>
      </c>
      <c r="I1070" t="s">
        <v>1262</v>
      </c>
      <c r="J1070" t="s">
        <v>42</v>
      </c>
      <c r="K1070" t="s">
        <v>75</v>
      </c>
      <c r="L1070" t="s">
        <v>73</v>
      </c>
    </row>
    <row r="1071" spans="1:12" x14ac:dyDescent="0.25">
      <c r="A1071" t="s">
        <v>1263</v>
      </c>
      <c r="B1071">
        <v>762</v>
      </c>
      <c r="C1071">
        <v>92</v>
      </c>
      <c r="D1071">
        <v>11</v>
      </c>
      <c r="E1071" t="s">
        <v>13</v>
      </c>
      <c r="F1071" t="s">
        <v>28</v>
      </c>
      <c r="G1071" t="s">
        <v>65</v>
      </c>
      <c r="H1071" s="1">
        <v>44932</v>
      </c>
      <c r="I1071" t="s">
        <v>1264</v>
      </c>
      <c r="J1071" t="s">
        <v>21</v>
      </c>
      <c r="K1071" t="s">
        <v>63</v>
      </c>
      <c r="L1071" t="s">
        <v>333</v>
      </c>
    </row>
    <row r="1072" spans="1:12" x14ac:dyDescent="0.25">
      <c r="A1072" t="s">
        <v>1265</v>
      </c>
      <c r="B1072">
        <v>3316</v>
      </c>
      <c r="C1072">
        <v>126</v>
      </c>
      <c r="D1072">
        <v>6</v>
      </c>
      <c r="E1072" t="s">
        <v>13</v>
      </c>
      <c r="F1072" t="s">
        <v>39</v>
      </c>
      <c r="G1072" t="s">
        <v>65</v>
      </c>
      <c r="H1072" s="1">
        <v>44115</v>
      </c>
      <c r="I1072" t="s">
        <v>1266</v>
      </c>
      <c r="J1072" t="s">
        <v>98</v>
      </c>
      <c r="K1072" t="s">
        <v>107</v>
      </c>
      <c r="L1072" t="s">
        <v>119</v>
      </c>
    </row>
    <row r="1073" spans="1:12" x14ac:dyDescent="0.25">
      <c r="A1073" t="s">
        <v>1267</v>
      </c>
      <c r="B1073">
        <v>5994</v>
      </c>
      <c r="C1073">
        <v>2826</v>
      </c>
      <c r="D1073">
        <v>9</v>
      </c>
      <c r="E1073" t="s">
        <v>45</v>
      </c>
      <c r="F1073" t="s">
        <v>109</v>
      </c>
      <c r="G1073" t="s">
        <v>40</v>
      </c>
      <c r="H1073" s="1">
        <v>45070</v>
      </c>
      <c r="I1073" t="s">
        <v>1268</v>
      </c>
      <c r="J1073" t="s">
        <v>42</v>
      </c>
      <c r="K1073" t="s">
        <v>92</v>
      </c>
      <c r="L1073" t="s">
        <v>127</v>
      </c>
    </row>
    <row r="1074" spans="1:12" x14ac:dyDescent="0.25">
      <c r="A1074" t="s">
        <v>1267</v>
      </c>
      <c r="B1074">
        <v>5994</v>
      </c>
      <c r="C1074">
        <v>2826</v>
      </c>
      <c r="D1074">
        <v>9</v>
      </c>
      <c r="E1074" t="s">
        <v>45</v>
      </c>
      <c r="F1074" t="s">
        <v>109</v>
      </c>
      <c r="G1074" t="s">
        <v>40</v>
      </c>
      <c r="H1074" s="1">
        <v>45363</v>
      </c>
      <c r="I1074" t="s">
        <v>1269</v>
      </c>
      <c r="J1074" t="s">
        <v>42</v>
      </c>
      <c r="K1074" t="s">
        <v>43</v>
      </c>
      <c r="L1074" t="s">
        <v>338</v>
      </c>
    </row>
    <row r="1075" spans="1:12" x14ac:dyDescent="0.25">
      <c r="A1075" t="s">
        <v>1267</v>
      </c>
      <c r="B1075">
        <v>5994</v>
      </c>
      <c r="C1075">
        <v>2826</v>
      </c>
      <c r="D1075">
        <v>9</v>
      </c>
      <c r="E1075" t="s">
        <v>45</v>
      </c>
      <c r="F1075" t="s">
        <v>109</v>
      </c>
      <c r="G1075" t="s">
        <v>40</v>
      </c>
      <c r="H1075" s="1">
        <v>45368</v>
      </c>
      <c r="I1075" t="s">
        <v>1270</v>
      </c>
      <c r="J1075" t="s">
        <v>25</v>
      </c>
      <c r="K1075" t="s">
        <v>51</v>
      </c>
      <c r="L1075" t="s">
        <v>338</v>
      </c>
    </row>
    <row r="1076" spans="1:12" x14ac:dyDescent="0.25">
      <c r="A1076" t="s">
        <v>1271</v>
      </c>
      <c r="B1076">
        <v>3854</v>
      </c>
      <c r="C1076">
        <v>245</v>
      </c>
      <c r="D1076">
        <v>19</v>
      </c>
      <c r="E1076" t="s">
        <v>13</v>
      </c>
      <c r="F1076" t="s">
        <v>39</v>
      </c>
      <c r="G1076" t="s">
        <v>65</v>
      </c>
      <c r="H1076" s="1">
        <v>44698</v>
      </c>
      <c r="I1076" t="s">
        <v>1272</v>
      </c>
      <c r="J1076" t="s">
        <v>98</v>
      </c>
      <c r="K1076" t="s">
        <v>99</v>
      </c>
      <c r="L1076" t="s">
        <v>180</v>
      </c>
    </row>
    <row r="1077" spans="1:12" x14ac:dyDescent="0.25">
      <c r="A1077" t="s">
        <v>1273</v>
      </c>
      <c r="B1077">
        <v>7019</v>
      </c>
      <c r="C1077">
        <v>2677</v>
      </c>
      <c r="D1077">
        <v>15</v>
      </c>
      <c r="E1077" t="s">
        <v>30</v>
      </c>
      <c r="F1077" t="s">
        <v>57</v>
      </c>
      <c r="G1077" t="s">
        <v>15</v>
      </c>
      <c r="H1077" s="1">
        <v>44186</v>
      </c>
      <c r="I1077" t="s">
        <v>1274</v>
      </c>
      <c r="J1077" t="s">
        <v>17</v>
      </c>
      <c r="K1077" t="s">
        <v>18</v>
      </c>
      <c r="L1077" t="s">
        <v>287</v>
      </c>
    </row>
    <row r="1078" spans="1:12" x14ac:dyDescent="0.25">
      <c r="A1078" t="s">
        <v>1275</v>
      </c>
      <c r="B1078">
        <v>5954</v>
      </c>
      <c r="C1078">
        <v>2640</v>
      </c>
      <c r="D1078">
        <v>14</v>
      </c>
      <c r="E1078" t="s">
        <v>13</v>
      </c>
      <c r="F1078" t="s">
        <v>39</v>
      </c>
      <c r="G1078" t="s">
        <v>47</v>
      </c>
      <c r="H1078" s="1">
        <v>44432</v>
      </c>
      <c r="I1078" t="s">
        <v>1276</v>
      </c>
      <c r="J1078" t="s">
        <v>25</v>
      </c>
      <c r="K1078" t="s">
        <v>51</v>
      </c>
      <c r="L1078" t="s">
        <v>178</v>
      </c>
    </row>
    <row r="1079" spans="1:12" x14ac:dyDescent="0.25">
      <c r="A1079" t="s">
        <v>1275</v>
      </c>
      <c r="B1079">
        <v>5954</v>
      </c>
      <c r="C1079">
        <v>2640</v>
      </c>
      <c r="D1079">
        <v>14</v>
      </c>
      <c r="E1079" t="s">
        <v>13</v>
      </c>
      <c r="F1079" t="s">
        <v>39</v>
      </c>
      <c r="G1079" t="s">
        <v>47</v>
      </c>
      <c r="H1079" s="1">
        <v>44856</v>
      </c>
      <c r="I1079" t="s">
        <v>1277</v>
      </c>
      <c r="J1079" t="s">
        <v>71</v>
      </c>
      <c r="K1079" t="s">
        <v>72</v>
      </c>
      <c r="L1079" t="s">
        <v>96</v>
      </c>
    </row>
    <row r="1080" spans="1:12" x14ac:dyDescent="0.25">
      <c r="A1080" t="s">
        <v>1278</v>
      </c>
      <c r="B1080">
        <v>9752</v>
      </c>
      <c r="C1080">
        <v>3618</v>
      </c>
      <c r="D1080">
        <v>5</v>
      </c>
      <c r="E1080" t="s">
        <v>45</v>
      </c>
      <c r="F1080" t="s">
        <v>109</v>
      </c>
      <c r="G1080" t="s">
        <v>32</v>
      </c>
      <c r="H1080" s="1">
        <v>45343</v>
      </c>
      <c r="I1080" t="s">
        <v>1279</v>
      </c>
      <c r="J1080" t="s">
        <v>25</v>
      </c>
      <c r="K1080" t="s">
        <v>68</v>
      </c>
      <c r="L1080" t="s">
        <v>218</v>
      </c>
    </row>
    <row r="1081" spans="1:12" x14ac:dyDescent="0.25">
      <c r="A1081" t="s">
        <v>1278</v>
      </c>
      <c r="B1081">
        <v>9752</v>
      </c>
      <c r="C1081">
        <v>3618</v>
      </c>
      <c r="D1081">
        <v>5</v>
      </c>
      <c r="E1081" t="s">
        <v>45</v>
      </c>
      <c r="F1081" t="s">
        <v>109</v>
      </c>
      <c r="G1081" t="s">
        <v>32</v>
      </c>
      <c r="H1081" s="1">
        <v>44865</v>
      </c>
      <c r="I1081" t="s">
        <v>1280</v>
      </c>
      <c r="J1081" t="s">
        <v>21</v>
      </c>
      <c r="K1081" t="s">
        <v>172</v>
      </c>
      <c r="L1081" t="s">
        <v>96</v>
      </c>
    </row>
    <row r="1082" spans="1:12" x14ac:dyDescent="0.25">
      <c r="A1082" t="s">
        <v>1281</v>
      </c>
      <c r="B1082">
        <v>5335</v>
      </c>
      <c r="C1082">
        <v>322</v>
      </c>
      <c r="D1082">
        <v>15</v>
      </c>
      <c r="E1082" t="s">
        <v>13</v>
      </c>
      <c r="F1082" t="s">
        <v>14</v>
      </c>
      <c r="G1082" t="s">
        <v>65</v>
      </c>
      <c r="H1082" s="1">
        <v>44696</v>
      </c>
      <c r="I1082" t="s">
        <v>1282</v>
      </c>
      <c r="J1082" t="s">
        <v>25</v>
      </c>
      <c r="K1082" t="s">
        <v>51</v>
      </c>
      <c r="L1082" t="s">
        <v>180</v>
      </c>
    </row>
    <row r="1083" spans="1:12" x14ac:dyDescent="0.25">
      <c r="A1083" t="s">
        <v>1283</v>
      </c>
      <c r="B1083">
        <v>1454</v>
      </c>
      <c r="C1083">
        <v>80</v>
      </c>
      <c r="D1083">
        <v>20</v>
      </c>
      <c r="E1083" t="s">
        <v>13</v>
      </c>
      <c r="F1083" t="s">
        <v>14</v>
      </c>
      <c r="G1083" t="s">
        <v>47</v>
      </c>
      <c r="H1083" s="1">
        <v>44764</v>
      </c>
      <c r="I1083" t="s">
        <v>1284</v>
      </c>
      <c r="J1083" t="s">
        <v>25</v>
      </c>
      <c r="K1083" t="s">
        <v>68</v>
      </c>
      <c r="L1083" t="s">
        <v>418</v>
      </c>
    </row>
    <row r="1084" spans="1:12" x14ac:dyDescent="0.25">
      <c r="A1084" t="s">
        <v>1285</v>
      </c>
      <c r="B1084">
        <v>6724</v>
      </c>
      <c r="C1084">
        <v>1539</v>
      </c>
      <c r="D1084">
        <v>19</v>
      </c>
      <c r="E1084" t="s">
        <v>45</v>
      </c>
      <c r="F1084" t="s">
        <v>109</v>
      </c>
      <c r="G1084" t="s">
        <v>65</v>
      </c>
      <c r="H1084" s="1">
        <v>44543</v>
      </c>
      <c r="I1084" t="s">
        <v>1286</v>
      </c>
      <c r="J1084" t="s">
        <v>42</v>
      </c>
      <c r="K1084" t="s">
        <v>92</v>
      </c>
      <c r="L1084" t="s">
        <v>90</v>
      </c>
    </row>
    <row r="1085" spans="1:12" x14ac:dyDescent="0.25">
      <c r="A1085" t="s">
        <v>1285</v>
      </c>
      <c r="B1085">
        <v>6724</v>
      </c>
      <c r="C1085">
        <v>1539</v>
      </c>
      <c r="D1085">
        <v>19</v>
      </c>
      <c r="E1085" t="s">
        <v>45</v>
      </c>
      <c r="F1085" t="s">
        <v>109</v>
      </c>
      <c r="G1085" t="s">
        <v>65</v>
      </c>
      <c r="H1085" s="1">
        <v>44350</v>
      </c>
      <c r="I1085" t="s">
        <v>1287</v>
      </c>
      <c r="J1085" t="s">
        <v>71</v>
      </c>
      <c r="K1085" t="s">
        <v>72</v>
      </c>
      <c r="L1085" t="s">
        <v>125</v>
      </c>
    </row>
    <row r="1086" spans="1:12" x14ac:dyDescent="0.25">
      <c r="A1086" t="s">
        <v>1288</v>
      </c>
      <c r="B1086">
        <v>9874</v>
      </c>
      <c r="C1086">
        <v>3895</v>
      </c>
      <c r="D1086">
        <v>4</v>
      </c>
      <c r="E1086" t="s">
        <v>30</v>
      </c>
      <c r="F1086" t="s">
        <v>78</v>
      </c>
      <c r="G1086" t="s">
        <v>40</v>
      </c>
      <c r="H1086" s="1">
        <v>45712</v>
      </c>
      <c r="I1086" t="s">
        <v>1289</v>
      </c>
      <c r="J1086" t="s">
        <v>98</v>
      </c>
      <c r="K1086" t="s">
        <v>117</v>
      </c>
      <c r="L1086" t="s">
        <v>73</v>
      </c>
    </row>
    <row r="1087" spans="1:12" x14ac:dyDescent="0.25">
      <c r="A1087" t="s">
        <v>1290</v>
      </c>
      <c r="B1087">
        <v>4918</v>
      </c>
      <c r="C1087">
        <v>1485</v>
      </c>
      <c r="D1087">
        <v>7</v>
      </c>
      <c r="E1087" t="s">
        <v>13</v>
      </c>
      <c r="F1087" t="s">
        <v>82</v>
      </c>
      <c r="G1087" t="s">
        <v>15</v>
      </c>
      <c r="H1087" s="1">
        <v>44959</v>
      </c>
      <c r="I1087" t="s">
        <v>1291</v>
      </c>
      <c r="J1087" t="s">
        <v>17</v>
      </c>
      <c r="K1087" t="s">
        <v>150</v>
      </c>
      <c r="L1087" t="s">
        <v>93</v>
      </c>
    </row>
    <row r="1088" spans="1:12" x14ac:dyDescent="0.25">
      <c r="A1088" t="s">
        <v>1292</v>
      </c>
      <c r="B1088">
        <v>3189</v>
      </c>
      <c r="C1088">
        <v>1180</v>
      </c>
      <c r="D1088">
        <v>19</v>
      </c>
      <c r="E1088" t="s">
        <v>30</v>
      </c>
      <c r="F1088" t="s">
        <v>64</v>
      </c>
      <c r="G1088" t="s">
        <v>47</v>
      </c>
      <c r="H1088" s="1">
        <v>44561</v>
      </c>
      <c r="I1088" t="s">
        <v>1293</v>
      </c>
      <c r="J1088" t="s">
        <v>25</v>
      </c>
      <c r="K1088" t="s">
        <v>51</v>
      </c>
      <c r="L1088" t="s">
        <v>90</v>
      </c>
    </row>
    <row r="1089" spans="1:12" x14ac:dyDescent="0.25">
      <c r="A1089" t="s">
        <v>1294</v>
      </c>
      <c r="B1089">
        <v>2684</v>
      </c>
      <c r="C1089">
        <v>713</v>
      </c>
      <c r="D1089">
        <v>2</v>
      </c>
      <c r="E1089" t="s">
        <v>13</v>
      </c>
      <c r="F1089" t="s">
        <v>14</v>
      </c>
      <c r="G1089" t="s">
        <v>15</v>
      </c>
      <c r="H1089" s="1">
        <v>45458</v>
      </c>
      <c r="I1089" t="s">
        <v>1295</v>
      </c>
      <c r="J1089" t="s">
        <v>25</v>
      </c>
      <c r="K1089" t="s">
        <v>51</v>
      </c>
      <c r="L1089" t="s">
        <v>262</v>
      </c>
    </row>
    <row r="1090" spans="1:12" x14ac:dyDescent="0.25">
      <c r="A1090" t="s">
        <v>1294</v>
      </c>
      <c r="B1090">
        <v>2684</v>
      </c>
      <c r="C1090">
        <v>713</v>
      </c>
      <c r="D1090">
        <v>2</v>
      </c>
      <c r="E1090" t="s">
        <v>13</v>
      </c>
      <c r="F1090" t="s">
        <v>14</v>
      </c>
      <c r="G1090" t="s">
        <v>15</v>
      </c>
      <c r="H1090" s="1">
        <v>44717</v>
      </c>
      <c r="I1090" t="s">
        <v>1296</v>
      </c>
      <c r="J1090" t="s">
        <v>25</v>
      </c>
      <c r="K1090" t="s">
        <v>26</v>
      </c>
      <c r="L1090" t="s">
        <v>165</v>
      </c>
    </row>
    <row r="1091" spans="1:12" x14ac:dyDescent="0.25">
      <c r="A1091" t="s">
        <v>1294</v>
      </c>
      <c r="B1091">
        <v>2684</v>
      </c>
      <c r="C1091">
        <v>713</v>
      </c>
      <c r="D1091">
        <v>2</v>
      </c>
      <c r="E1091" t="s">
        <v>13</v>
      </c>
      <c r="F1091" t="s">
        <v>14</v>
      </c>
      <c r="G1091" t="s">
        <v>15</v>
      </c>
      <c r="H1091" s="1">
        <v>43962</v>
      </c>
      <c r="I1091" t="s">
        <v>1297</v>
      </c>
      <c r="J1091" t="s">
        <v>71</v>
      </c>
      <c r="K1091" t="s">
        <v>72</v>
      </c>
      <c r="L1091" t="s">
        <v>59</v>
      </c>
    </row>
    <row r="1092" spans="1:12" x14ac:dyDescent="0.25">
      <c r="A1092" t="s">
        <v>1298</v>
      </c>
      <c r="B1092">
        <v>7626</v>
      </c>
      <c r="C1092">
        <v>229</v>
      </c>
      <c r="D1092">
        <v>5</v>
      </c>
      <c r="E1092" t="s">
        <v>30</v>
      </c>
      <c r="F1092" t="s">
        <v>31</v>
      </c>
      <c r="G1092" t="s">
        <v>40</v>
      </c>
      <c r="H1092" s="1">
        <v>45333</v>
      </c>
      <c r="I1092" t="s">
        <v>1299</v>
      </c>
      <c r="J1092" t="s">
        <v>21</v>
      </c>
      <c r="K1092" t="s">
        <v>63</v>
      </c>
      <c r="L1092" t="s">
        <v>218</v>
      </c>
    </row>
    <row r="1093" spans="1:12" x14ac:dyDescent="0.25">
      <c r="A1093" t="s">
        <v>1298</v>
      </c>
      <c r="B1093">
        <v>7626</v>
      </c>
      <c r="C1093">
        <v>229</v>
      </c>
      <c r="D1093">
        <v>5</v>
      </c>
      <c r="E1093" t="s">
        <v>30</v>
      </c>
      <c r="F1093" t="s">
        <v>31</v>
      </c>
      <c r="G1093" t="s">
        <v>40</v>
      </c>
      <c r="H1093" s="1">
        <v>44160</v>
      </c>
      <c r="I1093" t="s">
        <v>1300</v>
      </c>
      <c r="J1093" t="s">
        <v>98</v>
      </c>
      <c r="K1093" t="s">
        <v>99</v>
      </c>
      <c r="L1093" t="s">
        <v>80</v>
      </c>
    </row>
    <row r="1094" spans="1:12" x14ac:dyDescent="0.25">
      <c r="A1094" t="s">
        <v>1301</v>
      </c>
      <c r="B1094">
        <v>6669</v>
      </c>
      <c r="C1094">
        <v>3063</v>
      </c>
      <c r="D1094">
        <v>19</v>
      </c>
      <c r="E1094" t="s">
        <v>13</v>
      </c>
      <c r="F1094" t="s">
        <v>28</v>
      </c>
      <c r="G1094" t="s">
        <v>15</v>
      </c>
      <c r="H1094" s="1">
        <v>45150</v>
      </c>
      <c r="I1094" t="s">
        <v>1302</v>
      </c>
      <c r="J1094" t="s">
        <v>98</v>
      </c>
      <c r="K1094" t="s">
        <v>107</v>
      </c>
      <c r="L1094" t="s">
        <v>121</v>
      </c>
    </row>
    <row r="1095" spans="1:12" x14ac:dyDescent="0.25">
      <c r="A1095" t="s">
        <v>1303</v>
      </c>
      <c r="B1095">
        <v>6123</v>
      </c>
      <c r="C1095">
        <v>1686</v>
      </c>
      <c r="D1095">
        <v>3</v>
      </c>
      <c r="E1095" t="s">
        <v>30</v>
      </c>
      <c r="F1095" t="s">
        <v>57</v>
      </c>
      <c r="G1095" t="s">
        <v>47</v>
      </c>
      <c r="H1095" s="1">
        <v>44687</v>
      </c>
      <c r="I1095" t="s">
        <v>1304</v>
      </c>
      <c r="J1095" t="s">
        <v>98</v>
      </c>
      <c r="K1095" t="s">
        <v>107</v>
      </c>
      <c r="L1095" t="s">
        <v>180</v>
      </c>
    </row>
    <row r="1096" spans="1:12" x14ac:dyDescent="0.25">
      <c r="A1096" t="s">
        <v>1305</v>
      </c>
      <c r="B1096">
        <v>3265</v>
      </c>
      <c r="C1096">
        <v>1390</v>
      </c>
      <c r="D1096">
        <v>16</v>
      </c>
      <c r="E1096" t="s">
        <v>30</v>
      </c>
      <c r="F1096" t="s">
        <v>64</v>
      </c>
      <c r="G1096" t="s">
        <v>47</v>
      </c>
      <c r="H1096" s="1">
        <v>45308</v>
      </c>
      <c r="I1096" t="s">
        <v>1306</v>
      </c>
      <c r="J1096" t="s">
        <v>42</v>
      </c>
      <c r="K1096" t="s">
        <v>43</v>
      </c>
      <c r="L1096" t="s">
        <v>76</v>
      </c>
    </row>
    <row r="1097" spans="1:12" x14ac:dyDescent="0.25">
      <c r="A1097" t="s">
        <v>1307</v>
      </c>
      <c r="B1097">
        <v>8104</v>
      </c>
      <c r="C1097">
        <v>1039</v>
      </c>
      <c r="D1097">
        <v>6</v>
      </c>
      <c r="E1097" t="s">
        <v>30</v>
      </c>
      <c r="F1097" t="s">
        <v>57</v>
      </c>
      <c r="G1097" t="s">
        <v>65</v>
      </c>
      <c r="H1097" s="1">
        <v>44524</v>
      </c>
      <c r="I1097" t="s">
        <v>1308</v>
      </c>
      <c r="J1097" t="s">
        <v>17</v>
      </c>
      <c r="K1097" t="s">
        <v>34</v>
      </c>
      <c r="L1097" t="s">
        <v>175</v>
      </c>
    </row>
    <row r="1098" spans="1:12" x14ac:dyDescent="0.25">
      <c r="A1098" t="s">
        <v>1307</v>
      </c>
      <c r="B1098">
        <v>8104</v>
      </c>
      <c r="C1098">
        <v>1039</v>
      </c>
      <c r="D1098">
        <v>6</v>
      </c>
      <c r="E1098" t="s">
        <v>30</v>
      </c>
      <c r="F1098" t="s">
        <v>57</v>
      </c>
      <c r="G1098" t="s">
        <v>65</v>
      </c>
      <c r="H1098" s="1">
        <v>44475</v>
      </c>
      <c r="I1098" t="s">
        <v>1309</v>
      </c>
      <c r="J1098" t="s">
        <v>17</v>
      </c>
      <c r="K1098" t="s">
        <v>18</v>
      </c>
      <c r="L1098" t="s">
        <v>37</v>
      </c>
    </row>
    <row r="1099" spans="1:12" x14ac:dyDescent="0.25">
      <c r="A1099" t="s">
        <v>1307</v>
      </c>
      <c r="B1099">
        <v>8104</v>
      </c>
      <c r="C1099">
        <v>1039</v>
      </c>
      <c r="D1099">
        <v>6</v>
      </c>
      <c r="E1099" t="s">
        <v>30</v>
      </c>
      <c r="F1099" t="s">
        <v>57</v>
      </c>
      <c r="G1099" t="s">
        <v>65</v>
      </c>
      <c r="H1099" s="1">
        <v>45684</v>
      </c>
      <c r="I1099" t="s">
        <v>1310</v>
      </c>
      <c r="J1099" t="s">
        <v>42</v>
      </c>
      <c r="K1099" t="s">
        <v>92</v>
      </c>
      <c r="L1099" t="s">
        <v>308</v>
      </c>
    </row>
    <row r="1100" spans="1:12" x14ac:dyDescent="0.25">
      <c r="A1100" t="s">
        <v>1311</v>
      </c>
      <c r="B1100">
        <v>847</v>
      </c>
      <c r="C1100">
        <v>355</v>
      </c>
      <c r="D1100">
        <v>17</v>
      </c>
      <c r="E1100" t="s">
        <v>45</v>
      </c>
      <c r="F1100" t="s">
        <v>46</v>
      </c>
      <c r="G1100" t="s">
        <v>65</v>
      </c>
      <c r="H1100" s="1">
        <v>44704</v>
      </c>
      <c r="I1100" t="s">
        <v>1312</v>
      </c>
      <c r="J1100" t="s">
        <v>25</v>
      </c>
      <c r="K1100" t="s">
        <v>26</v>
      </c>
      <c r="L1100" t="s">
        <v>180</v>
      </c>
    </row>
    <row r="1101" spans="1:12" x14ac:dyDescent="0.25">
      <c r="A1101" t="s">
        <v>1311</v>
      </c>
      <c r="B1101">
        <v>847</v>
      </c>
      <c r="C1101">
        <v>355</v>
      </c>
      <c r="D1101">
        <v>17</v>
      </c>
      <c r="E1101" t="s">
        <v>45</v>
      </c>
      <c r="F1101" t="s">
        <v>46</v>
      </c>
      <c r="G1101" t="s">
        <v>65</v>
      </c>
      <c r="H1101" s="1">
        <v>45258</v>
      </c>
      <c r="I1101" t="s">
        <v>1313</v>
      </c>
      <c r="J1101" t="s">
        <v>71</v>
      </c>
      <c r="K1101" t="s">
        <v>86</v>
      </c>
      <c r="L1101" t="s">
        <v>52</v>
      </c>
    </row>
    <row r="1102" spans="1:12" x14ac:dyDescent="0.25">
      <c r="A1102" t="s">
        <v>1311</v>
      </c>
      <c r="B1102">
        <v>847</v>
      </c>
      <c r="C1102">
        <v>355</v>
      </c>
      <c r="D1102">
        <v>17</v>
      </c>
      <c r="E1102" t="s">
        <v>45</v>
      </c>
      <c r="F1102" t="s">
        <v>46</v>
      </c>
      <c r="G1102" t="s">
        <v>65</v>
      </c>
      <c r="H1102" s="1">
        <v>44944</v>
      </c>
      <c r="I1102" t="s">
        <v>1314</v>
      </c>
      <c r="J1102" t="s">
        <v>42</v>
      </c>
      <c r="K1102" t="s">
        <v>92</v>
      </c>
      <c r="L1102" t="s">
        <v>333</v>
      </c>
    </row>
    <row r="1103" spans="1:12" x14ac:dyDescent="0.25">
      <c r="A1103" t="s">
        <v>1315</v>
      </c>
      <c r="B1103">
        <v>3129</v>
      </c>
      <c r="C1103">
        <v>55</v>
      </c>
      <c r="D1103">
        <v>9</v>
      </c>
      <c r="E1103" t="s">
        <v>45</v>
      </c>
      <c r="F1103" t="s">
        <v>109</v>
      </c>
      <c r="G1103" t="s">
        <v>32</v>
      </c>
      <c r="H1103" s="1">
        <v>44445</v>
      </c>
      <c r="I1103" t="s">
        <v>1316</v>
      </c>
      <c r="J1103" t="s">
        <v>21</v>
      </c>
      <c r="K1103" t="s">
        <v>172</v>
      </c>
      <c r="L1103" t="s">
        <v>224</v>
      </c>
    </row>
    <row r="1104" spans="1:12" x14ac:dyDescent="0.25">
      <c r="A1104" t="s">
        <v>1315</v>
      </c>
      <c r="B1104">
        <v>7821</v>
      </c>
      <c r="C1104">
        <v>3821</v>
      </c>
      <c r="D1104">
        <v>13</v>
      </c>
      <c r="E1104" t="s">
        <v>13</v>
      </c>
      <c r="F1104" t="s">
        <v>39</v>
      </c>
      <c r="G1104" t="s">
        <v>40</v>
      </c>
      <c r="H1104" s="1">
        <v>44445</v>
      </c>
      <c r="I1104" t="s">
        <v>1316</v>
      </c>
      <c r="J1104" t="s">
        <v>21</v>
      </c>
      <c r="K1104" t="s">
        <v>172</v>
      </c>
      <c r="L1104" t="s">
        <v>224</v>
      </c>
    </row>
    <row r="1105" spans="1:12" x14ac:dyDescent="0.25">
      <c r="A1105" t="s">
        <v>1317</v>
      </c>
      <c r="B1105">
        <v>9498</v>
      </c>
      <c r="C1105">
        <v>256</v>
      </c>
      <c r="D1105">
        <v>12</v>
      </c>
      <c r="E1105" t="s">
        <v>13</v>
      </c>
      <c r="F1105" t="s">
        <v>82</v>
      </c>
      <c r="G1105" t="s">
        <v>65</v>
      </c>
      <c r="H1105" s="1">
        <v>44249</v>
      </c>
      <c r="I1105" t="s">
        <v>1318</v>
      </c>
      <c r="J1105" t="s">
        <v>21</v>
      </c>
      <c r="K1105" t="s">
        <v>172</v>
      </c>
      <c r="L1105" t="s">
        <v>292</v>
      </c>
    </row>
    <row r="1106" spans="1:12" x14ac:dyDescent="0.25">
      <c r="A1106" t="s">
        <v>1317</v>
      </c>
      <c r="B1106">
        <v>9498</v>
      </c>
      <c r="C1106">
        <v>256</v>
      </c>
      <c r="D1106">
        <v>12</v>
      </c>
      <c r="E1106" t="s">
        <v>13</v>
      </c>
      <c r="F1106" t="s">
        <v>82</v>
      </c>
      <c r="G1106" t="s">
        <v>65</v>
      </c>
      <c r="H1106" s="1">
        <v>44475</v>
      </c>
      <c r="I1106" t="s">
        <v>1319</v>
      </c>
      <c r="J1106" t="s">
        <v>25</v>
      </c>
      <c r="K1106" t="s">
        <v>51</v>
      </c>
      <c r="L1106" t="s">
        <v>37</v>
      </c>
    </row>
    <row r="1107" spans="1:12" x14ac:dyDescent="0.25">
      <c r="A1107" t="s">
        <v>1320</v>
      </c>
      <c r="B1107">
        <v>5461</v>
      </c>
      <c r="C1107">
        <v>1214</v>
      </c>
      <c r="D1107">
        <v>7</v>
      </c>
      <c r="E1107" t="s">
        <v>45</v>
      </c>
      <c r="F1107" t="s">
        <v>60</v>
      </c>
      <c r="G1107" t="s">
        <v>47</v>
      </c>
      <c r="H1107" s="1">
        <v>43989</v>
      </c>
      <c r="I1107" t="s">
        <v>1321</v>
      </c>
      <c r="J1107" t="s">
        <v>25</v>
      </c>
      <c r="K1107" t="s">
        <v>68</v>
      </c>
      <c r="L1107" t="s">
        <v>313</v>
      </c>
    </row>
    <row r="1108" spans="1:12" x14ac:dyDescent="0.25">
      <c r="A1108" t="s">
        <v>1322</v>
      </c>
      <c r="B1108">
        <v>3084</v>
      </c>
      <c r="C1108">
        <v>611</v>
      </c>
      <c r="D1108">
        <v>19</v>
      </c>
      <c r="E1108" t="s">
        <v>45</v>
      </c>
      <c r="F1108" t="s">
        <v>109</v>
      </c>
      <c r="G1108" t="s">
        <v>15</v>
      </c>
      <c r="H1108" s="1">
        <v>45433</v>
      </c>
      <c r="I1108" t="s">
        <v>1323</v>
      </c>
      <c r="J1108" t="s">
        <v>71</v>
      </c>
      <c r="K1108" t="s">
        <v>72</v>
      </c>
      <c r="L1108" t="s">
        <v>35</v>
      </c>
    </row>
    <row r="1109" spans="1:12" x14ac:dyDescent="0.25">
      <c r="A1109" t="s">
        <v>1324</v>
      </c>
      <c r="B1109">
        <v>6087</v>
      </c>
      <c r="C1109">
        <v>3043</v>
      </c>
      <c r="D1109">
        <v>1</v>
      </c>
      <c r="E1109" t="s">
        <v>45</v>
      </c>
      <c r="F1109" t="s">
        <v>60</v>
      </c>
      <c r="G1109" t="s">
        <v>65</v>
      </c>
      <c r="H1109" s="1">
        <v>44048</v>
      </c>
      <c r="I1109" t="s">
        <v>1325</v>
      </c>
      <c r="J1109" t="s">
        <v>25</v>
      </c>
      <c r="K1109" t="s">
        <v>26</v>
      </c>
      <c r="L1109" t="s">
        <v>185</v>
      </c>
    </row>
    <row r="1110" spans="1:12" x14ac:dyDescent="0.25">
      <c r="A1110" t="s">
        <v>1326</v>
      </c>
      <c r="B1110">
        <v>611</v>
      </c>
      <c r="C1110">
        <v>300</v>
      </c>
      <c r="D1110">
        <v>3</v>
      </c>
      <c r="E1110" t="s">
        <v>45</v>
      </c>
      <c r="F1110" t="s">
        <v>109</v>
      </c>
      <c r="G1110" t="s">
        <v>47</v>
      </c>
      <c r="H1110" s="1">
        <v>44119</v>
      </c>
      <c r="I1110" t="s">
        <v>1327</v>
      </c>
      <c r="J1110" t="s">
        <v>21</v>
      </c>
      <c r="K1110" t="s">
        <v>172</v>
      </c>
      <c r="L1110" t="s">
        <v>119</v>
      </c>
    </row>
    <row r="1111" spans="1:12" x14ac:dyDescent="0.25">
      <c r="A1111" t="s">
        <v>1328</v>
      </c>
      <c r="B1111">
        <v>9909</v>
      </c>
      <c r="C1111">
        <v>2999</v>
      </c>
      <c r="D1111">
        <v>18</v>
      </c>
      <c r="E1111" t="s">
        <v>30</v>
      </c>
      <c r="F1111" t="s">
        <v>57</v>
      </c>
      <c r="G1111" t="s">
        <v>65</v>
      </c>
      <c r="H1111" s="1">
        <v>44331</v>
      </c>
      <c r="I1111" t="s">
        <v>1329</v>
      </c>
      <c r="J1111" t="s">
        <v>98</v>
      </c>
      <c r="K1111" t="s">
        <v>117</v>
      </c>
      <c r="L1111" t="s">
        <v>108</v>
      </c>
    </row>
    <row r="1112" spans="1:12" x14ac:dyDescent="0.25">
      <c r="A1112" t="s">
        <v>1328</v>
      </c>
      <c r="B1112">
        <v>9909</v>
      </c>
      <c r="C1112">
        <v>2999</v>
      </c>
      <c r="D1112">
        <v>18</v>
      </c>
      <c r="E1112" t="s">
        <v>30</v>
      </c>
      <c r="F1112" t="s">
        <v>57</v>
      </c>
      <c r="G1112" t="s">
        <v>65</v>
      </c>
      <c r="H1112" s="1">
        <v>44574</v>
      </c>
      <c r="I1112" t="s">
        <v>1330</v>
      </c>
      <c r="J1112" t="s">
        <v>71</v>
      </c>
      <c r="K1112" t="s">
        <v>86</v>
      </c>
      <c r="L1112" t="s">
        <v>87</v>
      </c>
    </row>
    <row r="1113" spans="1:12" x14ac:dyDescent="0.25">
      <c r="A1113" t="s">
        <v>1331</v>
      </c>
      <c r="B1113">
        <v>6485</v>
      </c>
      <c r="C1113">
        <v>3178</v>
      </c>
      <c r="D1113">
        <v>18</v>
      </c>
      <c r="E1113" t="s">
        <v>45</v>
      </c>
      <c r="F1113" t="s">
        <v>60</v>
      </c>
      <c r="G1113" t="s">
        <v>15</v>
      </c>
      <c r="H1113" s="1">
        <v>45125</v>
      </c>
      <c r="I1113" t="s">
        <v>1332</v>
      </c>
      <c r="J1113" t="s">
        <v>98</v>
      </c>
      <c r="K1113" t="s">
        <v>99</v>
      </c>
      <c r="L1113" t="s">
        <v>105</v>
      </c>
    </row>
    <row r="1114" spans="1:12" x14ac:dyDescent="0.25">
      <c r="A1114" t="s">
        <v>1333</v>
      </c>
      <c r="B1114">
        <v>7259</v>
      </c>
      <c r="C1114">
        <v>1969</v>
      </c>
      <c r="D1114">
        <v>10</v>
      </c>
      <c r="E1114" t="s">
        <v>13</v>
      </c>
      <c r="F1114" t="s">
        <v>39</v>
      </c>
      <c r="G1114" t="s">
        <v>47</v>
      </c>
      <c r="H1114" s="1">
        <v>44903</v>
      </c>
      <c r="I1114" t="s">
        <v>1334</v>
      </c>
      <c r="J1114" t="s">
        <v>21</v>
      </c>
      <c r="K1114" t="s">
        <v>63</v>
      </c>
      <c r="L1114" t="s">
        <v>152</v>
      </c>
    </row>
    <row r="1115" spans="1:12" x14ac:dyDescent="0.25">
      <c r="A1115" t="s">
        <v>1335</v>
      </c>
      <c r="B1115">
        <v>3333</v>
      </c>
      <c r="C1115">
        <v>700</v>
      </c>
      <c r="D1115">
        <v>18</v>
      </c>
      <c r="E1115" t="s">
        <v>13</v>
      </c>
      <c r="F1115" t="s">
        <v>28</v>
      </c>
      <c r="G1115" t="s">
        <v>65</v>
      </c>
      <c r="H1115" s="1">
        <v>45033</v>
      </c>
      <c r="I1115" t="s">
        <v>1336</v>
      </c>
      <c r="J1115" t="s">
        <v>17</v>
      </c>
      <c r="K1115" t="s">
        <v>18</v>
      </c>
      <c r="L1115" t="s">
        <v>145</v>
      </c>
    </row>
    <row r="1116" spans="1:12" x14ac:dyDescent="0.25">
      <c r="A1116" t="s">
        <v>1337</v>
      </c>
      <c r="B1116">
        <v>7786</v>
      </c>
      <c r="C1116">
        <v>1202</v>
      </c>
      <c r="D1116">
        <v>4</v>
      </c>
      <c r="E1116" t="s">
        <v>45</v>
      </c>
      <c r="F1116" t="s">
        <v>60</v>
      </c>
      <c r="G1116" t="s">
        <v>40</v>
      </c>
      <c r="H1116" s="1">
        <v>44005</v>
      </c>
      <c r="I1116" t="s">
        <v>1338</v>
      </c>
      <c r="J1116" t="s">
        <v>21</v>
      </c>
      <c r="K1116" t="s">
        <v>172</v>
      </c>
      <c r="L1116" t="s">
        <v>313</v>
      </c>
    </row>
    <row r="1117" spans="1:12" x14ac:dyDescent="0.25">
      <c r="A1117" t="s">
        <v>1339</v>
      </c>
      <c r="B1117">
        <v>7644</v>
      </c>
      <c r="C1117">
        <v>2428</v>
      </c>
      <c r="D1117">
        <v>6</v>
      </c>
      <c r="E1117" t="s">
        <v>13</v>
      </c>
      <c r="F1117" t="s">
        <v>82</v>
      </c>
      <c r="G1117" t="s">
        <v>32</v>
      </c>
      <c r="H1117" s="1">
        <v>44581</v>
      </c>
      <c r="I1117" t="s">
        <v>1340</v>
      </c>
      <c r="J1117" t="s">
        <v>21</v>
      </c>
      <c r="K1117" t="s">
        <v>63</v>
      </c>
      <c r="L1117" t="s">
        <v>87</v>
      </c>
    </row>
    <row r="1118" spans="1:12" x14ac:dyDescent="0.25">
      <c r="A1118" t="s">
        <v>1341</v>
      </c>
      <c r="B1118">
        <v>1476</v>
      </c>
      <c r="C1118">
        <v>247</v>
      </c>
      <c r="D1118">
        <v>5</v>
      </c>
      <c r="E1118" t="s">
        <v>45</v>
      </c>
      <c r="F1118" t="s">
        <v>109</v>
      </c>
      <c r="G1118" t="s">
        <v>65</v>
      </c>
      <c r="H1118" s="1">
        <v>45248</v>
      </c>
      <c r="I1118" t="s">
        <v>1342</v>
      </c>
      <c r="J1118" t="s">
        <v>42</v>
      </c>
      <c r="K1118" t="s">
        <v>43</v>
      </c>
      <c r="L1118" t="s">
        <v>52</v>
      </c>
    </row>
    <row r="1119" spans="1:12" x14ac:dyDescent="0.25">
      <c r="A1119" t="s">
        <v>1341</v>
      </c>
      <c r="B1119">
        <v>1476</v>
      </c>
      <c r="C1119">
        <v>247</v>
      </c>
      <c r="D1119">
        <v>5</v>
      </c>
      <c r="E1119" t="s">
        <v>45</v>
      </c>
      <c r="F1119" t="s">
        <v>109</v>
      </c>
      <c r="G1119" t="s">
        <v>65</v>
      </c>
      <c r="H1119" s="1">
        <v>44580</v>
      </c>
      <c r="I1119" t="s">
        <v>1343</v>
      </c>
      <c r="J1119" t="s">
        <v>42</v>
      </c>
      <c r="K1119" t="s">
        <v>75</v>
      </c>
      <c r="L1119" t="s">
        <v>87</v>
      </c>
    </row>
    <row r="1120" spans="1:12" x14ac:dyDescent="0.25">
      <c r="A1120" t="s">
        <v>1344</v>
      </c>
      <c r="B1120">
        <v>3445</v>
      </c>
      <c r="C1120">
        <v>1405</v>
      </c>
      <c r="D1120">
        <v>16</v>
      </c>
      <c r="E1120" t="s">
        <v>45</v>
      </c>
      <c r="F1120" t="s">
        <v>60</v>
      </c>
      <c r="G1120" t="s">
        <v>40</v>
      </c>
      <c r="H1120" s="1">
        <v>44095</v>
      </c>
      <c r="I1120" t="s">
        <v>1345</v>
      </c>
      <c r="J1120" t="s">
        <v>42</v>
      </c>
      <c r="K1120" t="s">
        <v>92</v>
      </c>
      <c r="L1120" t="s">
        <v>389</v>
      </c>
    </row>
    <row r="1121" spans="1:12" x14ac:dyDescent="0.25">
      <c r="A1121" t="s">
        <v>1344</v>
      </c>
      <c r="B1121">
        <v>9837</v>
      </c>
      <c r="C1121">
        <v>384</v>
      </c>
      <c r="D1121">
        <v>1</v>
      </c>
      <c r="E1121" t="s">
        <v>13</v>
      </c>
      <c r="F1121" t="s">
        <v>39</v>
      </c>
      <c r="G1121" t="s">
        <v>15</v>
      </c>
      <c r="H1121" s="1">
        <v>44095</v>
      </c>
      <c r="I1121" t="s">
        <v>1345</v>
      </c>
      <c r="J1121" t="s">
        <v>42</v>
      </c>
      <c r="K1121" t="s">
        <v>92</v>
      </c>
      <c r="L1121" t="s">
        <v>389</v>
      </c>
    </row>
    <row r="1122" spans="1:12" x14ac:dyDescent="0.25">
      <c r="A1122" t="s">
        <v>1346</v>
      </c>
      <c r="B1122">
        <v>1314</v>
      </c>
      <c r="C1122">
        <v>457</v>
      </c>
      <c r="D1122">
        <v>8</v>
      </c>
      <c r="E1122" t="s">
        <v>45</v>
      </c>
      <c r="F1122" t="s">
        <v>60</v>
      </c>
      <c r="G1122" t="s">
        <v>40</v>
      </c>
      <c r="H1122" s="1">
        <v>44358</v>
      </c>
      <c r="I1122" t="s">
        <v>1347</v>
      </c>
      <c r="J1122" t="s">
        <v>42</v>
      </c>
      <c r="K1122" t="s">
        <v>75</v>
      </c>
      <c r="L1122" t="s">
        <v>125</v>
      </c>
    </row>
    <row r="1123" spans="1:12" x14ac:dyDescent="0.25">
      <c r="A1123" t="s">
        <v>1348</v>
      </c>
      <c r="B1123">
        <v>5951</v>
      </c>
      <c r="C1123">
        <v>936</v>
      </c>
      <c r="D1123">
        <v>6</v>
      </c>
      <c r="E1123" t="s">
        <v>13</v>
      </c>
      <c r="F1123" t="s">
        <v>39</v>
      </c>
      <c r="G1123" t="s">
        <v>32</v>
      </c>
      <c r="H1123" s="1">
        <v>45511</v>
      </c>
      <c r="I1123" t="s">
        <v>1349</v>
      </c>
      <c r="J1123" t="s">
        <v>71</v>
      </c>
      <c r="K1123" t="s">
        <v>72</v>
      </c>
      <c r="L1123" t="s">
        <v>114</v>
      </c>
    </row>
    <row r="1124" spans="1:12" x14ac:dyDescent="0.25">
      <c r="A1124" t="s">
        <v>1348</v>
      </c>
      <c r="B1124">
        <v>5951</v>
      </c>
      <c r="C1124">
        <v>936</v>
      </c>
      <c r="D1124">
        <v>6</v>
      </c>
      <c r="E1124" t="s">
        <v>13</v>
      </c>
      <c r="F1124" t="s">
        <v>39</v>
      </c>
      <c r="G1124" t="s">
        <v>32</v>
      </c>
      <c r="H1124" s="1">
        <v>44768</v>
      </c>
      <c r="I1124" t="s">
        <v>1350</v>
      </c>
      <c r="J1124" t="s">
        <v>98</v>
      </c>
      <c r="K1124" t="s">
        <v>99</v>
      </c>
      <c r="L1124" t="s">
        <v>418</v>
      </c>
    </row>
    <row r="1125" spans="1:12" x14ac:dyDescent="0.25">
      <c r="A1125" t="s">
        <v>1351</v>
      </c>
      <c r="B1125">
        <v>992</v>
      </c>
      <c r="C1125">
        <v>177</v>
      </c>
      <c r="D1125">
        <v>6</v>
      </c>
      <c r="E1125" t="s">
        <v>13</v>
      </c>
      <c r="F1125" t="s">
        <v>82</v>
      </c>
      <c r="G1125" t="s">
        <v>15</v>
      </c>
      <c r="H1125" s="1">
        <v>45304</v>
      </c>
      <c r="I1125" t="s">
        <v>1352</v>
      </c>
      <c r="J1125" t="s">
        <v>42</v>
      </c>
      <c r="K1125" t="s">
        <v>43</v>
      </c>
      <c r="L1125" t="s">
        <v>76</v>
      </c>
    </row>
    <row r="1126" spans="1:12" x14ac:dyDescent="0.25">
      <c r="A1126" t="s">
        <v>1351</v>
      </c>
      <c r="B1126">
        <v>4699</v>
      </c>
      <c r="C1126">
        <v>625</v>
      </c>
      <c r="D1126">
        <v>18</v>
      </c>
      <c r="E1126" t="s">
        <v>30</v>
      </c>
      <c r="F1126" t="s">
        <v>57</v>
      </c>
      <c r="G1126" t="s">
        <v>40</v>
      </c>
      <c r="H1126" s="1">
        <v>45304</v>
      </c>
      <c r="I1126" t="s">
        <v>1352</v>
      </c>
      <c r="J1126" t="s">
        <v>42</v>
      </c>
      <c r="K1126" t="s">
        <v>43</v>
      </c>
      <c r="L1126" t="s">
        <v>76</v>
      </c>
    </row>
    <row r="1127" spans="1:12" x14ac:dyDescent="0.25">
      <c r="A1127" t="s">
        <v>1353</v>
      </c>
      <c r="B1127">
        <v>5557</v>
      </c>
      <c r="C1127">
        <v>2114</v>
      </c>
      <c r="D1127">
        <v>17</v>
      </c>
      <c r="E1127" t="s">
        <v>13</v>
      </c>
      <c r="F1127" t="s">
        <v>39</v>
      </c>
      <c r="G1127" t="s">
        <v>40</v>
      </c>
      <c r="H1127" s="1">
        <v>44344</v>
      </c>
      <c r="I1127" t="s">
        <v>1354</v>
      </c>
      <c r="J1127" t="s">
        <v>98</v>
      </c>
      <c r="K1127" t="s">
        <v>117</v>
      </c>
      <c r="L1127" t="s">
        <v>108</v>
      </c>
    </row>
    <row r="1128" spans="1:12" x14ac:dyDescent="0.25">
      <c r="A1128" t="s">
        <v>1355</v>
      </c>
      <c r="B1128">
        <v>3436</v>
      </c>
      <c r="C1128">
        <v>933</v>
      </c>
      <c r="D1128">
        <v>3</v>
      </c>
      <c r="E1128" t="s">
        <v>13</v>
      </c>
      <c r="F1128" t="s">
        <v>14</v>
      </c>
      <c r="G1128" t="s">
        <v>47</v>
      </c>
      <c r="H1128" s="1">
        <v>44360</v>
      </c>
      <c r="I1128" t="s">
        <v>1356</v>
      </c>
      <c r="J1128" t="s">
        <v>71</v>
      </c>
      <c r="K1128" t="s">
        <v>72</v>
      </c>
      <c r="L1128" t="s">
        <v>125</v>
      </c>
    </row>
    <row r="1129" spans="1:12" x14ac:dyDescent="0.25">
      <c r="A1129" t="s">
        <v>1357</v>
      </c>
      <c r="B1129">
        <v>9840</v>
      </c>
      <c r="C1129">
        <v>3870</v>
      </c>
      <c r="D1129">
        <v>11</v>
      </c>
      <c r="E1129" t="s">
        <v>13</v>
      </c>
      <c r="F1129" t="s">
        <v>28</v>
      </c>
      <c r="G1129" t="s">
        <v>32</v>
      </c>
      <c r="H1129" s="1">
        <v>45041</v>
      </c>
      <c r="I1129" t="s">
        <v>1358</v>
      </c>
      <c r="J1129" t="s">
        <v>71</v>
      </c>
      <c r="K1129" t="s">
        <v>86</v>
      </c>
      <c r="L1129" t="s">
        <v>145</v>
      </c>
    </row>
    <row r="1130" spans="1:12" x14ac:dyDescent="0.25">
      <c r="A1130" t="s">
        <v>1359</v>
      </c>
      <c r="B1130">
        <v>7620</v>
      </c>
      <c r="C1130">
        <v>125</v>
      </c>
      <c r="D1130">
        <v>4</v>
      </c>
      <c r="E1130" t="s">
        <v>30</v>
      </c>
      <c r="F1130" t="s">
        <v>64</v>
      </c>
      <c r="G1130" t="s">
        <v>40</v>
      </c>
      <c r="H1130" s="1">
        <v>44382</v>
      </c>
      <c r="I1130" t="s">
        <v>1360</v>
      </c>
      <c r="J1130" t="s">
        <v>42</v>
      </c>
      <c r="K1130" t="s">
        <v>92</v>
      </c>
      <c r="L1130" t="s">
        <v>27</v>
      </c>
    </row>
    <row r="1131" spans="1:12" x14ac:dyDescent="0.25">
      <c r="A1131" t="s">
        <v>1359</v>
      </c>
      <c r="B1131">
        <v>7620</v>
      </c>
      <c r="C1131">
        <v>125</v>
      </c>
      <c r="D1131">
        <v>4</v>
      </c>
      <c r="E1131" t="s">
        <v>30</v>
      </c>
      <c r="F1131" t="s">
        <v>64</v>
      </c>
      <c r="G1131" t="s">
        <v>40</v>
      </c>
      <c r="H1131" s="1">
        <v>45577</v>
      </c>
      <c r="I1131" t="s">
        <v>1361</v>
      </c>
      <c r="J1131" t="s">
        <v>42</v>
      </c>
      <c r="K1131" t="s">
        <v>92</v>
      </c>
      <c r="L1131" t="s">
        <v>360</v>
      </c>
    </row>
    <row r="1132" spans="1:12" x14ac:dyDescent="0.25">
      <c r="A1132" t="s">
        <v>1362</v>
      </c>
      <c r="B1132">
        <v>4314</v>
      </c>
      <c r="C1132">
        <v>1591</v>
      </c>
      <c r="D1132">
        <v>5</v>
      </c>
      <c r="E1132" t="s">
        <v>45</v>
      </c>
      <c r="F1132" t="s">
        <v>46</v>
      </c>
      <c r="G1132" t="s">
        <v>32</v>
      </c>
      <c r="H1132" s="1">
        <v>44473</v>
      </c>
      <c r="I1132" t="s">
        <v>1363</v>
      </c>
      <c r="J1132" t="s">
        <v>25</v>
      </c>
      <c r="K1132" t="s">
        <v>26</v>
      </c>
      <c r="L1132" t="s">
        <v>37</v>
      </c>
    </row>
    <row r="1133" spans="1:12" x14ac:dyDescent="0.25">
      <c r="A1133" t="s">
        <v>1364</v>
      </c>
      <c r="B1133">
        <v>8851</v>
      </c>
      <c r="C1133">
        <v>999</v>
      </c>
      <c r="D1133">
        <v>12</v>
      </c>
      <c r="E1133" t="s">
        <v>13</v>
      </c>
      <c r="F1133" t="s">
        <v>39</v>
      </c>
      <c r="G1133" t="s">
        <v>15</v>
      </c>
      <c r="H1133" s="1">
        <v>45329</v>
      </c>
      <c r="I1133" t="s">
        <v>1365</v>
      </c>
      <c r="J1133" t="s">
        <v>98</v>
      </c>
      <c r="K1133" t="s">
        <v>107</v>
      </c>
      <c r="L1133" t="s">
        <v>218</v>
      </c>
    </row>
    <row r="1134" spans="1:12" x14ac:dyDescent="0.25">
      <c r="A1134" t="s">
        <v>1366</v>
      </c>
      <c r="B1134">
        <v>544</v>
      </c>
      <c r="C1134">
        <v>272</v>
      </c>
      <c r="D1134">
        <v>2</v>
      </c>
      <c r="E1134" t="s">
        <v>13</v>
      </c>
      <c r="F1134" t="s">
        <v>39</v>
      </c>
      <c r="G1134" t="s">
        <v>32</v>
      </c>
      <c r="H1134" s="1">
        <v>44260</v>
      </c>
      <c r="I1134" t="s">
        <v>1367</v>
      </c>
      <c r="J1134" t="s">
        <v>71</v>
      </c>
      <c r="K1134" t="s">
        <v>138</v>
      </c>
      <c r="L1134" t="s">
        <v>167</v>
      </c>
    </row>
    <row r="1135" spans="1:12" x14ac:dyDescent="0.25">
      <c r="A1135" t="s">
        <v>1366</v>
      </c>
      <c r="B1135">
        <v>544</v>
      </c>
      <c r="C1135">
        <v>272</v>
      </c>
      <c r="D1135">
        <v>2</v>
      </c>
      <c r="E1135" t="s">
        <v>13</v>
      </c>
      <c r="F1135" t="s">
        <v>39</v>
      </c>
      <c r="G1135" t="s">
        <v>32</v>
      </c>
      <c r="H1135" s="1">
        <v>45102</v>
      </c>
      <c r="I1135" t="s">
        <v>1368</v>
      </c>
      <c r="J1135" t="s">
        <v>25</v>
      </c>
      <c r="K1135" t="s">
        <v>26</v>
      </c>
      <c r="L1135" t="s">
        <v>19</v>
      </c>
    </row>
    <row r="1136" spans="1:12" x14ac:dyDescent="0.25">
      <c r="A1136" t="s">
        <v>1369</v>
      </c>
      <c r="B1136">
        <v>537</v>
      </c>
      <c r="C1136">
        <v>142</v>
      </c>
      <c r="D1136">
        <v>20</v>
      </c>
      <c r="E1136" t="s">
        <v>30</v>
      </c>
      <c r="F1136" t="s">
        <v>57</v>
      </c>
      <c r="G1136" t="s">
        <v>40</v>
      </c>
      <c r="H1136" s="1">
        <v>44410</v>
      </c>
      <c r="I1136" t="s">
        <v>1370</v>
      </c>
      <c r="J1136" t="s">
        <v>21</v>
      </c>
      <c r="K1136" t="s">
        <v>172</v>
      </c>
      <c r="L1136" t="s">
        <v>178</v>
      </c>
    </row>
    <row r="1137" spans="1:12" x14ac:dyDescent="0.25">
      <c r="A1137" t="s">
        <v>1371</v>
      </c>
      <c r="B1137">
        <v>5944</v>
      </c>
      <c r="C1137">
        <v>2661</v>
      </c>
      <c r="D1137">
        <v>7</v>
      </c>
      <c r="E1137" t="s">
        <v>13</v>
      </c>
      <c r="F1137" t="s">
        <v>39</v>
      </c>
      <c r="G1137" t="s">
        <v>40</v>
      </c>
      <c r="H1137" s="1">
        <v>44637</v>
      </c>
      <c r="I1137" t="s">
        <v>1372</v>
      </c>
      <c r="J1137" t="s">
        <v>71</v>
      </c>
      <c r="K1137" t="s">
        <v>86</v>
      </c>
      <c r="L1137" t="s">
        <v>134</v>
      </c>
    </row>
    <row r="1138" spans="1:12" x14ac:dyDescent="0.25">
      <c r="A1138" t="s">
        <v>1373</v>
      </c>
      <c r="B1138">
        <v>2258</v>
      </c>
      <c r="C1138">
        <v>135</v>
      </c>
      <c r="D1138">
        <v>18</v>
      </c>
      <c r="E1138" t="s">
        <v>13</v>
      </c>
      <c r="F1138" t="s">
        <v>28</v>
      </c>
      <c r="G1138" t="s">
        <v>47</v>
      </c>
      <c r="H1138" s="1">
        <v>45329</v>
      </c>
      <c r="I1138" t="s">
        <v>1374</v>
      </c>
      <c r="J1138" t="s">
        <v>17</v>
      </c>
      <c r="K1138" t="s">
        <v>18</v>
      </c>
      <c r="L1138" t="s">
        <v>218</v>
      </c>
    </row>
    <row r="1139" spans="1:12" x14ac:dyDescent="0.25">
      <c r="A1139" t="s">
        <v>1373</v>
      </c>
      <c r="B1139">
        <v>2258</v>
      </c>
      <c r="C1139">
        <v>135</v>
      </c>
      <c r="D1139">
        <v>18</v>
      </c>
      <c r="E1139" t="s">
        <v>13</v>
      </c>
      <c r="F1139" t="s">
        <v>28</v>
      </c>
      <c r="G1139" t="s">
        <v>47</v>
      </c>
      <c r="H1139" s="1">
        <v>44792</v>
      </c>
      <c r="I1139" t="s">
        <v>1375</v>
      </c>
      <c r="J1139" t="s">
        <v>42</v>
      </c>
      <c r="K1139" t="s">
        <v>75</v>
      </c>
      <c r="L1139" t="s">
        <v>209</v>
      </c>
    </row>
    <row r="1140" spans="1:12" x14ac:dyDescent="0.25">
      <c r="A1140" t="s">
        <v>1376</v>
      </c>
      <c r="B1140">
        <v>9609</v>
      </c>
      <c r="C1140">
        <v>4339</v>
      </c>
      <c r="D1140">
        <v>3</v>
      </c>
      <c r="E1140" t="s">
        <v>45</v>
      </c>
      <c r="F1140" t="s">
        <v>60</v>
      </c>
      <c r="G1140" t="s">
        <v>32</v>
      </c>
      <c r="H1140" s="1">
        <v>45554</v>
      </c>
      <c r="I1140" t="s">
        <v>1377</v>
      </c>
      <c r="J1140" t="s">
        <v>71</v>
      </c>
      <c r="K1140" t="s">
        <v>138</v>
      </c>
      <c r="L1140" t="s">
        <v>159</v>
      </c>
    </row>
    <row r="1141" spans="1:12" x14ac:dyDescent="0.25">
      <c r="A1141" t="s">
        <v>1376</v>
      </c>
      <c r="B1141">
        <v>9609</v>
      </c>
      <c r="C1141">
        <v>4339</v>
      </c>
      <c r="D1141">
        <v>3</v>
      </c>
      <c r="E1141" t="s">
        <v>45</v>
      </c>
      <c r="F1141" t="s">
        <v>60</v>
      </c>
      <c r="G1141" t="s">
        <v>32</v>
      </c>
      <c r="H1141" s="1">
        <v>43926</v>
      </c>
      <c r="I1141" t="s">
        <v>1378</v>
      </c>
      <c r="J1141" t="s">
        <v>98</v>
      </c>
      <c r="K1141" t="s">
        <v>107</v>
      </c>
      <c r="L1141" t="s">
        <v>162</v>
      </c>
    </row>
    <row r="1142" spans="1:12" x14ac:dyDescent="0.25">
      <c r="A1142" t="s">
        <v>1379</v>
      </c>
      <c r="B1142">
        <v>9952</v>
      </c>
      <c r="C1142">
        <v>3301</v>
      </c>
      <c r="D1142">
        <v>15</v>
      </c>
      <c r="E1142" t="s">
        <v>13</v>
      </c>
      <c r="F1142" t="s">
        <v>14</v>
      </c>
      <c r="G1142" t="s">
        <v>32</v>
      </c>
      <c r="H1142" s="1">
        <v>44995</v>
      </c>
      <c r="I1142" t="s">
        <v>1380</v>
      </c>
      <c r="J1142" t="s">
        <v>71</v>
      </c>
      <c r="K1142" t="s">
        <v>72</v>
      </c>
      <c r="L1142" t="s">
        <v>245</v>
      </c>
    </row>
    <row r="1143" spans="1:12" x14ac:dyDescent="0.25">
      <c r="A1143" t="s">
        <v>1381</v>
      </c>
      <c r="B1143">
        <v>9873</v>
      </c>
      <c r="C1143">
        <v>4585</v>
      </c>
      <c r="D1143">
        <v>7</v>
      </c>
      <c r="E1143" t="s">
        <v>30</v>
      </c>
      <c r="F1143" t="s">
        <v>64</v>
      </c>
      <c r="G1143" t="s">
        <v>47</v>
      </c>
      <c r="H1143" s="1">
        <v>44053</v>
      </c>
      <c r="I1143" t="s">
        <v>1382</v>
      </c>
      <c r="J1143" t="s">
        <v>98</v>
      </c>
      <c r="K1143" t="s">
        <v>99</v>
      </c>
      <c r="L1143" t="s">
        <v>185</v>
      </c>
    </row>
    <row r="1144" spans="1:12" x14ac:dyDescent="0.25">
      <c r="A1144" t="s">
        <v>1383</v>
      </c>
      <c r="B1144">
        <v>3560</v>
      </c>
      <c r="C1144">
        <v>1335</v>
      </c>
      <c r="D1144">
        <v>15</v>
      </c>
      <c r="E1144" t="s">
        <v>13</v>
      </c>
      <c r="F1144" t="s">
        <v>14</v>
      </c>
      <c r="G1144" t="s">
        <v>65</v>
      </c>
      <c r="H1144" s="1">
        <v>43950</v>
      </c>
      <c r="I1144" t="s">
        <v>1384</v>
      </c>
      <c r="J1144" t="s">
        <v>25</v>
      </c>
      <c r="K1144" t="s">
        <v>51</v>
      </c>
      <c r="L1144" t="s">
        <v>162</v>
      </c>
    </row>
    <row r="1145" spans="1:12" x14ac:dyDescent="0.25">
      <c r="A1145" t="s">
        <v>1383</v>
      </c>
      <c r="B1145">
        <v>3560</v>
      </c>
      <c r="C1145">
        <v>1335</v>
      </c>
      <c r="D1145">
        <v>15</v>
      </c>
      <c r="E1145" t="s">
        <v>13</v>
      </c>
      <c r="F1145" t="s">
        <v>14</v>
      </c>
      <c r="G1145" t="s">
        <v>65</v>
      </c>
      <c r="H1145" s="1">
        <v>45001</v>
      </c>
      <c r="I1145" t="s">
        <v>1385</v>
      </c>
      <c r="J1145" t="s">
        <v>21</v>
      </c>
      <c r="K1145" t="s">
        <v>63</v>
      </c>
      <c r="L1145" t="s">
        <v>245</v>
      </c>
    </row>
    <row r="1146" spans="1:12" x14ac:dyDescent="0.25">
      <c r="A1146" t="s">
        <v>1386</v>
      </c>
      <c r="B1146">
        <v>6528</v>
      </c>
      <c r="C1146">
        <v>76</v>
      </c>
      <c r="D1146">
        <v>9</v>
      </c>
      <c r="E1146" t="s">
        <v>13</v>
      </c>
      <c r="F1146" t="s">
        <v>82</v>
      </c>
      <c r="G1146" t="s">
        <v>32</v>
      </c>
      <c r="H1146" s="1">
        <v>43955</v>
      </c>
      <c r="I1146" t="s">
        <v>1387</v>
      </c>
      <c r="J1146" t="s">
        <v>25</v>
      </c>
      <c r="K1146" t="s">
        <v>26</v>
      </c>
      <c r="L1146" t="s">
        <v>59</v>
      </c>
    </row>
    <row r="1147" spans="1:12" x14ac:dyDescent="0.25">
      <c r="A1147" t="s">
        <v>1386</v>
      </c>
      <c r="B1147">
        <v>8930</v>
      </c>
      <c r="C1147">
        <v>3374</v>
      </c>
      <c r="D1147">
        <v>12</v>
      </c>
      <c r="E1147" t="s">
        <v>45</v>
      </c>
      <c r="F1147" t="s">
        <v>60</v>
      </c>
      <c r="G1147" t="s">
        <v>32</v>
      </c>
      <c r="H1147" s="1">
        <v>43955</v>
      </c>
      <c r="I1147" t="s">
        <v>1387</v>
      </c>
      <c r="J1147" t="s">
        <v>25</v>
      </c>
      <c r="K1147" t="s">
        <v>26</v>
      </c>
      <c r="L1147" t="s">
        <v>59</v>
      </c>
    </row>
    <row r="1148" spans="1:12" x14ac:dyDescent="0.25">
      <c r="A1148" t="s">
        <v>1388</v>
      </c>
      <c r="B1148">
        <v>4521</v>
      </c>
      <c r="C1148">
        <v>1778</v>
      </c>
      <c r="D1148">
        <v>9</v>
      </c>
      <c r="E1148" t="s">
        <v>30</v>
      </c>
      <c r="F1148" t="s">
        <v>64</v>
      </c>
      <c r="G1148" t="s">
        <v>32</v>
      </c>
      <c r="H1148" s="1">
        <v>45580</v>
      </c>
      <c r="I1148" t="s">
        <v>1389</v>
      </c>
      <c r="J1148" t="s">
        <v>17</v>
      </c>
      <c r="K1148" t="s">
        <v>150</v>
      </c>
      <c r="L1148" t="s">
        <v>360</v>
      </c>
    </row>
    <row r="1149" spans="1:12" x14ac:dyDescent="0.25">
      <c r="A1149" t="s">
        <v>1390</v>
      </c>
      <c r="B1149">
        <v>7091</v>
      </c>
      <c r="C1149">
        <v>2317</v>
      </c>
      <c r="D1149">
        <v>10</v>
      </c>
      <c r="E1149" t="s">
        <v>45</v>
      </c>
      <c r="F1149" t="s">
        <v>60</v>
      </c>
      <c r="G1149" t="s">
        <v>47</v>
      </c>
      <c r="H1149" s="1">
        <v>44721</v>
      </c>
      <c r="I1149" t="s">
        <v>1391</v>
      </c>
      <c r="J1149" t="s">
        <v>42</v>
      </c>
      <c r="K1149" t="s">
        <v>75</v>
      </c>
      <c r="L1149" t="s">
        <v>165</v>
      </c>
    </row>
    <row r="1150" spans="1:12" x14ac:dyDescent="0.25">
      <c r="A1150" t="s">
        <v>1392</v>
      </c>
      <c r="B1150">
        <v>2101</v>
      </c>
      <c r="C1150">
        <v>287</v>
      </c>
      <c r="D1150">
        <v>8</v>
      </c>
      <c r="E1150" t="s">
        <v>30</v>
      </c>
      <c r="F1150" t="s">
        <v>31</v>
      </c>
      <c r="G1150" t="s">
        <v>65</v>
      </c>
      <c r="H1150" s="1">
        <v>44016</v>
      </c>
      <c r="I1150" t="s">
        <v>703</v>
      </c>
      <c r="J1150" t="s">
        <v>98</v>
      </c>
      <c r="K1150" t="s">
        <v>117</v>
      </c>
      <c r="L1150" t="s">
        <v>462</v>
      </c>
    </row>
    <row r="1151" spans="1:12" x14ac:dyDescent="0.25">
      <c r="A1151" t="s">
        <v>1392</v>
      </c>
      <c r="B1151">
        <v>2101</v>
      </c>
      <c r="C1151">
        <v>287</v>
      </c>
      <c r="D1151">
        <v>8</v>
      </c>
      <c r="E1151" t="s">
        <v>30</v>
      </c>
      <c r="F1151" t="s">
        <v>31</v>
      </c>
      <c r="G1151" t="s">
        <v>65</v>
      </c>
      <c r="H1151" s="1">
        <v>45025</v>
      </c>
      <c r="I1151" t="s">
        <v>1393</v>
      </c>
      <c r="J1151" t="s">
        <v>21</v>
      </c>
      <c r="K1151" t="s">
        <v>22</v>
      </c>
      <c r="L1151" t="s">
        <v>145</v>
      </c>
    </row>
    <row r="1152" spans="1:12" x14ac:dyDescent="0.25">
      <c r="A1152" t="s">
        <v>1394</v>
      </c>
      <c r="B1152">
        <v>8644</v>
      </c>
      <c r="C1152">
        <v>1968</v>
      </c>
      <c r="D1152">
        <v>9</v>
      </c>
      <c r="E1152" t="s">
        <v>30</v>
      </c>
      <c r="F1152" t="s">
        <v>64</v>
      </c>
      <c r="G1152" t="s">
        <v>32</v>
      </c>
      <c r="H1152" s="1">
        <v>45254</v>
      </c>
      <c r="I1152" t="s">
        <v>1395</v>
      </c>
      <c r="J1152" t="s">
        <v>21</v>
      </c>
      <c r="K1152" t="s">
        <v>22</v>
      </c>
      <c r="L1152" t="s">
        <v>52</v>
      </c>
    </row>
    <row r="1153" spans="1:12" x14ac:dyDescent="0.25">
      <c r="A1153" t="s">
        <v>1396</v>
      </c>
      <c r="B1153">
        <v>6672</v>
      </c>
      <c r="C1153">
        <v>3319</v>
      </c>
      <c r="D1153">
        <v>4</v>
      </c>
      <c r="E1153" t="s">
        <v>45</v>
      </c>
      <c r="F1153" t="s">
        <v>46</v>
      </c>
      <c r="G1153" t="s">
        <v>15</v>
      </c>
      <c r="H1153" s="1">
        <v>45259</v>
      </c>
      <c r="I1153" t="s">
        <v>1397</v>
      </c>
      <c r="J1153" t="s">
        <v>71</v>
      </c>
      <c r="K1153" t="s">
        <v>72</v>
      </c>
      <c r="L1153" t="s">
        <v>52</v>
      </c>
    </row>
    <row r="1154" spans="1:12" x14ac:dyDescent="0.25">
      <c r="A1154" t="s">
        <v>1396</v>
      </c>
      <c r="B1154">
        <v>6672</v>
      </c>
      <c r="C1154">
        <v>3319</v>
      </c>
      <c r="D1154">
        <v>4</v>
      </c>
      <c r="E1154" t="s">
        <v>45</v>
      </c>
      <c r="F1154" t="s">
        <v>46</v>
      </c>
      <c r="G1154" t="s">
        <v>15</v>
      </c>
      <c r="H1154" s="1">
        <v>45432</v>
      </c>
      <c r="I1154" t="s">
        <v>1398</v>
      </c>
      <c r="J1154" t="s">
        <v>42</v>
      </c>
      <c r="K1154" t="s">
        <v>75</v>
      </c>
      <c r="L1154" t="s">
        <v>35</v>
      </c>
    </row>
    <row r="1155" spans="1:12" x14ac:dyDescent="0.25">
      <c r="A1155" t="s">
        <v>1399</v>
      </c>
      <c r="B1155">
        <v>4699</v>
      </c>
      <c r="C1155">
        <v>103</v>
      </c>
      <c r="D1155">
        <v>12</v>
      </c>
      <c r="E1155" t="s">
        <v>30</v>
      </c>
      <c r="F1155" t="s">
        <v>78</v>
      </c>
      <c r="G1155" t="s">
        <v>15</v>
      </c>
      <c r="H1155" s="1">
        <v>45433</v>
      </c>
      <c r="I1155" t="s">
        <v>1400</v>
      </c>
      <c r="J1155" t="s">
        <v>98</v>
      </c>
      <c r="K1155" t="s">
        <v>107</v>
      </c>
      <c r="L1155" t="s">
        <v>35</v>
      </c>
    </row>
    <row r="1156" spans="1:12" x14ac:dyDescent="0.25">
      <c r="A1156" t="s">
        <v>1401</v>
      </c>
      <c r="B1156">
        <v>4897</v>
      </c>
      <c r="C1156">
        <v>1001</v>
      </c>
      <c r="D1156">
        <v>14</v>
      </c>
      <c r="E1156" t="s">
        <v>45</v>
      </c>
      <c r="F1156" t="s">
        <v>60</v>
      </c>
      <c r="G1156" t="s">
        <v>32</v>
      </c>
      <c r="H1156" s="1">
        <v>44537</v>
      </c>
      <c r="I1156" t="s">
        <v>1402</v>
      </c>
      <c r="J1156" t="s">
        <v>71</v>
      </c>
      <c r="K1156" t="s">
        <v>138</v>
      </c>
      <c r="L1156" t="s">
        <v>90</v>
      </c>
    </row>
    <row r="1157" spans="1:12" x14ac:dyDescent="0.25">
      <c r="A1157" t="s">
        <v>1401</v>
      </c>
      <c r="B1157">
        <v>4897</v>
      </c>
      <c r="C1157">
        <v>1001</v>
      </c>
      <c r="D1157">
        <v>14</v>
      </c>
      <c r="E1157" t="s">
        <v>45</v>
      </c>
      <c r="F1157" t="s">
        <v>60</v>
      </c>
      <c r="G1157" t="s">
        <v>32</v>
      </c>
      <c r="H1157" s="1">
        <v>45663</v>
      </c>
      <c r="I1157" t="s">
        <v>1403</v>
      </c>
      <c r="J1157" t="s">
        <v>98</v>
      </c>
      <c r="K1157" t="s">
        <v>107</v>
      </c>
      <c r="L1157" t="s">
        <v>308</v>
      </c>
    </row>
    <row r="1158" spans="1:12" x14ac:dyDescent="0.25">
      <c r="A1158" t="s">
        <v>1404</v>
      </c>
      <c r="B1158">
        <v>5460</v>
      </c>
      <c r="C1158">
        <v>2088</v>
      </c>
      <c r="D1158">
        <v>14</v>
      </c>
      <c r="E1158" t="s">
        <v>45</v>
      </c>
      <c r="F1158" t="s">
        <v>46</v>
      </c>
      <c r="G1158" t="s">
        <v>32</v>
      </c>
      <c r="H1158" s="1">
        <v>44755</v>
      </c>
      <c r="I1158" t="s">
        <v>1405</v>
      </c>
      <c r="J1158" t="s">
        <v>25</v>
      </c>
      <c r="K1158" t="s">
        <v>26</v>
      </c>
      <c r="L1158" t="s">
        <v>418</v>
      </c>
    </row>
    <row r="1159" spans="1:12" x14ac:dyDescent="0.25">
      <c r="A1159" t="s">
        <v>1404</v>
      </c>
      <c r="B1159">
        <v>5460</v>
      </c>
      <c r="C1159">
        <v>2088</v>
      </c>
      <c r="D1159">
        <v>14</v>
      </c>
      <c r="E1159" t="s">
        <v>45</v>
      </c>
      <c r="F1159" t="s">
        <v>46</v>
      </c>
      <c r="G1159" t="s">
        <v>32</v>
      </c>
      <c r="H1159" s="1">
        <v>43940</v>
      </c>
      <c r="I1159" t="s">
        <v>1406</v>
      </c>
      <c r="J1159" t="s">
        <v>98</v>
      </c>
      <c r="K1159" t="s">
        <v>107</v>
      </c>
      <c r="L1159" t="s">
        <v>162</v>
      </c>
    </row>
    <row r="1160" spans="1:12" x14ac:dyDescent="0.25">
      <c r="A1160" t="s">
        <v>1407</v>
      </c>
      <c r="B1160">
        <v>9272</v>
      </c>
      <c r="C1160">
        <v>1771</v>
      </c>
      <c r="D1160">
        <v>19</v>
      </c>
      <c r="E1160" t="s">
        <v>30</v>
      </c>
      <c r="F1160" t="s">
        <v>57</v>
      </c>
      <c r="G1160" t="s">
        <v>15</v>
      </c>
      <c r="H1160" s="1">
        <v>45610</v>
      </c>
      <c r="I1160" t="s">
        <v>1408</v>
      </c>
      <c r="J1160" t="s">
        <v>21</v>
      </c>
      <c r="K1160" t="s">
        <v>63</v>
      </c>
      <c r="L1160" t="s">
        <v>255</v>
      </c>
    </row>
    <row r="1161" spans="1:12" x14ac:dyDescent="0.25">
      <c r="A1161" t="s">
        <v>1407</v>
      </c>
      <c r="B1161">
        <v>9272</v>
      </c>
      <c r="C1161">
        <v>1771</v>
      </c>
      <c r="D1161">
        <v>19</v>
      </c>
      <c r="E1161" t="s">
        <v>30</v>
      </c>
      <c r="F1161" t="s">
        <v>57</v>
      </c>
      <c r="G1161" t="s">
        <v>15</v>
      </c>
      <c r="H1161" s="1">
        <v>43939</v>
      </c>
      <c r="I1161" t="s">
        <v>1409</v>
      </c>
      <c r="J1161" t="s">
        <v>71</v>
      </c>
      <c r="K1161" t="s">
        <v>72</v>
      </c>
      <c r="L1161" t="s">
        <v>162</v>
      </c>
    </row>
    <row r="1162" spans="1:12" x14ac:dyDescent="0.25">
      <c r="A1162" t="s">
        <v>1410</v>
      </c>
      <c r="B1162">
        <v>7870</v>
      </c>
      <c r="C1162">
        <v>1057</v>
      </c>
      <c r="D1162">
        <v>15</v>
      </c>
      <c r="E1162" t="s">
        <v>30</v>
      </c>
      <c r="F1162" t="s">
        <v>31</v>
      </c>
      <c r="G1162" t="s">
        <v>47</v>
      </c>
      <c r="H1162" s="1">
        <v>45217</v>
      </c>
      <c r="I1162" t="s">
        <v>1411</v>
      </c>
      <c r="J1162" t="s">
        <v>71</v>
      </c>
      <c r="K1162" t="s">
        <v>138</v>
      </c>
      <c r="L1162" t="s">
        <v>442</v>
      </c>
    </row>
    <row r="1163" spans="1:12" x14ac:dyDescent="0.25">
      <c r="A1163" t="s">
        <v>1410</v>
      </c>
      <c r="B1163">
        <v>7870</v>
      </c>
      <c r="C1163">
        <v>1057</v>
      </c>
      <c r="D1163">
        <v>15</v>
      </c>
      <c r="E1163" t="s">
        <v>30</v>
      </c>
      <c r="F1163" t="s">
        <v>31</v>
      </c>
      <c r="G1163" t="s">
        <v>47</v>
      </c>
      <c r="H1163" s="1">
        <v>44276</v>
      </c>
      <c r="I1163" t="s">
        <v>1412</v>
      </c>
      <c r="J1163" t="s">
        <v>98</v>
      </c>
      <c r="K1163" t="s">
        <v>117</v>
      </c>
      <c r="L1163" t="s">
        <v>167</v>
      </c>
    </row>
    <row r="1164" spans="1:12" x14ac:dyDescent="0.25">
      <c r="A1164" t="s">
        <v>1413</v>
      </c>
      <c r="B1164">
        <v>7992</v>
      </c>
      <c r="C1164">
        <v>893</v>
      </c>
      <c r="D1164">
        <v>12</v>
      </c>
      <c r="E1164" t="s">
        <v>13</v>
      </c>
      <c r="F1164" t="s">
        <v>39</v>
      </c>
      <c r="G1164" t="s">
        <v>47</v>
      </c>
      <c r="H1164" s="1">
        <v>45548</v>
      </c>
      <c r="I1164" t="s">
        <v>1414</v>
      </c>
      <c r="J1164" t="s">
        <v>98</v>
      </c>
      <c r="K1164" t="s">
        <v>117</v>
      </c>
      <c r="L1164" t="s">
        <v>159</v>
      </c>
    </row>
    <row r="1165" spans="1:12" x14ac:dyDescent="0.25">
      <c r="A1165" t="s">
        <v>1413</v>
      </c>
      <c r="B1165">
        <v>7992</v>
      </c>
      <c r="C1165">
        <v>893</v>
      </c>
      <c r="D1165">
        <v>12</v>
      </c>
      <c r="E1165" t="s">
        <v>13</v>
      </c>
      <c r="F1165" t="s">
        <v>39</v>
      </c>
      <c r="G1165" t="s">
        <v>47</v>
      </c>
      <c r="H1165" s="1">
        <v>45050</v>
      </c>
      <c r="I1165" t="s">
        <v>1415</v>
      </c>
      <c r="J1165" t="s">
        <v>25</v>
      </c>
      <c r="K1165" t="s">
        <v>51</v>
      </c>
      <c r="L1165" t="s">
        <v>127</v>
      </c>
    </row>
    <row r="1166" spans="1:12" x14ac:dyDescent="0.25">
      <c r="A1166" t="s">
        <v>1413</v>
      </c>
      <c r="B1166">
        <v>7992</v>
      </c>
      <c r="C1166">
        <v>893</v>
      </c>
      <c r="D1166">
        <v>12</v>
      </c>
      <c r="E1166" t="s">
        <v>13</v>
      </c>
      <c r="F1166" t="s">
        <v>39</v>
      </c>
      <c r="G1166" t="s">
        <v>47</v>
      </c>
      <c r="H1166" s="1">
        <v>45077</v>
      </c>
      <c r="I1166" t="s">
        <v>1416</v>
      </c>
      <c r="J1166" t="s">
        <v>21</v>
      </c>
      <c r="K1166" t="s">
        <v>22</v>
      </c>
      <c r="L1166" t="s">
        <v>127</v>
      </c>
    </row>
    <row r="1167" spans="1:12" x14ac:dyDescent="0.25">
      <c r="A1167" t="s">
        <v>1417</v>
      </c>
      <c r="B1167">
        <v>6499</v>
      </c>
      <c r="C1167">
        <v>2189</v>
      </c>
      <c r="D1167">
        <v>18</v>
      </c>
      <c r="E1167" t="s">
        <v>13</v>
      </c>
      <c r="F1167" t="s">
        <v>14</v>
      </c>
      <c r="G1167" t="s">
        <v>40</v>
      </c>
      <c r="H1167" s="1">
        <v>45458</v>
      </c>
      <c r="I1167" t="s">
        <v>1418</v>
      </c>
      <c r="J1167" t="s">
        <v>25</v>
      </c>
      <c r="K1167" t="s">
        <v>51</v>
      </c>
      <c r="L1167" t="s">
        <v>262</v>
      </c>
    </row>
    <row r="1168" spans="1:12" x14ac:dyDescent="0.25">
      <c r="A1168" t="s">
        <v>1417</v>
      </c>
      <c r="B1168">
        <v>6499</v>
      </c>
      <c r="C1168">
        <v>2189</v>
      </c>
      <c r="D1168">
        <v>18</v>
      </c>
      <c r="E1168" t="s">
        <v>13</v>
      </c>
      <c r="F1168" t="s">
        <v>14</v>
      </c>
      <c r="G1168" t="s">
        <v>40</v>
      </c>
      <c r="H1168" s="1">
        <v>44289</v>
      </c>
      <c r="I1168" t="s">
        <v>1419</v>
      </c>
      <c r="J1168" t="s">
        <v>17</v>
      </c>
      <c r="K1168" t="s">
        <v>34</v>
      </c>
      <c r="L1168" t="s">
        <v>139</v>
      </c>
    </row>
    <row r="1169" spans="1:12" x14ac:dyDescent="0.25">
      <c r="A1169" t="s">
        <v>1420</v>
      </c>
      <c r="B1169">
        <v>8848</v>
      </c>
      <c r="C1169">
        <v>2090</v>
      </c>
      <c r="D1169">
        <v>9</v>
      </c>
      <c r="E1169" t="s">
        <v>30</v>
      </c>
      <c r="F1169" t="s">
        <v>31</v>
      </c>
      <c r="G1169" t="s">
        <v>32</v>
      </c>
      <c r="H1169" s="1">
        <v>45671</v>
      </c>
      <c r="I1169" t="s">
        <v>1421</v>
      </c>
      <c r="J1169" t="s">
        <v>42</v>
      </c>
      <c r="K1169" t="s">
        <v>75</v>
      </c>
      <c r="L1169" t="s">
        <v>308</v>
      </c>
    </row>
    <row r="1170" spans="1:12" x14ac:dyDescent="0.25">
      <c r="A1170" t="s">
        <v>1422</v>
      </c>
      <c r="B1170">
        <v>8044</v>
      </c>
      <c r="C1170">
        <v>3634</v>
      </c>
      <c r="D1170">
        <v>3</v>
      </c>
      <c r="E1170" t="s">
        <v>30</v>
      </c>
      <c r="F1170" t="s">
        <v>57</v>
      </c>
      <c r="G1170" t="s">
        <v>65</v>
      </c>
      <c r="H1170" s="1">
        <v>44189</v>
      </c>
      <c r="I1170" t="s">
        <v>1423</v>
      </c>
      <c r="J1170" t="s">
        <v>17</v>
      </c>
      <c r="K1170" t="s">
        <v>34</v>
      </c>
      <c r="L1170" t="s">
        <v>287</v>
      </c>
    </row>
    <row r="1171" spans="1:12" x14ac:dyDescent="0.25">
      <c r="A1171" t="s">
        <v>1422</v>
      </c>
      <c r="B1171">
        <v>8044</v>
      </c>
      <c r="C1171">
        <v>3634</v>
      </c>
      <c r="D1171">
        <v>3</v>
      </c>
      <c r="E1171" t="s">
        <v>30</v>
      </c>
      <c r="F1171" t="s">
        <v>57</v>
      </c>
      <c r="G1171" t="s">
        <v>65</v>
      </c>
      <c r="H1171" s="1">
        <v>44841</v>
      </c>
      <c r="I1171" t="s">
        <v>1424</v>
      </c>
      <c r="J1171" t="s">
        <v>42</v>
      </c>
      <c r="K1171" t="s">
        <v>75</v>
      </c>
      <c r="L1171" t="s">
        <v>96</v>
      </c>
    </row>
    <row r="1172" spans="1:12" x14ac:dyDescent="0.25">
      <c r="A1172" t="s">
        <v>1425</v>
      </c>
      <c r="B1172">
        <v>7417</v>
      </c>
      <c r="C1172">
        <v>1334</v>
      </c>
      <c r="D1172">
        <v>16</v>
      </c>
      <c r="E1172" t="s">
        <v>45</v>
      </c>
      <c r="F1172" t="s">
        <v>109</v>
      </c>
      <c r="G1172" t="s">
        <v>65</v>
      </c>
      <c r="H1172" s="1">
        <v>44474</v>
      </c>
      <c r="I1172" t="s">
        <v>1426</v>
      </c>
      <c r="J1172" t="s">
        <v>17</v>
      </c>
      <c r="K1172" t="s">
        <v>150</v>
      </c>
      <c r="L1172" t="s">
        <v>37</v>
      </c>
    </row>
    <row r="1173" spans="1:12" x14ac:dyDescent="0.25">
      <c r="A1173" t="s">
        <v>1427</v>
      </c>
      <c r="B1173">
        <v>3451</v>
      </c>
      <c r="C1173">
        <v>658</v>
      </c>
      <c r="D1173">
        <v>3</v>
      </c>
      <c r="E1173" t="s">
        <v>30</v>
      </c>
      <c r="F1173" t="s">
        <v>57</v>
      </c>
      <c r="G1173" t="s">
        <v>15</v>
      </c>
      <c r="H1173" s="1">
        <v>45654</v>
      </c>
      <c r="I1173" t="s">
        <v>1428</v>
      </c>
      <c r="J1173" t="s">
        <v>21</v>
      </c>
      <c r="K1173" t="s">
        <v>22</v>
      </c>
      <c r="L1173" t="s">
        <v>23</v>
      </c>
    </row>
    <row r="1174" spans="1:12" x14ac:dyDescent="0.25">
      <c r="A1174" t="s">
        <v>1429</v>
      </c>
      <c r="B1174">
        <v>8531</v>
      </c>
      <c r="C1174">
        <v>2555</v>
      </c>
      <c r="D1174">
        <v>4</v>
      </c>
      <c r="E1174" t="s">
        <v>13</v>
      </c>
      <c r="F1174" t="s">
        <v>39</v>
      </c>
      <c r="G1174" t="s">
        <v>40</v>
      </c>
      <c r="H1174" s="1">
        <v>44695</v>
      </c>
      <c r="I1174" t="s">
        <v>1430</v>
      </c>
      <c r="J1174" t="s">
        <v>71</v>
      </c>
      <c r="K1174" t="s">
        <v>86</v>
      </c>
      <c r="L1174" t="s">
        <v>180</v>
      </c>
    </row>
    <row r="1175" spans="1:12" x14ac:dyDescent="0.25">
      <c r="A1175" t="s">
        <v>1431</v>
      </c>
      <c r="B1175">
        <v>6646</v>
      </c>
      <c r="C1175">
        <v>848</v>
      </c>
      <c r="D1175">
        <v>15</v>
      </c>
      <c r="E1175" t="s">
        <v>45</v>
      </c>
      <c r="F1175" t="s">
        <v>60</v>
      </c>
      <c r="G1175" t="s">
        <v>32</v>
      </c>
      <c r="H1175" s="1">
        <v>45157</v>
      </c>
      <c r="I1175" t="s">
        <v>1432</v>
      </c>
      <c r="J1175" t="s">
        <v>25</v>
      </c>
      <c r="K1175" t="s">
        <v>51</v>
      </c>
      <c r="L1175" t="s">
        <v>121</v>
      </c>
    </row>
    <row r="1176" spans="1:12" x14ac:dyDescent="0.25">
      <c r="A1176" t="s">
        <v>1431</v>
      </c>
      <c r="B1176">
        <v>6646</v>
      </c>
      <c r="C1176">
        <v>848</v>
      </c>
      <c r="D1176">
        <v>15</v>
      </c>
      <c r="E1176" t="s">
        <v>45</v>
      </c>
      <c r="F1176" t="s">
        <v>60</v>
      </c>
      <c r="G1176" t="s">
        <v>32</v>
      </c>
      <c r="H1176" s="1">
        <v>45121</v>
      </c>
      <c r="I1176" t="s">
        <v>1433</v>
      </c>
      <c r="J1176" t="s">
        <v>25</v>
      </c>
      <c r="K1176" t="s">
        <v>26</v>
      </c>
      <c r="L1176" t="s">
        <v>105</v>
      </c>
    </row>
    <row r="1177" spans="1:12" x14ac:dyDescent="0.25">
      <c r="A1177" t="s">
        <v>1434</v>
      </c>
      <c r="B1177">
        <v>2553</v>
      </c>
      <c r="C1177">
        <v>907</v>
      </c>
      <c r="D1177">
        <v>6</v>
      </c>
      <c r="E1177" t="s">
        <v>13</v>
      </c>
      <c r="F1177" t="s">
        <v>39</v>
      </c>
      <c r="G1177" t="s">
        <v>47</v>
      </c>
      <c r="H1177" s="1">
        <v>45099</v>
      </c>
      <c r="I1177" t="s">
        <v>1435</v>
      </c>
      <c r="J1177" t="s">
        <v>71</v>
      </c>
      <c r="K1177" t="s">
        <v>72</v>
      </c>
      <c r="L1177" t="s">
        <v>19</v>
      </c>
    </row>
    <row r="1178" spans="1:12" x14ac:dyDescent="0.25">
      <c r="A1178" t="s">
        <v>1436</v>
      </c>
      <c r="B1178">
        <v>8490</v>
      </c>
      <c r="C1178">
        <v>3485</v>
      </c>
      <c r="D1178">
        <v>3</v>
      </c>
      <c r="E1178" t="s">
        <v>13</v>
      </c>
      <c r="F1178" t="s">
        <v>82</v>
      </c>
      <c r="G1178" t="s">
        <v>47</v>
      </c>
      <c r="H1178" s="1">
        <v>45006</v>
      </c>
      <c r="I1178" t="s">
        <v>1437</v>
      </c>
      <c r="J1178" t="s">
        <v>25</v>
      </c>
      <c r="K1178" t="s">
        <v>51</v>
      </c>
      <c r="L1178" t="s">
        <v>245</v>
      </c>
    </row>
    <row r="1179" spans="1:12" x14ac:dyDescent="0.25">
      <c r="A1179" t="s">
        <v>1438</v>
      </c>
      <c r="B1179">
        <v>2689</v>
      </c>
      <c r="C1179">
        <v>1330</v>
      </c>
      <c r="D1179">
        <v>3</v>
      </c>
      <c r="E1179" t="s">
        <v>45</v>
      </c>
      <c r="F1179" t="s">
        <v>46</v>
      </c>
      <c r="G1179" t="s">
        <v>15</v>
      </c>
      <c r="H1179" s="1">
        <v>44178</v>
      </c>
      <c r="I1179" t="s">
        <v>1439</v>
      </c>
      <c r="J1179" t="s">
        <v>42</v>
      </c>
      <c r="K1179" t="s">
        <v>43</v>
      </c>
      <c r="L1179" t="s">
        <v>287</v>
      </c>
    </row>
    <row r="1180" spans="1:12" x14ac:dyDescent="0.25">
      <c r="A1180" t="s">
        <v>1438</v>
      </c>
      <c r="B1180">
        <v>2689</v>
      </c>
      <c r="C1180">
        <v>1330</v>
      </c>
      <c r="D1180">
        <v>3</v>
      </c>
      <c r="E1180" t="s">
        <v>45</v>
      </c>
      <c r="F1180" t="s">
        <v>46</v>
      </c>
      <c r="G1180" t="s">
        <v>15</v>
      </c>
      <c r="H1180" s="1">
        <v>45441</v>
      </c>
      <c r="I1180" t="s">
        <v>1440</v>
      </c>
      <c r="J1180" t="s">
        <v>17</v>
      </c>
      <c r="K1180" t="s">
        <v>18</v>
      </c>
      <c r="L1180" t="s">
        <v>35</v>
      </c>
    </row>
    <row r="1181" spans="1:12" x14ac:dyDescent="0.25">
      <c r="A1181" t="s">
        <v>1441</v>
      </c>
      <c r="B1181">
        <v>815</v>
      </c>
      <c r="C1181">
        <v>54</v>
      </c>
      <c r="D1181">
        <v>14</v>
      </c>
      <c r="E1181" t="s">
        <v>45</v>
      </c>
      <c r="F1181" t="s">
        <v>46</v>
      </c>
      <c r="G1181" t="s">
        <v>32</v>
      </c>
      <c r="H1181" s="1">
        <v>44341</v>
      </c>
      <c r="I1181" t="s">
        <v>1442</v>
      </c>
      <c r="J1181" t="s">
        <v>42</v>
      </c>
      <c r="K1181" t="s">
        <v>92</v>
      </c>
      <c r="L1181" t="s">
        <v>108</v>
      </c>
    </row>
    <row r="1182" spans="1:12" x14ac:dyDescent="0.25">
      <c r="A1182" t="s">
        <v>1443</v>
      </c>
      <c r="B1182">
        <v>5024</v>
      </c>
      <c r="C1182">
        <v>379</v>
      </c>
      <c r="D1182">
        <v>2</v>
      </c>
      <c r="E1182" t="s">
        <v>30</v>
      </c>
      <c r="F1182" t="s">
        <v>64</v>
      </c>
      <c r="G1182" t="s">
        <v>15</v>
      </c>
      <c r="H1182" s="1">
        <v>45384</v>
      </c>
      <c r="I1182" t="s">
        <v>1444</v>
      </c>
      <c r="J1182" t="s">
        <v>71</v>
      </c>
      <c r="K1182" t="s">
        <v>72</v>
      </c>
      <c r="L1182" t="s">
        <v>235</v>
      </c>
    </row>
    <row r="1183" spans="1:12" x14ac:dyDescent="0.25">
      <c r="A1183" t="s">
        <v>1443</v>
      </c>
      <c r="B1183">
        <v>5024</v>
      </c>
      <c r="C1183">
        <v>379</v>
      </c>
      <c r="D1183">
        <v>2</v>
      </c>
      <c r="E1183" t="s">
        <v>30</v>
      </c>
      <c r="F1183" t="s">
        <v>64</v>
      </c>
      <c r="G1183" t="s">
        <v>15</v>
      </c>
      <c r="H1183" s="1">
        <v>44898</v>
      </c>
      <c r="I1183" t="s">
        <v>1445</v>
      </c>
      <c r="J1183" t="s">
        <v>21</v>
      </c>
      <c r="K1183" t="s">
        <v>172</v>
      </c>
      <c r="L1183" t="s">
        <v>152</v>
      </c>
    </row>
    <row r="1184" spans="1:12" x14ac:dyDescent="0.25">
      <c r="A1184" t="s">
        <v>1446</v>
      </c>
      <c r="B1184">
        <v>8962</v>
      </c>
      <c r="C1184">
        <v>2444</v>
      </c>
      <c r="D1184">
        <v>18</v>
      </c>
      <c r="E1184" t="s">
        <v>13</v>
      </c>
      <c r="F1184" t="s">
        <v>14</v>
      </c>
      <c r="G1184" t="s">
        <v>32</v>
      </c>
      <c r="H1184" s="1">
        <v>44389</v>
      </c>
      <c r="I1184" t="s">
        <v>1447</v>
      </c>
      <c r="J1184" t="s">
        <v>98</v>
      </c>
      <c r="K1184" t="s">
        <v>117</v>
      </c>
      <c r="L1184" t="s">
        <v>27</v>
      </c>
    </row>
    <row r="1185" spans="1:12" x14ac:dyDescent="0.25">
      <c r="A1185" t="s">
        <v>1446</v>
      </c>
      <c r="B1185">
        <v>8962</v>
      </c>
      <c r="C1185">
        <v>2444</v>
      </c>
      <c r="D1185">
        <v>18</v>
      </c>
      <c r="E1185" t="s">
        <v>13</v>
      </c>
      <c r="F1185" t="s">
        <v>14</v>
      </c>
      <c r="G1185" t="s">
        <v>32</v>
      </c>
      <c r="H1185" s="1">
        <v>43912</v>
      </c>
      <c r="I1185" t="s">
        <v>1448</v>
      </c>
      <c r="J1185" t="s">
        <v>21</v>
      </c>
      <c r="K1185" t="s">
        <v>172</v>
      </c>
      <c r="L1185" t="s">
        <v>55</v>
      </c>
    </row>
    <row r="1186" spans="1:12" x14ac:dyDescent="0.25">
      <c r="A1186" t="s">
        <v>1449</v>
      </c>
      <c r="B1186">
        <v>1961</v>
      </c>
      <c r="C1186">
        <v>59</v>
      </c>
      <c r="D1186">
        <v>12</v>
      </c>
      <c r="E1186" t="s">
        <v>30</v>
      </c>
      <c r="F1186" t="s">
        <v>78</v>
      </c>
      <c r="G1186" t="s">
        <v>15</v>
      </c>
      <c r="H1186" s="1">
        <v>44052</v>
      </c>
      <c r="I1186" t="s">
        <v>1450</v>
      </c>
      <c r="J1186" t="s">
        <v>17</v>
      </c>
      <c r="K1186" t="s">
        <v>34</v>
      </c>
      <c r="L1186" t="s">
        <v>185</v>
      </c>
    </row>
    <row r="1187" spans="1:12" x14ac:dyDescent="0.25">
      <c r="A1187" t="s">
        <v>1451</v>
      </c>
      <c r="B1187">
        <v>526</v>
      </c>
      <c r="C1187">
        <v>83</v>
      </c>
      <c r="D1187">
        <v>4</v>
      </c>
      <c r="E1187" t="s">
        <v>45</v>
      </c>
      <c r="F1187" t="s">
        <v>60</v>
      </c>
      <c r="G1187" t="s">
        <v>47</v>
      </c>
      <c r="H1187" s="1">
        <v>44610</v>
      </c>
      <c r="I1187" t="s">
        <v>1452</v>
      </c>
      <c r="J1187" t="s">
        <v>21</v>
      </c>
      <c r="K1187" t="s">
        <v>22</v>
      </c>
      <c r="L1187" t="s">
        <v>137</v>
      </c>
    </row>
    <row r="1188" spans="1:12" x14ac:dyDescent="0.25">
      <c r="A1188" t="s">
        <v>1453</v>
      </c>
      <c r="B1188">
        <v>6093</v>
      </c>
      <c r="C1188">
        <v>3042</v>
      </c>
      <c r="D1188">
        <v>9</v>
      </c>
      <c r="E1188" t="s">
        <v>45</v>
      </c>
      <c r="F1188" t="s">
        <v>109</v>
      </c>
      <c r="G1188" t="s">
        <v>32</v>
      </c>
      <c r="H1188" s="1">
        <v>44361</v>
      </c>
      <c r="I1188" t="s">
        <v>1454</v>
      </c>
      <c r="J1188" t="s">
        <v>42</v>
      </c>
      <c r="K1188" t="s">
        <v>92</v>
      </c>
      <c r="L1188" t="s">
        <v>125</v>
      </c>
    </row>
    <row r="1189" spans="1:12" x14ac:dyDescent="0.25">
      <c r="A1189" t="s">
        <v>1453</v>
      </c>
      <c r="B1189">
        <v>6093</v>
      </c>
      <c r="C1189">
        <v>3042</v>
      </c>
      <c r="D1189">
        <v>9</v>
      </c>
      <c r="E1189" t="s">
        <v>45</v>
      </c>
      <c r="F1189" t="s">
        <v>109</v>
      </c>
      <c r="G1189" t="s">
        <v>32</v>
      </c>
      <c r="H1189" s="1">
        <v>44256</v>
      </c>
      <c r="I1189" t="s">
        <v>1455</v>
      </c>
      <c r="J1189" t="s">
        <v>42</v>
      </c>
      <c r="K1189" t="s">
        <v>75</v>
      </c>
      <c r="L1189" t="s">
        <v>167</v>
      </c>
    </row>
    <row r="1190" spans="1:12" x14ac:dyDescent="0.25">
      <c r="A1190" t="s">
        <v>1456</v>
      </c>
      <c r="B1190">
        <v>7699</v>
      </c>
      <c r="C1190">
        <v>246</v>
      </c>
      <c r="D1190">
        <v>5</v>
      </c>
      <c r="E1190" t="s">
        <v>13</v>
      </c>
      <c r="F1190" t="s">
        <v>14</v>
      </c>
      <c r="G1190" t="s">
        <v>32</v>
      </c>
      <c r="H1190" s="1">
        <v>45192</v>
      </c>
      <c r="I1190" t="s">
        <v>1457</v>
      </c>
      <c r="J1190" t="s">
        <v>71</v>
      </c>
      <c r="K1190" t="s">
        <v>86</v>
      </c>
      <c r="L1190" t="s">
        <v>273</v>
      </c>
    </row>
    <row r="1191" spans="1:12" x14ac:dyDescent="0.25">
      <c r="A1191" t="s">
        <v>1458</v>
      </c>
      <c r="B1191">
        <v>8825</v>
      </c>
      <c r="C1191">
        <v>3594</v>
      </c>
      <c r="D1191">
        <v>15</v>
      </c>
      <c r="E1191" t="s">
        <v>45</v>
      </c>
      <c r="F1191" t="s">
        <v>46</v>
      </c>
      <c r="G1191" t="s">
        <v>32</v>
      </c>
      <c r="H1191" s="1">
        <v>45504</v>
      </c>
      <c r="I1191" t="s">
        <v>1459</v>
      </c>
      <c r="J1191" t="s">
        <v>25</v>
      </c>
      <c r="K1191" t="s">
        <v>51</v>
      </c>
      <c r="L1191" t="s">
        <v>215</v>
      </c>
    </row>
    <row r="1192" spans="1:12" x14ac:dyDescent="0.25">
      <c r="A1192" t="s">
        <v>1460</v>
      </c>
      <c r="B1192">
        <v>2082</v>
      </c>
      <c r="C1192">
        <v>642</v>
      </c>
      <c r="D1192">
        <v>8</v>
      </c>
      <c r="E1192" t="s">
        <v>13</v>
      </c>
      <c r="F1192" t="s">
        <v>82</v>
      </c>
      <c r="G1192" t="s">
        <v>40</v>
      </c>
      <c r="H1192" s="1">
        <v>43984</v>
      </c>
      <c r="I1192" t="s">
        <v>1461</v>
      </c>
      <c r="J1192" t="s">
        <v>25</v>
      </c>
      <c r="K1192" t="s">
        <v>68</v>
      </c>
      <c r="L1192" t="s">
        <v>313</v>
      </c>
    </row>
    <row r="1193" spans="1:12" x14ac:dyDescent="0.25">
      <c r="A1193" t="s">
        <v>1460</v>
      </c>
      <c r="B1193">
        <v>2082</v>
      </c>
      <c r="C1193">
        <v>642</v>
      </c>
      <c r="D1193">
        <v>8</v>
      </c>
      <c r="E1193" t="s">
        <v>13</v>
      </c>
      <c r="F1193" t="s">
        <v>82</v>
      </c>
      <c r="G1193" t="s">
        <v>40</v>
      </c>
      <c r="H1193" s="1">
        <v>44910</v>
      </c>
      <c r="I1193" t="s">
        <v>1462</v>
      </c>
      <c r="J1193" t="s">
        <v>71</v>
      </c>
      <c r="K1193" t="s">
        <v>86</v>
      </c>
      <c r="L1193" t="s">
        <v>152</v>
      </c>
    </row>
    <row r="1194" spans="1:12" x14ac:dyDescent="0.25">
      <c r="A1194" t="s">
        <v>1460</v>
      </c>
      <c r="B1194">
        <v>2082</v>
      </c>
      <c r="C1194">
        <v>642</v>
      </c>
      <c r="D1194">
        <v>8</v>
      </c>
      <c r="E1194" t="s">
        <v>13</v>
      </c>
      <c r="F1194" t="s">
        <v>82</v>
      </c>
      <c r="G1194" t="s">
        <v>40</v>
      </c>
      <c r="H1194" s="1">
        <v>44050</v>
      </c>
      <c r="I1194" t="s">
        <v>1463</v>
      </c>
      <c r="J1194" t="s">
        <v>25</v>
      </c>
      <c r="K1194" t="s">
        <v>26</v>
      </c>
      <c r="L1194" t="s">
        <v>185</v>
      </c>
    </row>
    <row r="1195" spans="1:12" x14ac:dyDescent="0.25">
      <c r="A1195" t="s">
        <v>1464</v>
      </c>
      <c r="B1195">
        <v>914</v>
      </c>
      <c r="C1195">
        <v>163</v>
      </c>
      <c r="D1195">
        <v>13</v>
      </c>
      <c r="E1195" t="s">
        <v>30</v>
      </c>
      <c r="F1195" t="s">
        <v>57</v>
      </c>
      <c r="G1195" t="s">
        <v>15</v>
      </c>
      <c r="H1195" s="1">
        <v>45591</v>
      </c>
      <c r="I1195" t="s">
        <v>1465</v>
      </c>
      <c r="J1195" t="s">
        <v>21</v>
      </c>
      <c r="K1195" t="s">
        <v>22</v>
      </c>
      <c r="L1195" t="s">
        <v>360</v>
      </c>
    </row>
  </sheetData>
  <sortState xmlns:xlrd2="http://schemas.microsoft.com/office/spreadsheetml/2017/richdata2" ref="U4:U32">
    <sortCondition ref="U4:U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23691A32E1</dc:creator>
  <cp:lastModifiedBy>23691A32E1@mits.com</cp:lastModifiedBy>
  <dcterms:created xsi:type="dcterms:W3CDTF">2026-05-26T11:01:03Z</dcterms:created>
  <dcterms:modified xsi:type="dcterms:W3CDTF">2026-06-23T11:17:58Z</dcterms:modified>
</cp:coreProperties>
</file>